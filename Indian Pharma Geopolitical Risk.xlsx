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hp\Desktop\"/>
    </mc:Choice>
  </mc:AlternateContent>
  <xr:revisionPtr revIDLastSave="0" documentId="13_ncr:1_{0F95AF96-DAD2-47B1-BF19-42DA8AAD9F26}" xr6:coauthVersionLast="47" xr6:coauthVersionMax="47" xr10:uidLastSave="{00000000-0000-0000-0000-000000000000}"/>
  <bookViews>
    <workbookView xWindow="-120" yWindow="-120" windowWidth="20730" windowHeight="11040" firstSheet="1" activeTab="7" xr2:uid="{00000000-000D-0000-FFFF-FFFF00000000}"/>
  </bookViews>
  <sheets>
    <sheet name="Analysis" sheetId="7" r:id="rId1"/>
    <sheet name="Ciplaa" sheetId="4" r:id="rId2"/>
    <sheet name="Zydus" sheetId="5" r:id="rId3"/>
    <sheet name="Sunpharma" sheetId="3" r:id="rId4"/>
    <sheet name="Dr. Reddy" sheetId="2" r:id="rId5"/>
    <sheet name="Aurbindo Pharma " sheetId="6" r:id="rId6"/>
    <sheet name="Lupin" sheetId="8" r:id="rId7"/>
    <sheet name="Boardroom Crisis" sheetId="11" r:id="rId8"/>
  </sheet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Q21" i="8" l="1"/>
  <c r="AQ19" i="8"/>
  <c r="AQ17" i="8"/>
  <c r="AQ20" i="8" s="1"/>
  <c r="AW16" i="8"/>
  <c r="AW18" i="8" s="1"/>
  <c r="AW14" i="8"/>
  <c r="AW12" i="8"/>
  <c r="AW10" i="8"/>
  <c r="AW11" i="8" s="1"/>
  <c r="AQ10" i="8"/>
  <c r="Q59" i="8"/>
  <c r="Q60" i="8" s="1"/>
  <c r="O59" i="8"/>
  <c r="O60" i="8" s="1"/>
  <c r="F36" i="8"/>
  <c r="J33" i="3"/>
  <c r="K29" i="3"/>
  <c r="J32" i="5"/>
  <c r="J31" i="5"/>
  <c r="J30" i="5"/>
  <c r="J29" i="5"/>
  <c r="J32" i="4"/>
  <c r="J31" i="4"/>
  <c r="J30" i="4"/>
  <c r="J29" i="4"/>
  <c r="J27" i="6"/>
  <c r="J28" i="6"/>
  <c r="J29" i="6"/>
  <c r="J30" i="6"/>
  <c r="K27" i="6"/>
  <c r="K29" i="6"/>
  <c r="J32" i="3"/>
  <c r="J31" i="3"/>
  <c r="J30" i="3"/>
  <c r="J29" i="3"/>
  <c r="J28" i="3"/>
  <c r="J27" i="4"/>
  <c r="J21" i="4"/>
  <c r="J19" i="4"/>
  <c r="J19" i="5"/>
  <c r="J28" i="4"/>
  <c r="K29" i="4"/>
  <c r="K30" i="4"/>
  <c r="K31" i="4"/>
  <c r="K32" i="4"/>
  <c r="J20" i="4"/>
  <c r="J26" i="6"/>
  <c r="J28" i="5"/>
  <c r="J27" i="5"/>
  <c r="J25" i="6"/>
  <c r="J18" i="6"/>
  <c r="K30" i="6"/>
  <c r="K28" i="6"/>
  <c r="J19" i="6"/>
  <c r="J20" i="5"/>
  <c r="C35" i="4"/>
  <c r="K28" i="2"/>
  <c r="K27" i="2"/>
  <c r="J17" i="8"/>
  <c r="J18" i="8"/>
  <c r="J19" i="8"/>
  <c r="K27" i="8"/>
  <c r="K28" i="8"/>
  <c r="K29" i="8"/>
  <c r="L29" i="8"/>
  <c r="K30" i="8"/>
  <c r="L30" i="8"/>
  <c r="K31" i="8"/>
  <c r="L31" i="8"/>
  <c r="K32" i="8"/>
  <c r="L32" i="8"/>
  <c r="C9" i="6"/>
  <c r="X8" i="8"/>
  <c r="Y8" i="8"/>
  <c r="AB8" i="8"/>
  <c r="AF8" i="8"/>
  <c r="AJ8" i="8"/>
  <c r="Y9" i="8"/>
  <c r="AB9" i="8"/>
  <c r="AC8" i="8" s="1"/>
  <c r="AF9" i="8"/>
  <c r="AG8" i="8" s="1"/>
  <c r="AJ9" i="8"/>
  <c r="AK8" i="8" s="1"/>
  <c r="Y10" i="8"/>
  <c r="AB10" i="8"/>
  <c r="AC9" i="8" s="1"/>
  <c r="AF10" i="8"/>
  <c r="AG9" i="8" s="1"/>
  <c r="AJ10" i="8"/>
  <c r="AK9" i="8" s="1"/>
  <c r="Y11" i="8"/>
  <c r="AB11" i="8"/>
  <c r="AC10" i="8" s="1"/>
  <c r="AF11" i="8"/>
  <c r="AG10" i="8" s="1"/>
  <c r="AJ11" i="8"/>
  <c r="AK10" i="8" s="1"/>
  <c r="Y12" i="8"/>
  <c r="AB12" i="8"/>
  <c r="AC11" i="8" s="1"/>
  <c r="AF12" i="8"/>
  <c r="AG11" i="8" s="1"/>
  <c r="AJ12" i="8"/>
  <c r="AK11" i="8" s="1"/>
  <c r="Y13" i="8"/>
  <c r="AB13" i="8"/>
  <c r="AC12" i="8" s="1"/>
  <c r="AF13" i="8"/>
  <c r="AG12" i="8" s="1"/>
  <c r="AJ13" i="8"/>
  <c r="AK12" i="8" s="1"/>
  <c r="Y14" i="8"/>
  <c r="AB14" i="8"/>
  <c r="AC13" i="8" s="1"/>
  <c r="AF14" i="8"/>
  <c r="AG13" i="8" s="1"/>
  <c r="AJ14" i="8"/>
  <c r="AK13" i="8" s="1"/>
  <c r="Y15" i="8"/>
  <c r="AB15" i="8"/>
  <c r="AC14" i="8" s="1"/>
  <c r="AF15" i="8"/>
  <c r="AG14" i="8" s="1"/>
  <c r="AJ15" i="8"/>
  <c r="AK14" i="8" s="1"/>
  <c r="Y16" i="8"/>
  <c r="AB16" i="8"/>
  <c r="AC15" i="8" s="1"/>
  <c r="AF16" i="8"/>
  <c r="AG15" i="8" s="1"/>
  <c r="AJ16" i="8"/>
  <c r="AK15" i="8" s="1"/>
  <c r="Y17" i="8"/>
  <c r="AB17" i="8"/>
  <c r="AC16" i="8" s="1"/>
  <c r="AF17" i="8"/>
  <c r="AG16" i="8" s="1"/>
  <c r="AJ17" i="8"/>
  <c r="AK16" i="8" s="1"/>
  <c r="Y18" i="8"/>
  <c r="AB18" i="8"/>
  <c r="AC17" i="8" s="1"/>
  <c r="AF18" i="8"/>
  <c r="AG17" i="8" s="1"/>
  <c r="AJ18" i="8"/>
  <c r="AK17" i="8" s="1"/>
  <c r="Y19" i="8"/>
  <c r="AB19" i="8"/>
  <c r="AC18" i="8" s="1"/>
  <c r="AF19" i="8"/>
  <c r="AG18" i="8" s="1"/>
  <c r="AJ19" i="8"/>
  <c r="AK18" i="8" s="1"/>
  <c r="Y20" i="8"/>
  <c r="AB20" i="8"/>
  <c r="AC19" i="8" s="1"/>
  <c r="AF20" i="8"/>
  <c r="AG19" i="8" s="1"/>
  <c r="AJ20" i="8"/>
  <c r="AK19" i="8" s="1"/>
  <c r="Y21" i="8"/>
  <c r="AB21" i="8"/>
  <c r="AC20" i="8" s="1"/>
  <c r="AF21" i="8"/>
  <c r="AG20" i="8" s="1"/>
  <c r="AJ21" i="8"/>
  <c r="AK20" i="8" s="1"/>
  <c r="Y22" i="8"/>
  <c r="AB22" i="8"/>
  <c r="AC21" i="8" s="1"/>
  <c r="AF22" i="8"/>
  <c r="AG21" i="8" s="1"/>
  <c r="AJ22" i="8"/>
  <c r="AK21" i="8" s="1"/>
  <c r="Y23" i="8"/>
  <c r="AB23" i="8"/>
  <c r="AC22" i="8" s="1"/>
  <c r="AF23" i="8"/>
  <c r="AG22" i="8" s="1"/>
  <c r="AJ23" i="8"/>
  <c r="AK22" i="8" s="1"/>
  <c r="Y24" i="8"/>
  <c r="AB24" i="8"/>
  <c r="AC23" i="8" s="1"/>
  <c r="AF24" i="8"/>
  <c r="AG23" i="8" s="1"/>
  <c r="AJ24" i="8"/>
  <c r="AK23" i="8" s="1"/>
  <c r="Y25" i="8"/>
  <c r="AB25" i="8"/>
  <c r="AC24" i="8" s="1"/>
  <c r="AF25" i="8"/>
  <c r="AG24" i="8" s="1"/>
  <c r="AJ25" i="8"/>
  <c r="AK24" i="8" s="1"/>
  <c r="Y26" i="8"/>
  <c r="AB26" i="8"/>
  <c r="AC25" i="8" s="1"/>
  <c r="AF26" i="8"/>
  <c r="AG25" i="8" s="1"/>
  <c r="AJ26" i="8"/>
  <c r="AK25" i="8" s="1"/>
  <c r="Y27" i="8"/>
  <c r="AB27" i="8"/>
  <c r="AC26" i="8" s="1"/>
  <c r="AF27" i="8"/>
  <c r="AG26" i="8" s="1"/>
  <c r="AJ27" i="8"/>
  <c r="AK26" i="8" s="1"/>
  <c r="Y28" i="8"/>
  <c r="AB28" i="8"/>
  <c r="AC27" i="8" s="1"/>
  <c r="AF28" i="8"/>
  <c r="AG27" i="8" s="1"/>
  <c r="AJ28" i="8"/>
  <c r="AK27" i="8" s="1"/>
  <c r="Y29" i="8"/>
  <c r="AB29" i="8"/>
  <c r="AC28" i="8" s="1"/>
  <c r="AF29" i="8"/>
  <c r="AG28" i="8" s="1"/>
  <c r="AJ29" i="8"/>
  <c r="AK28" i="8" s="1"/>
  <c r="Y30" i="8"/>
  <c r="AB30" i="8"/>
  <c r="AC29" i="8" s="1"/>
  <c r="AF30" i="8"/>
  <c r="AG29" i="8" s="1"/>
  <c r="AK30" i="8"/>
  <c r="Y31" i="8"/>
  <c r="AB31" i="8"/>
  <c r="AC30" i="8" s="1"/>
  <c r="AF31" i="8"/>
  <c r="AG30" i="8" s="1"/>
  <c r="Y32" i="8"/>
  <c r="AB32" i="8"/>
  <c r="AC31" i="8" s="1"/>
  <c r="AF32" i="8"/>
  <c r="AG31" i="8" s="1"/>
  <c r="Y33" i="8"/>
  <c r="AB33" i="8"/>
  <c r="AC32" i="8" s="1"/>
  <c r="AF33" i="8"/>
  <c r="AG32" i="8" s="1"/>
  <c r="Y34" i="8"/>
  <c r="AB34" i="8"/>
  <c r="AC33" i="8" s="1"/>
  <c r="AF34" i="8"/>
  <c r="AG33" i="8" s="1"/>
  <c r="Y35" i="8"/>
  <c r="AB35" i="8"/>
  <c r="AC34" i="8" s="1"/>
  <c r="AF35" i="8"/>
  <c r="AG34" i="8" s="1"/>
  <c r="Y36" i="8"/>
  <c r="AB36" i="8"/>
  <c r="AC35" i="8" s="1"/>
  <c r="AF36" i="8"/>
  <c r="AG35" i="8" s="1"/>
  <c r="Y37" i="8"/>
  <c r="AB37" i="8"/>
  <c r="AC36" i="8" s="1"/>
  <c r="AF37" i="8"/>
  <c r="AG36" i="8" s="1"/>
  <c r="Y38" i="8"/>
  <c r="AB38" i="8"/>
  <c r="AC37" i="8" s="1"/>
  <c r="AF38" i="8"/>
  <c r="AG37" i="8" s="1"/>
  <c r="Y39" i="8"/>
  <c r="AB39" i="8"/>
  <c r="AC38" i="8" s="1"/>
  <c r="AF39" i="8"/>
  <c r="AG38" i="8" s="1"/>
  <c r="Y40" i="8"/>
  <c r="AB40" i="8"/>
  <c r="AC39" i="8" s="1"/>
  <c r="AF40" i="8"/>
  <c r="AG39" i="8" s="1"/>
  <c r="Y41" i="8"/>
  <c r="AB41" i="8"/>
  <c r="AC40" i="8" s="1"/>
  <c r="AF41" i="8"/>
  <c r="AG40" i="8" s="1"/>
  <c r="Y42" i="8"/>
  <c r="AB42" i="8"/>
  <c r="AC41" i="8" s="1"/>
  <c r="AF42" i="8"/>
  <c r="AG41" i="8" s="1"/>
  <c r="Y43" i="8"/>
  <c r="AB43" i="8"/>
  <c r="AC42" i="8" s="1"/>
  <c r="AF43" i="8"/>
  <c r="AG42" i="8" s="1"/>
  <c r="Y44" i="8"/>
  <c r="AB44" i="8"/>
  <c r="AC43" i="8" s="1"/>
  <c r="AF44" i="8"/>
  <c r="AG43" i="8" s="1"/>
  <c r="Y45" i="8"/>
  <c r="AB45" i="8"/>
  <c r="AC44" i="8" s="1"/>
  <c r="AF45" i="8"/>
  <c r="AG44" i="8" s="1"/>
  <c r="Y46" i="8"/>
  <c r="AB46" i="8"/>
  <c r="AC45" i="8" s="1"/>
  <c r="AF46" i="8"/>
  <c r="AG45" i="8" s="1"/>
  <c r="Y47" i="8"/>
  <c r="AB47" i="8"/>
  <c r="AC46" i="8" s="1"/>
  <c r="AF47" i="8"/>
  <c r="AG46" i="8" s="1"/>
  <c r="Y48" i="8"/>
  <c r="AB48" i="8"/>
  <c r="AC47" i="8" s="1"/>
  <c r="AF48" i="8"/>
  <c r="AG47" i="8" s="1"/>
  <c r="Y49" i="8"/>
  <c r="AB49" i="8"/>
  <c r="AC48" i="8" s="1"/>
  <c r="AF49" i="8"/>
  <c r="AG48" i="8" s="1"/>
  <c r="Y50" i="8"/>
  <c r="AB50" i="8"/>
  <c r="AC49" i="8" s="1"/>
  <c r="AF50" i="8"/>
  <c r="AG49" i="8" s="1"/>
  <c r="Y51" i="8"/>
  <c r="AB51" i="8"/>
  <c r="AC50" i="8" s="1"/>
  <c r="AF51" i="8"/>
  <c r="AG50" i="8" s="1"/>
  <c r="Y52" i="8"/>
  <c r="AB52" i="8"/>
  <c r="AC51" i="8" s="1"/>
  <c r="AF52" i="8"/>
  <c r="AG51" i="8" s="1"/>
  <c r="Y53" i="8"/>
  <c r="AB53" i="8"/>
  <c r="AC52" i="8" s="1"/>
  <c r="AF53" i="8"/>
  <c r="AG52" i="8" s="1"/>
  <c r="Y54" i="8"/>
  <c r="AB54" i="8"/>
  <c r="AC53" i="8" s="1"/>
  <c r="AF54" i="8"/>
  <c r="AG53" i="8" s="1"/>
  <c r="Y55" i="8"/>
  <c r="AB55" i="8"/>
  <c r="AC54" i="8" s="1"/>
  <c r="AF55" i="8"/>
  <c r="AG54" i="8" s="1"/>
  <c r="Y56" i="8"/>
  <c r="AB56" i="8"/>
  <c r="AC55" i="8" s="1"/>
  <c r="AF56" i="8"/>
  <c r="AG55" i="8" s="1"/>
  <c r="Y57" i="8"/>
  <c r="AB57" i="8"/>
  <c r="AC56" i="8" s="1"/>
  <c r="AF57" i="8"/>
  <c r="AG56" i="8" s="1"/>
  <c r="Y58" i="8"/>
  <c r="AB58" i="8"/>
  <c r="AC57" i="8" s="1"/>
  <c r="AF58" i="8"/>
  <c r="AG57" i="8" s="1"/>
  <c r="Y59" i="8"/>
  <c r="AB59" i="8"/>
  <c r="AC58" i="8" s="1"/>
  <c r="AF59" i="8"/>
  <c r="AG58" i="8" s="1"/>
  <c r="Y60" i="8"/>
  <c r="AB60" i="8"/>
  <c r="AC59" i="8" s="1"/>
  <c r="AF60" i="8"/>
  <c r="AG59" i="8" s="1"/>
  <c r="Y61" i="8"/>
  <c r="AB61" i="8"/>
  <c r="AC60" i="8" s="1"/>
  <c r="AF61" i="8"/>
  <c r="AG60" i="8" s="1"/>
  <c r="Y62" i="8"/>
  <c r="AB62" i="8"/>
  <c r="AC61" i="8" s="1"/>
  <c r="AF62" i="8"/>
  <c r="AG61" i="8" s="1"/>
  <c r="Y63" i="8"/>
  <c r="AB63" i="8"/>
  <c r="AC62" i="8" s="1"/>
  <c r="AF63" i="8"/>
  <c r="AG62" i="8" s="1"/>
  <c r="Y64" i="8"/>
  <c r="AB64" i="8"/>
  <c r="AC63" i="8" s="1"/>
  <c r="AF64" i="8"/>
  <c r="AG63" i="8" s="1"/>
  <c r="Y65" i="8"/>
  <c r="AB65" i="8"/>
  <c r="AC64" i="8" s="1"/>
  <c r="AF65" i="8"/>
  <c r="AG64" i="8" s="1"/>
  <c r="Y66" i="8"/>
  <c r="AB66" i="8"/>
  <c r="AC65" i="8" s="1"/>
  <c r="AF66" i="8"/>
  <c r="AG65" i="8" s="1"/>
  <c r="Y67" i="8"/>
  <c r="AB67" i="8"/>
  <c r="AC66" i="8" s="1"/>
  <c r="AF67" i="8"/>
  <c r="AG66" i="8" s="1"/>
  <c r="Y68" i="8"/>
  <c r="AB68" i="8"/>
  <c r="AC67" i="8" s="1"/>
  <c r="AF68" i="8"/>
  <c r="AG67" i="8" s="1"/>
  <c r="Y69" i="8"/>
  <c r="AB69" i="8"/>
  <c r="AC68" i="8" s="1"/>
  <c r="AF69" i="8"/>
  <c r="AG68" i="8" s="1"/>
  <c r="Y70" i="8"/>
  <c r="AB70" i="8"/>
  <c r="AC69" i="8" s="1"/>
  <c r="AF70" i="8"/>
  <c r="AG69" i="8" s="1"/>
  <c r="Y71" i="8"/>
  <c r="AB71" i="8"/>
  <c r="AC70" i="8" s="1"/>
  <c r="AF71" i="8"/>
  <c r="AG70" i="8" s="1"/>
  <c r="Y72" i="8"/>
  <c r="AB72" i="8"/>
  <c r="AC71" i="8" s="1"/>
  <c r="Y73" i="8"/>
  <c r="AB73" i="8"/>
  <c r="AC72" i="8" s="1"/>
  <c r="Y74" i="8"/>
  <c r="AB74" i="8"/>
  <c r="AC73" i="8" s="1"/>
  <c r="Y75" i="8"/>
  <c r="AB75" i="8"/>
  <c r="AC74" i="8" s="1"/>
  <c r="Y76" i="8"/>
  <c r="AB76" i="8"/>
  <c r="AC75" i="8" s="1"/>
  <c r="Y77" i="8"/>
  <c r="AB77" i="8"/>
  <c r="AC76" i="8" s="1"/>
  <c r="Y78" i="8"/>
  <c r="AB78" i="8"/>
  <c r="AC77" i="8" s="1"/>
  <c r="Y79" i="8"/>
  <c r="AB79" i="8"/>
  <c r="AC78" i="8" s="1"/>
  <c r="Y80" i="8"/>
  <c r="AB80" i="8"/>
  <c r="AC79" i="8" s="1"/>
  <c r="Y81" i="8"/>
  <c r="AB81" i="8"/>
  <c r="AC80" i="8" s="1"/>
  <c r="Y82" i="8"/>
  <c r="AB82" i="8"/>
  <c r="AC81" i="8" s="1"/>
  <c r="Y83" i="8"/>
  <c r="AB83" i="8"/>
  <c r="AC82" i="8" s="1"/>
  <c r="Y84" i="8"/>
  <c r="AB84" i="8"/>
  <c r="AC83" i="8" s="1"/>
  <c r="Y85" i="8"/>
  <c r="AB85" i="8"/>
  <c r="AC84" i="8" s="1"/>
  <c r="Y86" i="8"/>
  <c r="AB86" i="8"/>
  <c r="AC85" i="8" s="1"/>
  <c r="Y87" i="8"/>
  <c r="AB87" i="8"/>
  <c r="AC86" i="8" s="1"/>
  <c r="Y88" i="8"/>
  <c r="AB88" i="8"/>
  <c r="AC87" i="8" s="1"/>
  <c r="Y89" i="8"/>
  <c r="AB89" i="8"/>
  <c r="AC88" i="8" s="1"/>
  <c r="Y90" i="8"/>
  <c r="AB90" i="8"/>
  <c r="AC89" i="8" s="1"/>
  <c r="Y91" i="8"/>
  <c r="AB91" i="8"/>
  <c r="AC90" i="8" s="1"/>
  <c r="Y92" i="8"/>
  <c r="AB92" i="8"/>
  <c r="AC91" i="8" s="1"/>
  <c r="Y93" i="8"/>
  <c r="AB93" i="8"/>
  <c r="AC92" i="8" s="1"/>
  <c r="Y94" i="8"/>
  <c r="AB94" i="8"/>
  <c r="AC93" i="8" s="1"/>
  <c r="Y95" i="8"/>
  <c r="AB95" i="8"/>
  <c r="AC94" i="8" s="1"/>
  <c r="Y96" i="8"/>
  <c r="AB96" i="8"/>
  <c r="AC95" i="8" s="1"/>
  <c r="Y97" i="8"/>
  <c r="AB97" i="8"/>
  <c r="AC96" i="8" s="1"/>
  <c r="Y98" i="8"/>
  <c r="AB98" i="8"/>
  <c r="AC97" i="8" s="1"/>
  <c r="Y99" i="8"/>
  <c r="AB99" i="8"/>
  <c r="AC98" i="8" s="1"/>
  <c r="Y100" i="8"/>
  <c r="AB100" i="8"/>
  <c r="AC99" i="8" s="1"/>
  <c r="Y101" i="8"/>
  <c r="AB101" i="8"/>
  <c r="AC100" i="8" s="1"/>
  <c r="Y102" i="8"/>
  <c r="AB102" i="8"/>
  <c r="AC101" i="8" s="1"/>
  <c r="Y103" i="8"/>
  <c r="AB103" i="8"/>
  <c r="AC102" i="8" s="1"/>
  <c r="Y104" i="8"/>
  <c r="AB104" i="8"/>
  <c r="AC103" i="8" s="1"/>
  <c r="Y105" i="8"/>
  <c r="AB105" i="8"/>
  <c r="AC104" i="8" s="1"/>
  <c r="Y106" i="8"/>
  <c r="AB106" i="8"/>
  <c r="AC105" i="8" s="1"/>
  <c r="Y107" i="8"/>
  <c r="AB107" i="8"/>
  <c r="AC106" i="8" s="1"/>
  <c r="Y108" i="8"/>
  <c r="AB108" i="8"/>
  <c r="AC107" i="8" s="1"/>
  <c r="Y109" i="8"/>
  <c r="AB109" i="8"/>
  <c r="AC108" i="8" s="1"/>
  <c r="Y110" i="8"/>
  <c r="AB110" i="8"/>
  <c r="AC109" i="8" s="1"/>
  <c r="Y111" i="8"/>
  <c r="AB111" i="8"/>
  <c r="AC110" i="8" s="1"/>
  <c r="Y112" i="8"/>
  <c r="AB112" i="8"/>
  <c r="AC111" i="8" s="1"/>
  <c r="Y113" i="8"/>
  <c r="AB113" i="8"/>
  <c r="AC112" i="8" s="1"/>
  <c r="Y114" i="8"/>
  <c r="AB114" i="8"/>
  <c r="AC113" i="8" s="1"/>
  <c r="Y115" i="8"/>
  <c r="AB115" i="8"/>
  <c r="AC114" i="8" s="1"/>
  <c r="Y116" i="8"/>
  <c r="AB116" i="8"/>
  <c r="AC115" i="8" s="1"/>
  <c r="Y117" i="8"/>
  <c r="AB117" i="8"/>
  <c r="AC116" i="8" s="1"/>
  <c r="Y118" i="8"/>
  <c r="AB118" i="8"/>
  <c r="AC117" i="8" s="1"/>
  <c r="Y119" i="8"/>
  <c r="AB119" i="8"/>
  <c r="AC118" i="8" s="1"/>
  <c r="Y120" i="8"/>
  <c r="AB120" i="8"/>
  <c r="AC119" i="8" s="1"/>
  <c r="Y121" i="8"/>
  <c r="AB121" i="8"/>
  <c r="AC120" i="8" s="1"/>
  <c r="Y122" i="8"/>
  <c r="AB122" i="8"/>
  <c r="AC121" i="8" s="1"/>
  <c r="Y123" i="8"/>
  <c r="AB123" i="8"/>
  <c r="AC122" i="8" s="1"/>
  <c r="Y124" i="8"/>
  <c r="AB124" i="8"/>
  <c r="AC123" i="8" s="1"/>
  <c r="Y125" i="8"/>
  <c r="AB125" i="8"/>
  <c r="AC124" i="8" s="1"/>
  <c r="Y126" i="8"/>
  <c r="AB126" i="8"/>
  <c r="AC125" i="8" s="1"/>
  <c r="Y127" i="8"/>
  <c r="AB127" i="8"/>
  <c r="AC126" i="8" s="1"/>
  <c r="Y128" i="8"/>
  <c r="AB128" i="8"/>
  <c r="AC127" i="8" s="1"/>
  <c r="Y129" i="8"/>
  <c r="AB129" i="8"/>
  <c r="AC128" i="8" s="1"/>
  <c r="Y130" i="8"/>
  <c r="AB130" i="8"/>
  <c r="AC129" i="8" s="1"/>
  <c r="Y131" i="8"/>
  <c r="Y132" i="8"/>
  <c r="Y133" i="8"/>
  <c r="Y134" i="8"/>
  <c r="Y135" i="8"/>
  <c r="Y136" i="8"/>
  <c r="Y137" i="8"/>
  <c r="Y138" i="8"/>
  <c r="Y139" i="8"/>
  <c r="Y140" i="8"/>
  <c r="Y141" i="8"/>
  <c r="Y142" i="8"/>
  <c r="Y143" i="8"/>
  <c r="Y144" i="8"/>
  <c r="Y145" i="8"/>
  <c r="Y146" i="8"/>
  <c r="Y147" i="8"/>
  <c r="Y148" i="8"/>
  <c r="Y149" i="8"/>
  <c r="Y150" i="8"/>
  <c r="Y151" i="8"/>
  <c r="Y152" i="8"/>
  <c r="Y153" i="8"/>
  <c r="Y154" i="8"/>
  <c r="Y155" i="8"/>
  <c r="Y156" i="8"/>
  <c r="Y157" i="8"/>
  <c r="Y158" i="8"/>
  <c r="Y159" i="8"/>
  <c r="Y160" i="8"/>
  <c r="Y161" i="8"/>
  <c r="Y162" i="8"/>
  <c r="Y163" i="8"/>
  <c r="Y164" i="8"/>
  <c r="Y165" i="8"/>
  <c r="Y166" i="8"/>
  <c r="Y167" i="8"/>
  <c r="Y168" i="8"/>
  <c r="Y169" i="8"/>
  <c r="Y170" i="8"/>
  <c r="Y171" i="8"/>
  <c r="Y172" i="8"/>
  <c r="Y173" i="8"/>
  <c r="Y174" i="8"/>
  <c r="Y175" i="8"/>
  <c r="Y176" i="8"/>
  <c r="Y177" i="8"/>
  <c r="Y178" i="8"/>
  <c r="Y179" i="8"/>
  <c r="Y180" i="8"/>
  <c r="Y181" i="8"/>
  <c r="Y182" i="8"/>
  <c r="Y183" i="8"/>
  <c r="Y184" i="8"/>
  <c r="Y185" i="8"/>
  <c r="Y186" i="8"/>
  <c r="Y187" i="8"/>
  <c r="Y188" i="8"/>
  <c r="Y189" i="8"/>
  <c r="Y190" i="8"/>
  <c r="Y191" i="8"/>
  <c r="Y192" i="8"/>
  <c r="Y193" i="8"/>
  <c r="Y194" i="8"/>
  <c r="Y195" i="8"/>
  <c r="Y196" i="8"/>
  <c r="Y197" i="8"/>
  <c r="Y198" i="8"/>
  <c r="Y199" i="8"/>
  <c r="Y200" i="8"/>
  <c r="Y201" i="8"/>
  <c r="Y202" i="8"/>
  <c r="Y203" i="8"/>
  <c r="Y204" i="8"/>
  <c r="Y205" i="8"/>
  <c r="Y206" i="8"/>
  <c r="Y207" i="8"/>
  <c r="Y208" i="8"/>
  <c r="Y209" i="8"/>
  <c r="Y210" i="8"/>
  <c r="Y211" i="8"/>
  <c r="Y212" i="8"/>
  <c r="Y213" i="8"/>
  <c r="Y214" i="8"/>
  <c r="Y215" i="8"/>
  <c r="Y216" i="8"/>
  <c r="Y217" i="8"/>
  <c r="Y218" i="8"/>
  <c r="Y219" i="8"/>
  <c r="Y220" i="8"/>
  <c r="Y221" i="8"/>
  <c r="Y222" i="8"/>
  <c r="Y223" i="8"/>
  <c r="Y224" i="8"/>
  <c r="Y225" i="8"/>
  <c r="Y226" i="8"/>
  <c r="Y227" i="8"/>
  <c r="Y228" i="8"/>
  <c r="Y229" i="8"/>
  <c r="Y230" i="8"/>
  <c r="Y231" i="8"/>
  <c r="Y232" i="8"/>
  <c r="Y233" i="8"/>
  <c r="Y234" i="8"/>
  <c r="Y235" i="8"/>
  <c r="Y236" i="8"/>
  <c r="Y237" i="8"/>
  <c r="Y238" i="8"/>
  <c r="Y239" i="8"/>
  <c r="Y240" i="8"/>
  <c r="Y241" i="8"/>
  <c r="Y242" i="8"/>
  <c r="Y243" i="8"/>
  <c r="Y244" i="8"/>
  <c r="Y245" i="8"/>
  <c r="Y246" i="8"/>
  <c r="Y247" i="8"/>
  <c r="Y248" i="8"/>
  <c r="Y249" i="8"/>
  <c r="Y250" i="8"/>
  <c r="Y251" i="8"/>
  <c r="Y252" i="8"/>
  <c r="Y253" i="8"/>
  <c r="Y254" i="8"/>
  <c r="Y255" i="8"/>
  <c r="Y256" i="8"/>
  <c r="Y257" i="8"/>
  <c r="Y258" i="8"/>
  <c r="Y259" i="8"/>
  <c r="S9" i="8"/>
  <c r="S10" i="8"/>
  <c r="S11" i="8"/>
  <c r="S12" i="8"/>
  <c r="S13" i="8"/>
  <c r="S14" i="8"/>
  <c r="S15" i="8"/>
  <c r="S16" i="8"/>
  <c r="S17" i="8"/>
  <c r="S18" i="8"/>
  <c r="S8" i="8"/>
  <c r="R18" i="8"/>
  <c r="R17" i="8"/>
  <c r="R16" i="8"/>
  <c r="R15" i="8"/>
  <c r="R14" i="8"/>
  <c r="R13" i="8"/>
  <c r="R12" i="8"/>
  <c r="R11" i="8"/>
  <c r="R10" i="8"/>
  <c r="R9" i="8"/>
  <c r="R8" i="8"/>
  <c r="Q18" i="8"/>
  <c r="Q17" i="8"/>
  <c r="Q16" i="8"/>
  <c r="Q15" i="8"/>
  <c r="Q14" i="8"/>
  <c r="Q13" i="8"/>
  <c r="Q12" i="8"/>
  <c r="Q11" i="8"/>
  <c r="Q10" i="8"/>
  <c r="Q9" i="8"/>
  <c r="Q8" i="8"/>
  <c r="T18" i="8"/>
  <c r="T17" i="8"/>
  <c r="T16" i="8"/>
  <c r="T15" i="8"/>
  <c r="T14" i="8"/>
  <c r="T13" i="8"/>
  <c r="T12" i="8"/>
  <c r="T11" i="8"/>
  <c r="T10" i="8"/>
  <c r="T9" i="8"/>
  <c r="T8" i="8"/>
  <c r="T19" i="8" s="1"/>
  <c r="AO24" i="5"/>
  <c r="AO23" i="5"/>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9" i="8"/>
  <c r="C9" i="4"/>
  <c r="J8" i="4" s="1"/>
  <c r="J9" i="4" s="1"/>
  <c r="G516" i="8"/>
  <c r="E516" i="8"/>
  <c r="G515" i="8"/>
  <c r="E515" i="8"/>
  <c r="G514" i="8"/>
  <c r="E514" i="8"/>
  <c r="G513" i="8"/>
  <c r="E513" i="8"/>
  <c r="G512" i="8"/>
  <c r="E512" i="8"/>
  <c r="G511" i="8"/>
  <c r="E511" i="8"/>
  <c r="G510" i="8"/>
  <c r="E510" i="8"/>
  <c r="G509" i="8"/>
  <c r="E509" i="8"/>
  <c r="G508" i="8"/>
  <c r="E508" i="8"/>
  <c r="G507" i="8"/>
  <c r="E507" i="8"/>
  <c r="G506" i="8"/>
  <c r="E506" i="8"/>
  <c r="G505" i="8"/>
  <c r="E505" i="8"/>
  <c r="G504" i="8"/>
  <c r="E504" i="8"/>
  <c r="G503" i="8"/>
  <c r="E503" i="8"/>
  <c r="G502" i="8"/>
  <c r="E502" i="8"/>
  <c r="G501" i="8"/>
  <c r="E501" i="8"/>
  <c r="G500" i="8"/>
  <c r="E500" i="8"/>
  <c r="G499" i="8"/>
  <c r="E499" i="8"/>
  <c r="G498" i="8"/>
  <c r="E498" i="8"/>
  <c r="G497" i="8"/>
  <c r="E497" i="8"/>
  <c r="G496" i="8"/>
  <c r="E496" i="8"/>
  <c r="G495" i="8"/>
  <c r="E495" i="8"/>
  <c r="G494" i="8"/>
  <c r="E494" i="8"/>
  <c r="G493" i="8"/>
  <c r="E493" i="8"/>
  <c r="G492" i="8"/>
  <c r="E492" i="8"/>
  <c r="G491" i="8"/>
  <c r="E491" i="8"/>
  <c r="G490" i="8"/>
  <c r="E490" i="8"/>
  <c r="G489" i="8"/>
  <c r="E489" i="8"/>
  <c r="G488" i="8"/>
  <c r="E488" i="8"/>
  <c r="G487" i="8"/>
  <c r="E487" i="8"/>
  <c r="G486" i="8"/>
  <c r="E486" i="8"/>
  <c r="G485" i="8"/>
  <c r="E485" i="8"/>
  <c r="G484" i="8"/>
  <c r="E484" i="8"/>
  <c r="G483" i="8"/>
  <c r="E483" i="8"/>
  <c r="G482" i="8"/>
  <c r="E482" i="8"/>
  <c r="G481" i="8"/>
  <c r="E481" i="8"/>
  <c r="G480" i="8"/>
  <c r="E480" i="8"/>
  <c r="G479" i="8"/>
  <c r="E479" i="8"/>
  <c r="G478" i="8"/>
  <c r="E478" i="8"/>
  <c r="G477" i="8"/>
  <c r="E477" i="8"/>
  <c r="G476" i="8"/>
  <c r="E476" i="8"/>
  <c r="G475" i="8"/>
  <c r="E475" i="8"/>
  <c r="G474" i="8"/>
  <c r="E474" i="8"/>
  <c r="G473" i="8"/>
  <c r="E473" i="8"/>
  <c r="G472" i="8"/>
  <c r="E472" i="8"/>
  <c r="G471" i="8"/>
  <c r="E471" i="8"/>
  <c r="G470" i="8"/>
  <c r="E470" i="8"/>
  <c r="G469" i="8"/>
  <c r="E469" i="8"/>
  <c r="G468" i="8"/>
  <c r="E468" i="8"/>
  <c r="G467" i="8"/>
  <c r="E467" i="8"/>
  <c r="G466" i="8"/>
  <c r="E466" i="8"/>
  <c r="G465" i="8"/>
  <c r="E465" i="8"/>
  <c r="G464" i="8"/>
  <c r="E464" i="8"/>
  <c r="G463" i="8"/>
  <c r="E463" i="8"/>
  <c r="G462" i="8"/>
  <c r="E462" i="8"/>
  <c r="G461" i="8"/>
  <c r="E461" i="8"/>
  <c r="G460" i="8"/>
  <c r="E460" i="8"/>
  <c r="G459" i="8"/>
  <c r="E459" i="8"/>
  <c r="G458" i="8"/>
  <c r="E458" i="8"/>
  <c r="G457" i="8"/>
  <c r="E457" i="8"/>
  <c r="G456" i="8"/>
  <c r="E456" i="8"/>
  <c r="G455" i="8"/>
  <c r="E455" i="8"/>
  <c r="G454" i="8"/>
  <c r="E454" i="8"/>
  <c r="G453" i="8"/>
  <c r="E453" i="8"/>
  <c r="G452" i="8"/>
  <c r="E452" i="8"/>
  <c r="G451" i="8"/>
  <c r="E451" i="8"/>
  <c r="G450" i="8"/>
  <c r="E450" i="8"/>
  <c r="G449" i="8"/>
  <c r="E449" i="8"/>
  <c r="G448" i="8"/>
  <c r="E448" i="8"/>
  <c r="G447" i="8"/>
  <c r="E447" i="8"/>
  <c r="G446" i="8"/>
  <c r="E446" i="8"/>
  <c r="G445" i="8"/>
  <c r="E445" i="8"/>
  <c r="G444" i="8"/>
  <c r="E444" i="8"/>
  <c r="G443" i="8"/>
  <c r="E443" i="8"/>
  <c r="G442" i="8"/>
  <c r="E442" i="8"/>
  <c r="G441" i="8"/>
  <c r="E441" i="8"/>
  <c r="G440" i="8"/>
  <c r="E440" i="8"/>
  <c r="G439" i="8"/>
  <c r="E439" i="8"/>
  <c r="G438" i="8"/>
  <c r="E438" i="8"/>
  <c r="G437" i="8"/>
  <c r="E437" i="8"/>
  <c r="G436" i="8"/>
  <c r="E436" i="8"/>
  <c r="G435" i="8"/>
  <c r="E435" i="8"/>
  <c r="G434" i="8"/>
  <c r="E434" i="8"/>
  <c r="G433" i="8"/>
  <c r="E433" i="8"/>
  <c r="G432" i="8"/>
  <c r="E432" i="8"/>
  <c r="G431" i="8"/>
  <c r="E431" i="8"/>
  <c r="G430" i="8"/>
  <c r="E430" i="8"/>
  <c r="G429" i="8"/>
  <c r="E429" i="8"/>
  <c r="G428" i="8"/>
  <c r="E428" i="8"/>
  <c r="G427" i="8"/>
  <c r="E427" i="8"/>
  <c r="G426" i="8"/>
  <c r="E426" i="8"/>
  <c r="G425" i="8"/>
  <c r="E425" i="8"/>
  <c r="G424" i="8"/>
  <c r="E424" i="8"/>
  <c r="G423" i="8"/>
  <c r="E423" i="8"/>
  <c r="G422" i="8"/>
  <c r="E422" i="8"/>
  <c r="G421" i="8"/>
  <c r="E421" i="8"/>
  <c r="G420" i="8"/>
  <c r="E420" i="8"/>
  <c r="G419" i="8"/>
  <c r="E419" i="8"/>
  <c r="G418" i="8"/>
  <c r="E418" i="8"/>
  <c r="G417" i="8"/>
  <c r="E417" i="8"/>
  <c r="G416" i="8"/>
  <c r="E416" i="8"/>
  <c r="G415" i="8"/>
  <c r="E415" i="8"/>
  <c r="G414" i="8"/>
  <c r="E414" i="8"/>
  <c r="G413" i="8"/>
  <c r="E413" i="8"/>
  <c r="G412" i="8"/>
  <c r="E412" i="8"/>
  <c r="G411" i="8"/>
  <c r="E411" i="8"/>
  <c r="G410" i="8"/>
  <c r="E410" i="8"/>
  <c r="G409" i="8"/>
  <c r="E409" i="8"/>
  <c r="G408" i="8"/>
  <c r="E408" i="8"/>
  <c r="G407" i="8"/>
  <c r="E407" i="8"/>
  <c r="G406" i="8"/>
  <c r="E406" i="8"/>
  <c r="G405" i="8"/>
  <c r="E405" i="8"/>
  <c r="G404" i="8"/>
  <c r="E404" i="8"/>
  <c r="G403" i="8"/>
  <c r="E403" i="8"/>
  <c r="G402" i="8"/>
  <c r="E402" i="8"/>
  <c r="G401" i="8"/>
  <c r="E401" i="8"/>
  <c r="G400" i="8"/>
  <c r="E400" i="8"/>
  <c r="G399" i="8"/>
  <c r="E399" i="8"/>
  <c r="G398" i="8"/>
  <c r="E398" i="8"/>
  <c r="G397" i="8"/>
  <c r="E397" i="8"/>
  <c r="G396" i="8"/>
  <c r="E396" i="8"/>
  <c r="G395" i="8"/>
  <c r="E395" i="8"/>
  <c r="G394" i="8"/>
  <c r="E394" i="8"/>
  <c r="G393" i="8"/>
  <c r="E393" i="8"/>
  <c r="G392" i="8"/>
  <c r="E392" i="8"/>
  <c r="G391" i="8"/>
  <c r="E391" i="8"/>
  <c r="G390" i="8"/>
  <c r="E390" i="8"/>
  <c r="G389" i="8"/>
  <c r="E389" i="8"/>
  <c r="G388" i="8"/>
  <c r="E388" i="8"/>
  <c r="G387" i="8"/>
  <c r="E387" i="8"/>
  <c r="G386" i="8"/>
  <c r="E386" i="8"/>
  <c r="G385" i="8"/>
  <c r="E385" i="8"/>
  <c r="G384" i="8"/>
  <c r="E384" i="8"/>
  <c r="G383" i="8"/>
  <c r="E383" i="8"/>
  <c r="G382" i="8"/>
  <c r="E382" i="8"/>
  <c r="G381" i="8"/>
  <c r="E381" i="8"/>
  <c r="G380" i="8"/>
  <c r="E380" i="8"/>
  <c r="G379" i="8"/>
  <c r="E379" i="8"/>
  <c r="G378" i="8"/>
  <c r="E378" i="8"/>
  <c r="G377" i="8"/>
  <c r="E377" i="8"/>
  <c r="G376" i="8"/>
  <c r="E376" i="8"/>
  <c r="G375" i="8"/>
  <c r="E375" i="8"/>
  <c r="G374" i="8"/>
  <c r="E374" i="8"/>
  <c r="G373" i="8"/>
  <c r="E373" i="8"/>
  <c r="G372" i="8"/>
  <c r="E372" i="8"/>
  <c r="G371" i="8"/>
  <c r="E371" i="8"/>
  <c r="G370" i="8"/>
  <c r="E370" i="8"/>
  <c r="G369" i="8"/>
  <c r="E369" i="8"/>
  <c r="G368" i="8"/>
  <c r="E368" i="8"/>
  <c r="G367" i="8"/>
  <c r="E367" i="8"/>
  <c r="G366" i="8"/>
  <c r="E366" i="8"/>
  <c r="G365" i="8"/>
  <c r="E365" i="8"/>
  <c r="G364" i="8"/>
  <c r="E364" i="8"/>
  <c r="G363" i="8"/>
  <c r="E363" i="8"/>
  <c r="G362" i="8"/>
  <c r="E362" i="8"/>
  <c r="G361" i="8"/>
  <c r="E361" i="8"/>
  <c r="G360" i="8"/>
  <c r="E360" i="8"/>
  <c r="G359" i="8"/>
  <c r="E359" i="8"/>
  <c r="G358" i="8"/>
  <c r="E358" i="8"/>
  <c r="G357" i="8"/>
  <c r="E357" i="8"/>
  <c r="G356" i="8"/>
  <c r="E356" i="8"/>
  <c r="G355" i="8"/>
  <c r="E355" i="8"/>
  <c r="G354" i="8"/>
  <c r="E354" i="8"/>
  <c r="G353" i="8"/>
  <c r="E353" i="8"/>
  <c r="G352" i="8"/>
  <c r="E352" i="8"/>
  <c r="G351" i="8"/>
  <c r="E351" i="8"/>
  <c r="G350" i="8"/>
  <c r="E350" i="8"/>
  <c r="G349" i="8"/>
  <c r="E349" i="8"/>
  <c r="G348" i="8"/>
  <c r="E348" i="8"/>
  <c r="G347" i="8"/>
  <c r="E347" i="8"/>
  <c r="G346" i="8"/>
  <c r="E346" i="8"/>
  <c r="G345" i="8"/>
  <c r="E345" i="8"/>
  <c r="G344" i="8"/>
  <c r="E344" i="8"/>
  <c r="G343" i="8"/>
  <c r="E343" i="8"/>
  <c r="G342" i="8"/>
  <c r="E342" i="8"/>
  <c r="G341" i="8"/>
  <c r="E341" i="8"/>
  <c r="G340" i="8"/>
  <c r="E340" i="8"/>
  <c r="G339" i="8"/>
  <c r="E339" i="8"/>
  <c r="G338" i="8"/>
  <c r="E338" i="8"/>
  <c r="G337" i="8"/>
  <c r="E337" i="8"/>
  <c r="G336" i="8"/>
  <c r="E336" i="8"/>
  <c r="G335" i="8"/>
  <c r="E335" i="8"/>
  <c r="G334" i="8"/>
  <c r="E334" i="8"/>
  <c r="G333" i="8"/>
  <c r="E333" i="8"/>
  <c r="G332" i="8"/>
  <c r="E332" i="8"/>
  <c r="G331" i="8"/>
  <c r="E331" i="8"/>
  <c r="G330" i="8"/>
  <c r="E330" i="8"/>
  <c r="G329" i="8"/>
  <c r="E329" i="8"/>
  <c r="G328" i="8"/>
  <c r="E328" i="8"/>
  <c r="G327" i="8"/>
  <c r="E327" i="8"/>
  <c r="G326" i="8"/>
  <c r="E326" i="8"/>
  <c r="G325" i="8"/>
  <c r="E325" i="8"/>
  <c r="G324" i="8"/>
  <c r="E324" i="8"/>
  <c r="G323" i="8"/>
  <c r="E323" i="8"/>
  <c r="G322" i="8"/>
  <c r="E322" i="8"/>
  <c r="G321" i="8"/>
  <c r="E321" i="8"/>
  <c r="G320" i="8"/>
  <c r="E320" i="8"/>
  <c r="G319" i="8"/>
  <c r="E319" i="8"/>
  <c r="G318" i="8"/>
  <c r="E318" i="8"/>
  <c r="G317" i="8"/>
  <c r="E317" i="8"/>
  <c r="G316" i="8"/>
  <c r="E316" i="8"/>
  <c r="G315" i="8"/>
  <c r="E315" i="8"/>
  <c r="G314" i="8"/>
  <c r="E314" i="8"/>
  <c r="G313" i="8"/>
  <c r="E313" i="8"/>
  <c r="G312" i="8"/>
  <c r="E312" i="8"/>
  <c r="G311" i="8"/>
  <c r="E311" i="8"/>
  <c r="G310" i="8"/>
  <c r="E310" i="8"/>
  <c r="G309" i="8"/>
  <c r="E309" i="8"/>
  <c r="G308" i="8"/>
  <c r="E308" i="8"/>
  <c r="G307" i="8"/>
  <c r="E307" i="8"/>
  <c r="G306" i="8"/>
  <c r="E306" i="8"/>
  <c r="G305" i="8"/>
  <c r="E305" i="8"/>
  <c r="G304" i="8"/>
  <c r="E304" i="8"/>
  <c r="G303" i="8"/>
  <c r="E303" i="8"/>
  <c r="G302" i="8"/>
  <c r="E302" i="8"/>
  <c r="G301" i="8"/>
  <c r="E301" i="8"/>
  <c r="G300" i="8"/>
  <c r="E300" i="8"/>
  <c r="G299" i="8"/>
  <c r="E299" i="8"/>
  <c r="G298" i="8"/>
  <c r="E298" i="8"/>
  <c r="G297" i="8"/>
  <c r="E297" i="8"/>
  <c r="G296" i="8"/>
  <c r="E296" i="8"/>
  <c r="G295" i="8"/>
  <c r="E295" i="8"/>
  <c r="G294" i="8"/>
  <c r="E294" i="8"/>
  <c r="G293" i="8"/>
  <c r="E293" i="8"/>
  <c r="G292" i="8"/>
  <c r="E292" i="8"/>
  <c r="G291" i="8"/>
  <c r="E291" i="8"/>
  <c r="G290" i="8"/>
  <c r="E290" i="8"/>
  <c r="G289" i="8"/>
  <c r="E289" i="8"/>
  <c r="G288" i="8"/>
  <c r="E288" i="8"/>
  <c r="G287" i="8"/>
  <c r="E287" i="8"/>
  <c r="G286" i="8"/>
  <c r="E286" i="8"/>
  <c r="G285" i="8"/>
  <c r="E285" i="8"/>
  <c r="G284" i="8"/>
  <c r="E284" i="8"/>
  <c r="G283" i="8"/>
  <c r="E283" i="8"/>
  <c r="G282" i="8"/>
  <c r="E282" i="8"/>
  <c r="G281" i="8"/>
  <c r="E281" i="8"/>
  <c r="G280" i="8"/>
  <c r="E280" i="8"/>
  <c r="G279" i="8"/>
  <c r="E279" i="8"/>
  <c r="G278" i="8"/>
  <c r="E278" i="8"/>
  <c r="G277" i="8"/>
  <c r="E277" i="8"/>
  <c r="G276" i="8"/>
  <c r="E276" i="8"/>
  <c r="G275" i="8"/>
  <c r="E275" i="8"/>
  <c r="G274" i="8"/>
  <c r="E274" i="8"/>
  <c r="G273" i="8"/>
  <c r="E273" i="8"/>
  <c r="G272" i="8"/>
  <c r="E272" i="8"/>
  <c r="G271" i="8"/>
  <c r="E271" i="8"/>
  <c r="G270" i="8"/>
  <c r="E270" i="8"/>
  <c r="G269" i="8"/>
  <c r="E269" i="8"/>
  <c r="G268" i="8"/>
  <c r="E268" i="8"/>
  <c r="G267" i="8"/>
  <c r="E267" i="8"/>
  <c r="G266" i="8"/>
  <c r="E266" i="8"/>
  <c r="G265" i="8"/>
  <c r="E265" i="8"/>
  <c r="G264" i="8"/>
  <c r="E264" i="8"/>
  <c r="G263" i="8"/>
  <c r="E263" i="8"/>
  <c r="G262" i="8"/>
  <c r="E262" i="8"/>
  <c r="G261" i="8"/>
  <c r="E261" i="8"/>
  <c r="G260" i="8"/>
  <c r="E260" i="8"/>
  <c r="G259" i="8"/>
  <c r="E259" i="8"/>
  <c r="G258" i="8"/>
  <c r="E258" i="8"/>
  <c r="G257" i="8"/>
  <c r="E257" i="8"/>
  <c r="G256" i="8"/>
  <c r="E256" i="8"/>
  <c r="G255" i="8"/>
  <c r="E255" i="8"/>
  <c r="G254" i="8"/>
  <c r="E254" i="8"/>
  <c r="G253" i="8"/>
  <c r="E253" i="8"/>
  <c r="G252" i="8"/>
  <c r="E252" i="8"/>
  <c r="G251" i="8"/>
  <c r="E251" i="8"/>
  <c r="G250" i="8"/>
  <c r="E250" i="8"/>
  <c r="G249" i="8"/>
  <c r="E249" i="8"/>
  <c r="G248" i="8"/>
  <c r="E248" i="8"/>
  <c r="G247" i="8"/>
  <c r="E247" i="8"/>
  <c r="G246" i="8"/>
  <c r="E246" i="8"/>
  <c r="G245" i="8"/>
  <c r="E245" i="8"/>
  <c r="G244" i="8"/>
  <c r="E244" i="8"/>
  <c r="G243" i="8"/>
  <c r="E243" i="8"/>
  <c r="G242" i="8"/>
  <c r="E242" i="8"/>
  <c r="G241" i="8"/>
  <c r="E241" i="8"/>
  <c r="G240" i="8"/>
  <c r="E240" i="8"/>
  <c r="G239" i="8"/>
  <c r="E239" i="8"/>
  <c r="G238" i="8"/>
  <c r="E238" i="8"/>
  <c r="G237" i="8"/>
  <c r="E237" i="8"/>
  <c r="G236" i="8"/>
  <c r="E236" i="8"/>
  <c r="G235" i="8"/>
  <c r="E235" i="8"/>
  <c r="G234" i="8"/>
  <c r="E234" i="8"/>
  <c r="G233" i="8"/>
  <c r="E233" i="8"/>
  <c r="G232" i="8"/>
  <c r="E232" i="8"/>
  <c r="G231" i="8"/>
  <c r="E231" i="8"/>
  <c r="G230" i="8"/>
  <c r="E230" i="8"/>
  <c r="G229" i="8"/>
  <c r="E229" i="8"/>
  <c r="G228" i="8"/>
  <c r="E228" i="8"/>
  <c r="G227" i="8"/>
  <c r="E227" i="8"/>
  <c r="G226" i="8"/>
  <c r="E226" i="8"/>
  <c r="G225" i="8"/>
  <c r="E225" i="8"/>
  <c r="G224" i="8"/>
  <c r="E224" i="8"/>
  <c r="G223" i="8"/>
  <c r="E223" i="8"/>
  <c r="G222" i="8"/>
  <c r="E222" i="8"/>
  <c r="G221" i="8"/>
  <c r="E221" i="8"/>
  <c r="G220" i="8"/>
  <c r="E220" i="8"/>
  <c r="G219" i="8"/>
  <c r="E219" i="8"/>
  <c r="G218" i="8"/>
  <c r="E218" i="8"/>
  <c r="G217" i="8"/>
  <c r="E217" i="8"/>
  <c r="G216" i="8"/>
  <c r="E216" i="8"/>
  <c r="G215" i="8"/>
  <c r="E215" i="8"/>
  <c r="G214" i="8"/>
  <c r="E214" i="8"/>
  <c r="G213" i="8"/>
  <c r="E213" i="8"/>
  <c r="G212" i="8"/>
  <c r="E212" i="8"/>
  <c r="G211" i="8"/>
  <c r="E211" i="8"/>
  <c r="G210" i="8"/>
  <c r="E210" i="8"/>
  <c r="G209" i="8"/>
  <c r="E209" i="8"/>
  <c r="G208" i="8"/>
  <c r="E208" i="8"/>
  <c r="G207" i="8"/>
  <c r="E207" i="8"/>
  <c r="G206" i="8"/>
  <c r="E206" i="8"/>
  <c r="G205" i="8"/>
  <c r="E205" i="8"/>
  <c r="G204" i="8"/>
  <c r="E204" i="8"/>
  <c r="G203" i="8"/>
  <c r="E203" i="8"/>
  <c r="G202" i="8"/>
  <c r="E202" i="8"/>
  <c r="G201" i="8"/>
  <c r="E201" i="8"/>
  <c r="G200" i="8"/>
  <c r="E200" i="8"/>
  <c r="G199" i="8"/>
  <c r="E199" i="8"/>
  <c r="G198" i="8"/>
  <c r="E198" i="8"/>
  <c r="G197" i="8"/>
  <c r="E197" i="8"/>
  <c r="G196" i="8"/>
  <c r="E196" i="8"/>
  <c r="G195" i="8"/>
  <c r="E195" i="8"/>
  <c r="G194" i="8"/>
  <c r="E194" i="8"/>
  <c r="G193" i="8"/>
  <c r="E193" i="8"/>
  <c r="G192" i="8"/>
  <c r="E192" i="8"/>
  <c r="G191" i="8"/>
  <c r="E191" i="8"/>
  <c r="G190" i="8"/>
  <c r="E190" i="8"/>
  <c r="G189" i="8"/>
  <c r="E189" i="8"/>
  <c r="G188" i="8"/>
  <c r="E188" i="8"/>
  <c r="G187" i="8"/>
  <c r="E187" i="8"/>
  <c r="G186" i="8"/>
  <c r="E186" i="8"/>
  <c r="G185" i="8"/>
  <c r="E185" i="8"/>
  <c r="G184" i="8"/>
  <c r="E184" i="8"/>
  <c r="G183" i="8"/>
  <c r="E183" i="8"/>
  <c r="G182" i="8"/>
  <c r="E182" i="8"/>
  <c r="G181" i="8"/>
  <c r="E181" i="8"/>
  <c r="G180" i="8"/>
  <c r="E180" i="8"/>
  <c r="G179" i="8"/>
  <c r="E179" i="8"/>
  <c r="G178" i="8"/>
  <c r="E178" i="8"/>
  <c r="G177" i="8"/>
  <c r="E177" i="8"/>
  <c r="G176" i="8"/>
  <c r="E176" i="8"/>
  <c r="G175" i="8"/>
  <c r="E175" i="8"/>
  <c r="G174" i="8"/>
  <c r="E174" i="8"/>
  <c r="G173" i="8"/>
  <c r="E173" i="8"/>
  <c r="G172" i="8"/>
  <c r="E172" i="8"/>
  <c r="G171" i="8"/>
  <c r="E171" i="8"/>
  <c r="G170" i="8"/>
  <c r="E170" i="8"/>
  <c r="G169" i="8"/>
  <c r="E169" i="8"/>
  <c r="G168" i="8"/>
  <c r="E168" i="8"/>
  <c r="G167" i="8"/>
  <c r="E167" i="8"/>
  <c r="G166" i="8"/>
  <c r="E166" i="8"/>
  <c r="G165" i="8"/>
  <c r="E165" i="8"/>
  <c r="G164" i="8"/>
  <c r="E164" i="8"/>
  <c r="G163" i="8"/>
  <c r="E163" i="8"/>
  <c r="G162" i="8"/>
  <c r="E162" i="8"/>
  <c r="G161" i="8"/>
  <c r="E161" i="8"/>
  <c r="G160" i="8"/>
  <c r="E160" i="8"/>
  <c r="G159" i="8"/>
  <c r="E159" i="8"/>
  <c r="G158" i="8"/>
  <c r="E158" i="8"/>
  <c r="G157" i="8"/>
  <c r="E157" i="8"/>
  <c r="G156" i="8"/>
  <c r="E156" i="8"/>
  <c r="G155" i="8"/>
  <c r="E155" i="8"/>
  <c r="G154" i="8"/>
  <c r="E154" i="8"/>
  <c r="G153" i="8"/>
  <c r="E153" i="8"/>
  <c r="G152" i="8"/>
  <c r="E152" i="8"/>
  <c r="G151" i="8"/>
  <c r="E151" i="8"/>
  <c r="G150" i="8"/>
  <c r="E150" i="8"/>
  <c r="G149" i="8"/>
  <c r="E149" i="8"/>
  <c r="G148" i="8"/>
  <c r="E148" i="8"/>
  <c r="G147" i="8"/>
  <c r="E147" i="8"/>
  <c r="G146" i="8"/>
  <c r="E146" i="8"/>
  <c r="G145" i="8"/>
  <c r="E145" i="8"/>
  <c r="G144" i="8"/>
  <c r="E144" i="8"/>
  <c r="G143" i="8"/>
  <c r="E143" i="8"/>
  <c r="G142" i="8"/>
  <c r="E142" i="8"/>
  <c r="G141" i="8"/>
  <c r="E141" i="8"/>
  <c r="G140" i="8"/>
  <c r="E140" i="8"/>
  <c r="G139" i="8"/>
  <c r="E139" i="8"/>
  <c r="G138" i="8"/>
  <c r="E138" i="8"/>
  <c r="G137" i="8"/>
  <c r="E137" i="8"/>
  <c r="G136" i="8"/>
  <c r="E136" i="8"/>
  <c r="G135" i="8"/>
  <c r="E135" i="8"/>
  <c r="G134" i="8"/>
  <c r="E134" i="8"/>
  <c r="G133" i="8"/>
  <c r="E133" i="8"/>
  <c r="G132" i="8"/>
  <c r="E132" i="8"/>
  <c r="G131" i="8"/>
  <c r="E131" i="8"/>
  <c r="G130" i="8"/>
  <c r="E130" i="8"/>
  <c r="G129" i="8"/>
  <c r="E129" i="8"/>
  <c r="G128" i="8"/>
  <c r="E128" i="8"/>
  <c r="G127" i="8"/>
  <c r="E127" i="8"/>
  <c r="G126" i="8"/>
  <c r="E126" i="8"/>
  <c r="G125" i="8"/>
  <c r="E125" i="8"/>
  <c r="G124" i="8"/>
  <c r="E124" i="8"/>
  <c r="G123" i="8"/>
  <c r="E123" i="8"/>
  <c r="G122" i="8"/>
  <c r="E122" i="8"/>
  <c r="G121" i="8"/>
  <c r="E121" i="8"/>
  <c r="G120" i="8"/>
  <c r="E120" i="8"/>
  <c r="G119" i="8"/>
  <c r="E119" i="8"/>
  <c r="G118" i="8"/>
  <c r="E118" i="8"/>
  <c r="G117" i="8"/>
  <c r="E117" i="8"/>
  <c r="G116" i="8"/>
  <c r="E116" i="8"/>
  <c r="G115" i="8"/>
  <c r="E115" i="8"/>
  <c r="G114" i="8"/>
  <c r="E114" i="8"/>
  <c r="G113" i="8"/>
  <c r="E113" i="8"/>
  <c r="G112" i="8"/>
  <c r="E112" i="8"/>
  <c r="G111" i="8"/>
  <c r="E111" i="8"/>
  <c r="G110" i="8"/>
  <c r="E110" i="8"/>
  <c r="G109" i="8"/>
  <c r="E109" i="8"/>
  <c r="G108" i="8"/>
  <c r="E108" i="8"/>
  <c r="G107" i="8"/>
  <c r="E107" i="8"/>
  <c r="G106" i="8"/>
  <c r="E106" i="8"/>
  <c r="G105" i="8"/>
  <c r="E105" i="8"/>
  <c r="G104" i="8"/>
  <c r="E104" i="8"/>
  <c r="G103" i="8"/>
  <c r="E103" i="8"/>
  <c r="G102" i="8"/>
  <c r="E102" i="8"/>
  <c r="G101" i="8"/>
  <c r="E101" i="8"/>
  <c r="G100" i="8"/>
  <c r="E100" i="8"/>
  <c r="G99" i="8"/>
  <c r="E99" i="8"/>
  <c r="G98" i="8"/>
  <c r="E98" i="8"/>
  <c r="G97" i="8"/>
  <c r="E97" i="8"/>
  <c r="G96" i="8"/>
  <c r="E96" i="8"/>
  <c r="G95" i="8"/>
  <c r="E95" i="8"/>
  <c r="G94" i="8"/>
  <c r="E94" i="8"/>
  <c r="G93" i="8"/>
  <c r="E93" i="8"/>
  <c r="G92" i="8"/>
  <c r="E92" i="8"/>
  <c r="G91" i="8"/>
  <c r="E91" i="8"/>
  <c r="G90" i="8"/>
  <c r="E90" i="8"/>
  <c r="G89" i="8"/>
  <c r="E89" i="8"/>
  <c r="G88" i="8"/>
  <c r="E88" i="8"/>
  <c r="G87" i="8"/>
  <c r="E87" i="8"/>
  <c r="G86" i="8"/>
  <c r="E86" i="8"/>
  <c r="G85" i="8"/>
  <c r="E85" i="8"/>
  <c r="G84" i="8"/>
  <c r="E84" i="8"/>
  <c r="G83" i="8"/>
  <c r="E83" i="8"/>
  <c r="G82" i="8"/>
  <c r="E82" i="8"/>
  <c r="G81" i="8"/>
  <c r="E81" i="8"/>
  <c r="G80" i="8"/>
  <c r="E80" i="8"/>
  <c r="G79" i="8"/>
  <c r="E79" i="8"/>
  <c r="G78" i="8"/>
  <c r="E78" i="8"/>
  <c r="G77" i="8"/>
  <c r="E77" i="8"/>
  <c r="G76" i="8"/>
  <c r="E76" i="8"/>
  <c r="G75" i="8"/>
  <c r="E75" i="8"/>
  <c r="G74" i="8"/>
  <c r="E74" i="8"/>
  <c r="G73" i="8"/>
  <c r="E73" i="8"/>
  <c r="G72" i="8"/>
  <c r="E72" i="8"/>
  <c r="G71" i="8"/>
  <c r="E71" i="8"/>
  <c r="G70" i="8"/>
  <c r="E70" i="8"/>
  <c r="G69" i="8"/>
  <c r="E69" i="8"/>
  <c r="G68" i="8"/>
  <c r="E68" i="8"/>
  <c r="G67" i="8"/>
  <c r="E67" i="8"/>
  <c r="G66" i="8"/>
  <c r="E66" i="8"/>
  <c r="G65" i="8"/>
  <c r="E65" i="8"/>
  <c r="G64" i="8"/>
  <c r="E64" i="8"/>
  <c r="G63" i="8"/>
  <c r="E63" i="8"/>
  <c r="G62" i="8"/>
  <c r="E62" i="8"/>
  <c r="G61" i="8"/>
  <c r="E61" i="8"/>
  <c r="G60" i="8"/>
  <c r="E60" i="8"/>
  <c r="G59" i="8"/>
  <c r="E59" i="8"/>
  <c r="G58" i="8"/>
  <c r="E58" i="8"/>
  <c r="G57" i="8"/>
  <c r="E57" i="8"/>
  <c r="G56" i="8"/>
  <c r="E56" i="8"/>
  <c r="G55" i="8"/>
  <c r="E55" i="8"/>
  <c r="G54" i="8"/>
  <c r="E54" i="8"/>
  <c r="G53" i="8"/>
  <c r="E53" i="8"/>
  <c r="G52" i="8"/>
  <c r="E52" i="8"/>
  <c r="G51" i="8"/>
  <c r="E51" i="8"/>
  <c r="G50" i="8"/>
  <c r="E50" i="8"/>
  <c r="G49" i="8"/>
  <c r="E49" i="8"/>
  <c r="G48" i="8"/>
  <c r="E48" i="8"/>
  <c r="G47" i="8"/>
  <c r="E47" i="8"/>
  <c r="G46" i="8"/>
  <c r="E46" i="8"/>
  <c r="G45" i="8"/>
  <c r="E45" i="8"/>
  <c r="G44" i="8"/>
  <c r="E44" i="8"/>
  <c r="G43" i="8"/>
  <c r="E43" i="8"/>
  <c r="G42" i="8"/>
  <c r="E42" i="8"/>
  <c r="G41" i="8"/>
  <c r="E41" i="8"/>
  <c r="G40" i="8"/>
  <c r="E40" i="8"/>
  <c r="G39" i="8"/>
  <c r="E39" i="8"/>
  <c r="G38" i="8"/>
  <c r="E38" i="8"/>
  <c r="G37" i="8"/>
  <c r="E37" i="8"/>
  <c r="G36" i="8"/>
  <c r="E36" i="8"/>
  <c r="G35" i="8"/>
  <c r="E35" i="8"/>
  <c r="G34" i="8"/>
  <c r="E34" i="8"/>
  <c r="G33" i="8"/>
  <c r="E33" i="8"/>
  <c r="G32" i="8"/>
  <c r="E32" i="8"/>
  <c r="G31" i="8"/>
  <c r="E31" i="8"/>
  <c r="G30" i="8"/>
  <c r="E30" i="8"/>
  <c r="G29" i="8"/>
  <c r="E29" i="8"/>
  <c r="G28" i="8"/>
  <c r="E28" i="8"/>
  <c r="G27" i="8"/>
  <c r="E27" i="8"/>
  <c r="G26" i="8"/>
  <c r="E26" i="8"/>
  <c r="G25" i="8"/>
  <c r="E25" i="8"/>
  <c r="G24" i="8"/>
  <c r="E24" i="8"/>
  <c r="G23" i="8"/>
  <c r="E23" i="8"/>
  <c r="G22" i="8"/>
  <c r="E22" i="8"/>
  <c r="G21" i="8"/>
  <c r="E21" i="8"/>
  <c r="G20" i="8"/>
  <c r="E20" i="8"/>
  <c r="G19" i="8"/>
  <c r="E19" i="8"/>
  <c r="G18" i="8"/>
  <c r="E18" i="8"/>
  <c r="G17" i="8"/>
  <c r="E17" i="8"/>
  <c r="G16" i="8"/>
  <c r="E16" i="8"/>
  <c r="G15" i="8"/>
  <c r="E15" i="8"/>
  <c r="G14" i="8"/>
  <c r="E14" i="8"/>
  <c r="G13" i="8"/>
  <c r="E13" i="8"/>
  <c r="G12" i="8"/>
  <c r="E12" i="8"/>
  <c r="G11" i="8"/>
  <c r="E11" i="8"/>
  <c r="G10" i="8"/>
  <c r="E10" i="8"/>
  <c r="G9" i="8"/>
  <c r="E9" i="8"/>
  <c r="K8" i="8" s="1"/>
  <c r="K9" i="8" s="1"/>
  <c r="G8" i="8"/>
  <c r="AX14" i="4"/>
  <c r="AU11" i="6"/>
  <c r="AU12" i="6" s="1"/>
  <c r="AT11" i="6"/>
  <c r="AT12" i="6" s="1"/>
  <c r="AQ20" i="2"/>
  <c r="AQ19" i="2"/>
  <c r="AQ10" i="4"/>
  <c r="AQ12" i="4"/>
  <c r="J16" i="2"/>
  <c r="Y259" i="2"/>
  <c r="Y258" i="2"/>
  <c r="Y257" i="2"/>
  <c r="Y256" i="2"/>
  <c r="Y255" i="2"/>
  <c r="Y254" i="2"/>
  <c r="Y253" i="2"/>
  <c r="Y252" i="2"/>
  <c r="Y251" i="2"/>
  <c r="Y250" i="2"/>
  <c r="Y249" i="2"/>
  <c r="Y248" i="2"/>
  <c r="Y247" i="2"/>
  <c r="Y246" i="2"/>
  <c r="Y245" i="2"/>
  <c r="Y244" i="2"/>
  <c r="Y243" i="2"/>
  <c r="Y242" i="2"/>
  <c r="Y241" i="2"/>
  <c r="Y240" i="2"/>
  <c r="Y239" i="2"/>
  <c r="Y238" i="2"/>
  <c r="Y237" i="2"/>
  <c r="Y236" i="2"/>
  <c r="Y235" i="2"/>
  <c r="Y234" i="2"/>
  <c r="Y233" i="2"/>
  <c r="Y232" i="2"/>
  <c r="Y231" i="2"/>
  <c r="Y230" i="2"/>
  <c r="Y229" i="2"/>
  <c r="Y228" i="2"/>
  <c r="Y227" i="2"/>
  <c r="Y226" i="2"/>
  <c r="Y225" i="2"/>
  <c r="Y224" i="2"/>
  <c r="Y223" i="2"/>
  <c r="Y222" i="2"/>
  <c r="Y221" i="2"/>
  <c r="Y220" i="2"/>
  <c r="Y219" i="2"/>
  <c r="Y218" i="2"/>
  <c r="Y217" i="2"/>
  <c r="Y216" i="2"/>
  <c r="Y215" i="2"/>
  <c r="Y214" i="2"/>
  <c r="Y213" i="2"/>
  <c r="Y212" i="2"/>
  <c r="Y211" i="2"/>
  <c r="Y210" i="2"/>
  <c r="Y209" i="2"/>
  <c r="Y208" i="2"/>
  <c r="Y207" i="2"/>
  <c r="Y206" i="2"/>
  <c r="Y205" i="2"/>
  <c r="Y204" i="2"/>
  <c r="Y203" i="2"/>
  <c r="Y202" i="2"/>
  <c r="Y201" i="2"/>
  <c r="Y200" i="2"/>
  <c r="Y199" i="2"/>
  <c r="Y198" i="2"/>
  <c r="Y197" i="2"/>
  <c r="Y196" i="2"/>
  <c r="Y195" i="2"/>
  <c r="Y194" i="2"/>
  <c r="Y193" i="2"/>
  <c r="Y192" i="2"/>
  <c r="Y191" i="2"/>
  <c r="Y190" i="2"/>
  <c r="Y189" i="2"/>
  <c r="Y188" i="2"/>
  <c r="Y187" i="2"/>
  <c r="Y186" i="2"/>
  <c r="Y185" i="2"/>
  <c r="Y184" i="2"/>
  <c r="Y183" i="2"/>
  <c r="Y182" i="2"/>
  <c r="Y181" i="2"/>
  <c r="Y180" i="2"/>
  <c r="Y179" i="2"/>
  <c r="Y178" i="2"/>
  <c r="Y177" i="2"/>
  <c r="Y176" i="2"/>
  <c r="Y175" i="2"/>
  <c r="Y174" i="2"/>
  <c r="Y173" i="2"/>
  <c r="Y172" i="2"/>
  <c r="Y171" i="2"/>
  <c r="Y170" i="2"/>
  <c r="Y169" i="2"/>
  <c r="Y168" i="2"/>
  <c r="Y167" i="2"/>
  <c r="Y166" i="2"/>
  <c r="Y165" i="2"/>
  <c r="Y164" i="2"/>
  <c r="Y163" i="2"/>
  <c r="Y162" i="2"/>
  <c r="Y161" i="2"/>
  <c r="Y160" i="2"/>
  <c r="Y159" i="2"/>
  <c r="Y158" i="2"/>
  <c r="Y157" i="2"/>
  <c r="Y156" i="2"/>
  <c r="Y155" i="2"/>
  <c r="Y154" i="2"/>
  <c r="Y153" i="2"/>
  <c r="Y152" i="2"/>
  <c r="Y151" i="2"/>
  <c r="Y150" i="2"/>
  <c r="Y149" i="2"/>
  <c r="Y148" i="2"/>
  <c r="Y147" i="2"/>
  <c r="Y146" i="2"/>
  <c r="Y145" i="2"/>
  <c r="Y144" i="2"/>
  <c r="Y143" i="2"/>
  <c r="Y142" i="2"/>
  <c r="Y141" i="2"/>
  <c r="Y140" i="2"/>
  <c r="Y139" i="2"/>
  <c r="Y138" i="2"/>
  <c r="Y137" i="2"/>
  <c r="Y136" i="2"/>
  <c r="Y135" i="2"/>
  <c r="Y134" i="2"/>
  <c r="Y133" i="2"/>
  <c r="Y132" i="2"/>
  <c r="Y131" i="2"/>
  <c r="AB130" i="2"/>
  <c r="Y130" i="2"/>
  <c r="AB129" i="2"/>
  <c r="AC129" i="2" s="1"/>
  <c r="Y129" i="2"/>
  <c r="AB128" i="2"/>
  <c r="AC128" i="2" s="1"/>
  <c r="Y128" i="2"/>
  <c r="AB127" i="2"/>
  <c r="AC127" i="2" s="1"/>
  <c r="Y127" i="2"/>
  <c r="AB126" i="2"/>
  <c r="AC126" i="2" s="1"/>
  <c r="Y126" i="2"/>
  <c r="AB125" i="2"/>
  <c r="AC125" i="2" s="1"/>
  <c r="Y125" i="2"/>
  <c r="AB124" i="2"/>
  <c r="AC124" i="2" s="1"/>
  <c r="Y124" i="2"/>
  <c r="AB123" i="2"/>
  <c r="AC123" i="2" s="1"/>
  <c r="Y123" i="2"/>
  <c r="AB122" i="2"/>
  <c r="AC122" i="2" s="1"/>
  <c r="Y122" i="2"/>
  <c r="AB121" i="2"/>
  <c r="AC121" i="2" s="1"/>
  <c r="Y121" i="2"/>
  <c r="AB120" i="2"/>
  <c r="AC120" i="2" s="1"/>
  <c r="Y120" i="2"/>
  <c r="AB119" i="2"/>
  <c r="AC119" i="2" s="1"/>
  <c r="Y119" i="2"/>
  <c r="AB118" i="2"/>
  <c r="AC118" i="2" s="1"/>
  <c r="Y118" i="2"/>
  <c r="AB117" i="2"/>
  <c r="AC117" i="2" s="1"/>
  <c r="Y117" i="2"/>
  <c r="AB116" i="2"/>
  <c r="AC116" i="2" s="1"/>
  <c r="Y116" i="2"/>
  <c r="AB115" i="2"/>
  <c r="AC115" i="2" s="1"/>
  <c r="Y115" i="2"/>
  <c r="AB114" i="2"/>
  <c r="AC114" i="2" s="1"/>
  <c r="Y114" i="2"/>
  <c r="AB113" i="2"/>
  <c r="AC113" i="2" s="1"/>
  <c r="Y113" i="2"/>
  <c r="AB112" i="2"/>
  <c r="AC112" i="2" s="1"/>
  <c r="Y112" i="2"/>
  <c r="AB111" i="2"/>
  <c r="AC111" i="2" s="1"/>
  <c r="Y111" i="2"/>
  <c r="AB110" i="2"/>
  <c r="AC110" i="2" s="1"/>
  <c r="Y110" i="2"/>
  <c r="AB109" i="2"/>
  <c r="AC109" i="2" s="1"/>
  <c r="Y109" i="2"/>
  <c r="AB108" i="2"/>
  <c r="AC108" i="2" s="1"/>
  <c r="Y108" i="2"/>
  <c r="AB107" i="2"/>
  <c r="AC107" i="2" s="1"/>
  <c r="Y107" i="2"/>
  <c r="AB106" i="2"/>
  <c r="AC106" i="2" s="1"/>
  <c r="Y106" i="2"/>
  <c r="AB105" i="2"/>
  <c r="AC105" i="2" s="1"/>
  <c r="Y105" i="2"/>
  <c r="AB104" i="2"/>
  <c r="AC104" i="2" s="1"/>
  <c r="Y104" i="2"/>
  <c r="AB103" i="2"/>
  <c r="AC103" i="2" s="1"/>
  <c r="Y103" i="2"/>
  <c r="AB102" i="2"/>
  <c r="AC102" i="2" s="1"/>
  <c r="Y102" i="2"/>
  <c r="AB101" i="2"/>
  <c r="AC101" i="2" s="1"/>
  <c r="Y101" i="2"/>
  <c r="AB100" i="2"/>
  <c r="AC100" i="2" s="1"/>
  <c r="Y100" i="2"/>
  <c r="AB99" i="2"/>
  <c r="AC99" i="2" s="1"/>
  <c r="Y99" i="2"/>
  <c r="AB98" i="2"/>
  <c r="AC98" i="2" s="1"/>
  <c r="Y98" i="2"/>
  <c r="AB97" i="2"/>
  <c r="AC97" i="2" s="1"/>
  <c r="Y97" i="2"/>
  <c r="AB96" i="2"/>
  <c r="AC96" i="2" s="1"/>
  <c r="Y96" i="2"/>
  <c r="AB95" i="2"/>
  <c r="AC95" i="2" s="1"/>
  <c r="Y95" i="2"/>
  <c r="AB94" i="2"/>
  <c r="AC94" i="2" s="1"/>
  <c r="Y94" i="2"/>
  <c r="AB93" i="2"/>
  <c r="AC93" i="2" s="1"/>
  <c r="Y93" i="2"/>
  <c r="AB92" i="2"/>
  <c r="AC92" i="2" s="1"/>
  <c r="Y92" i="2"/>
  <c r="AB91" i="2"/>
  <c r="AC91" i="2" s="1"/>
  <c r="Y91" i="2"/>
  <c r="AB90" i="2"/>
  <c r="AC90" i="2" s="1"/>
  <c r="Y90" i="2"/>
  <c r="AB89" i="2"/>
  <c r="AC89" i="2" s="1"/>
  <c r="Y89" i="2"/>
  <c r="AB88" i="2"/>
  <c r="AC88" i="2" s="1"/>
  <c r="Y88" i="2"/>
  <c r="AB87" i="2"/>
  <c r="AC87" i="2" s="1"/>
  <c r="Y87" i="2"/>
  <c r="AB86" i="2"/>
  <c r="AC86" i="2" s="1"/>
  <c r="Y86" i="2"/>
  <c r="AB85" i="2"/>
  <c r="AC85" i="2" s="1"/>
  <c r="Y85" i="2"/>
  <c r="AB84" i="2"/>
  <c r="AC84" i="2" s="1"/>
  <c r="Y84" i="2"/>
  <c r="AB83" i="2"/>
  <c r="AC83" i="2" s="1"/>
  <c r="Y83" i="2"/>
  <c r="AB82" i="2"/>
  <c r="AC82" i="2" s="1"/>
  <c r="Y82" i="2"/>
  <c r="AB81" i="2"/>
  <c r="AC81" i="2" s="1"/>
  <c r="Y81" i="2"/>
  <c r="AB80" i="2"/>
  <c r="AC80" i="2" s="1"/>
  <c r="Y80" i="2"/>
  <c r="AB79" i="2"/>
  <c r="AC79" i="2" s="1"/>
  <c r="Y79" i="2"/>
  <c r="AB78" i="2"/>
  <c r="AC78" i="2" s="1"/>
  <c r="Y78" i="2"/>
  <c r="AB77" i="2"/>
  <c r="AC77" i="2" s="1"/>
  <c r="Y77" i="2"/>
  <c r="AB76" i="2"/>
  <c r="AC76" i="2" s="1"/>
  <c r="Y76" i="2"/>
  <c r="AB75" i="2"/>
  <c r="AC75" i="2" s="1"/>
  <c r="Y75" i="2"/>
  <c r="AB74" i="2"/>
  <c r="AC74" i="2" s="1"/>
  <c r="Y74" i="2"/>
  <c r="AB73" i="2"/>
  <c r="AC73" i="2" s="1"/>
  <c r="Y73" i="2"/>
  <c r="AB72" i="2"/>
  <c r="AC72" i="2" s="1"/>
  <c r="Y72" i="2"/>
  <c r="AF71" i="2"/>
  <c r="AB71" i="2"/>
  <c r="AC71" i="2" s="1"/>
  <c r="Y71" i="2"/>
  <c r="AF70" i="2"/>
  <c r="AG70" i="2" s="1"/>
  <c r="AB70" i="2"/>
  <c r="AC70" i="2" s="1"/>
  <c r="Y70" i="2"/>
  <c r="AF69" i="2"/>
  <c r="AG69" i="2" s="1"/>
  <c r="AB69" i="2"/>
  <c r="AC69" i="2" s="1"/>
  <c r="Y69" i="2"/>
  <c r="AF68" i="2"/>
  <c r="AG68" i="2" s="1"/>
  <c r="AB68" i="2"/>
  <c r="AC68" i="2" s="1"/>
  <c r="Y68" i="2"/>
  <c r="AF67" i="2"/>
  <c r="AG67" i="2" s="1"/>
  <c r="AB67" i="2"/>
  <c r="AC67" i="2" s="1"/>
  <c r="Y67" i="2"/>
  <c r="AF66" i="2"/>
  <c r="AG66" i="2" s="1"/>
  <c r="AB66" i="2"/>
  <c r="AC66" i="2" s="1"/>
  <c r="Y66" i="2"/>
  <c r="AF65" i="2"/>
  <c r="AG65" i="2" s="1"/>
  <c r="AB65" i="2"/>
  <c r="AC65" i="2" s="1"/>
  <c r="Y65" i="2"/>
  <c r="AF64" i="2"/>
  <c r="AG64" i="2" s="1"/>
  <c r="AB64" i="2"/>
  <c r="AC64" i="2" s="1"/>
  <c r="Y64" i="2"/>
  <c r="AF63" i="2"/>
  <c r="AG63" i="2" s="1"/>
  <c r="AB63" i="2"/>
  <c r="AC63" i="2" s="1"/>
  <c r="Y63" i="2"/>
  <c r="AF62" i="2"/>
  <c r="AG62" i="2" s="1"/>
  <c r="AB62" i="2"/>
  <c r="AC62" i="2" s="1"/>
  <c r="Y62" i="2"/>
  <c r="AF61" i="2"/>
  <c r="AG61" i="2" s="1"/>
  <c r="AB61" i="2"/>
  <c r="AC61" i="2" s="1"/>
  <c r="Y61" i="2"/>
  <c r="AF60" i="2"/>
  <c r="AG60" i="2" s="1"/>
  <c r="AB60" i="2"/>
  <c r="AC60" i="2" s="1"/>
  <c r="Y60" i="2"/>
  <c r="AF59" i="2"/>
  <c r="AG59" i="2" s="1"/>
  <c r="AB59" i="2"/>
  <c r="AC59" i="2" s="1"/>
  <c r="Y59" i="2"/>
  <c r="AF58" i="2"/>
  <c r="AG58" i="2" s="1"/>
  <c r="AB58" i="2"/>
  <c r="AC58" i="2" s="1"/>
  <c r="Y58" i="2"/>
  <c r="AF57" i="2"/>
  <c r="AG57" i="2" s="1"/>
  <c r="AB57" i="2"/>
  <c r="AC57" i="2" s="1"/>
  <c r="Y57" i="2"/>
  <c r="AF56" i="2"/>
  <c r="AG56" i="2" s="1"/>
  <c r="AB56" i="2"/>
  <c r="AC56" i="2" s="1"/>
  <c r="Y56" i="2"/>
  <c r="AF55" i="2"/>
  <c r="AG55" i="2" s="1"/>
  <c r="AB55" i="2"/>
  <c r="AC55" i="2" s="1"/>
  <c r="Y55" i="2"/>
  <c r="AF54" i="2"/>
  <c r="AG54" i="2" s="1"/>
  <c r="AB54" i="2"/>
  <c r="AC54" i="2" s="1"/>
  <c r="Y54" i="2"/>
  <c r="AF53" i="2"/>
  <c r="AG53" i="2" s="1"/>
  <c r="AB53" i="2"/>
  <c r="AC53" i="2" s="1"/>
  <c r="Y53" i="2"/>
  <c r="AF52" i="2"/>
  <c r="AG52" i="2" s="1"/>
  <c r="AB52" i="2"/>
  <c r="AC52" i="2" s="1"/>
  <c r="Y52" i="2"/>
  <c r="AF51" i="2"/>
  <c r="AG51" i="2" s="1"/>
  <c r="AB51" i="2"/>
  <c r="AC51" i="2" s="1"/>
  <c r="Y51" i="2"/>
  <c r="AF50" i="2"/>
  <c r="AG50" i="2" s="1"/>
  <c r="AB50" i="2"/>
  <c r="AC50" i="2" s="1"/>
  <c r="Y50" i="2"/>
  <c r="AF49" i="2"/>
  <c r="AG49" i="2" s="1"/>
  <c r="AB49" i="2"/>
  <c r="AC49" i="2" s="1"/>
  <c r="Y49" i="2"/>
  <c r="AF48" i="2"/>
  <c r="AG48" i="2" s="1"/>
  <c r="AB48" i="2"/>
  <c r="AC48" i="2" s="1"/>
  <c r="Y48" i="2"/>
  <c r="AF47" i="2"/>
  <c r="AG47" i="2" s="1"/>
  <c r="AB47" i="2"/>
  <c r="AC47" i="2" s="1"/>
  <c r="Y47" i="2"/>
  <c r="AF46" i="2"/>
  <c r="AG46" i="2" s="1"/>
  <c r="AB46" i="2"/>
  <c r="AC46" i="2" s="1"/>
  <c r="Y46" i="2"/>
  <c r="AF45" i="2"/>
  <c r="AG45" i="2" s="1"/>
  <c r="AB45" i="2"/>
  <c r="AC45" i="2" s="1"/>
  <c r="Y45" i="2"/>
  <c r="AF44" i="2"/>
  <c r="AG44" i="2" s="1"/>
  <c r="AB44" i="2"/>
  <c r="AC44" i="2" s="1"/>
  <c r="Y44" i="2"/>
  <c r="AF43" i="2"/>
  <c r="AG43" i="2" s="1"/>
  <c r="AB43" i="2"/>
  <c r="AC43" i="2" s="1"/>
  <c r="Y43" i="2"/>
  <c r="AF42" i="2"/>
  <c r="AG42" i="2" s="1"/>
  <c r="AB42" i="2"/>
  <c r="AC42" i="2" s="1"/>
  <c r="Y42" i="2"/>
  <c r="AF41" i="2"/>
  <c r="AG41" i="2" s="1"/>
  <c r="AB41" i="2"/>
  <c r="AC41" i="2" s="1"/>
  <c r="Y41" i="2"/>
  <c r="AF40" i="2"/>
  <c r="AG40" i="2" s="1"/>
  <c r="AB40" i="2"/>
  <c r="AC40" i="2" s="1"/>
  <c r="Y40" i="2"/>
  <c r="AF39" i="2"/>
  <c r="AG39" i="2" s="1"/>
  <c r="AB39" i="2"/>
  <c r="AC39" i="2" s="1"/>
  <c r="Y39" i="2"/>
  <c r="AF38" i="2"/>
  <c r="AG38" i="2" s="1"/>
  <c r="AB38" i="2"/>
  <c r="AC38" i="2" s="1"/>
  <c r="Y38" i="2"/>
  <c r="AF37" i="2"/>
  <c r="AG37" i="2" s="1"/>
  <c r="AB37" i="2"/>
  <c r="AC37" i="2" s="1"/>
  <c r="Y37" i="2"/>
  <c r="AF36" i="2"/>
  <c r="AG36" i="2" s="1"/>
  <c r="AB36" i="2"/>
  <c r="AC36" i="2" s="1"/>
  <c r="Y36" i="2"/>
  <c r="AF35" i="2"/>
  <c r="AG35" i="2" s="1"/>
  <c r="AB35" i="2"/>
  <c r="AC35" i="2" s="1"/>
  <c r="Y35" i="2"/>
  <c r="AF34" i="2"/>
  <c r="AG34" i="2" s="1"/>
  <c r="AB34" i="2"/>
  <c r="AC34" i="2" s="1"/>
  <c r="Y34" i="2"/>
  <c r="AF33" i="2"/>
  <c r="AG33" i="2" s="1"/>
  <c r="AB33" i="2"/>
  <c r="AC33" i="2" s="1"/>
  <c r="Y33" i="2"/>
  <c r="AF32" i="2"/>
  <c r="AG32" i="2" s="1"/>
  <c r="AB32" i="2"/>
  <c r="AC32" i="2" s="1"/>
  <c r="Y32" i="2"/>
  <c r="AF31" i="2"/>
  <c r="AG31" i="2" s="1"/>
  <c r="AB31" i="2"/>
  <c r="AC31" i="2" s="1"/>
  <c r="Y31" i="2"/>
  <c r="AF30" i="2"/>
  <c r="AG30" i="2" s="1"/>
  <c r="AB30" i="2"/>
  <c r="AC30" i="2" s="1"/>
  <c r="Y30" i="2"/>
  <c r="AJ29" i="2"/>
  <c r="AF29" i="2"/>
  <c r="AG29" i="2" s="1"/>
  <c r="AB29" i="2"/>
  <c r="AC29" i="2" s="1"/>
  <c r="Y29" i="2"/>
  <c r="AJ28" i="2"/>
  <c r="AK28" i="2" s="1"/>
  <c r="AF28" i="2"/>
  <c r="AG28" i="2" s="1"/>
  <c r="AB28" i="2"/>
  <c r="AC28" i="2" s="1"/>
  <c r="Y28" i="2"/>
  <c r="AJ27" i="2"/>
  <c r="AK27" i="2" s="1"/>
  <c r="AF27" i="2"/>
  <c r="AG27" i="2" s="1"/>
  <c r="AB27" i="2"/>
  <c r="AC27" i="2" s="1"/>
  <c r="Y27" i="2"/>
  <c r="AJ26" i="2"/>
  <c r="AK26" i="2" s="1"/>
  <c r="AF26" i="2"/>
  <c r="AG26" i="2" s="1"/>
  <c r="AB26" i="2"/>
  <c r="AC26" i="2" s="1"/>
  <c r="Y26" i="2"/>
  <c r="AJ25" i="2"/>
  <c r="AK25" i="2" s="1"/>
  <c r="AF25" i="2"/>
  <c r="AG25" i="2" s="1"/>
  <c r="AB25" i="2"/>
  <c r="AC25" i="2" s="1"/>
  <c r="Y25" i="2"/>
  <c r="AJ24" i="2"/>
  <c r="AK24" i="2" s="1"/>
  <c r="AF24" i="2"/>
  <c r="AG24" i="2" s="1"/>
  <c r="AB24" i="2"/>
  <c r="AC24" i="2" s="1"/>
  <c r="Y24" i="2"/>
  <c r="AJ23" i="2"/>
  <c r="AK23" i="2" s="1"/>
  <c r="AF23" i="2"/>
  <c r="AG23" i="2" s="1"/>
  <c r="AB23" i="2"/>
  <c r="AC23" i="2" s="1"/>
  <c r="Y23" i="2"/>
  <c r="AJ22" i="2"/>
  <c r="AK22" i="2" s="1"/>
  <c r="AF22" i="2"/>
  <c r="AG22" i="2" s="1"/>
  <c r="AB22" i="2"/>
  <c r="AC22" i="2" s="1"/>
  <c r="Y22" i="2"/>
  <c r="AJ21" i="2"/>
  <c r="AK21" i="2" s="1"/>
  <c r="AF21" i="2"/>
  <c r="AG21" i="2" s="1"/>
  <c r="AB21" i="2"/>
  <c r="AC21" i="2" s="1"/>
  <c r="Y21" i="2"/>
  <c r="AJ20" i="2"/>
  <c r="AK20" i="2" s="1"/>
  <c r="AF20" i="2"/>
  <c r="AG20" i="2" s="1"/>
  <c r="AB20" i="2"/>
  <c r="AC20" i="2" s="1"/>
  <c r="Y20" i="2"/>
  <c r="AJ19" i="2"/>
  <c r="AK19" i="2" s="1"/>
  <c r="AF19" i="2"/>
  <c r="AG19" i="2" s="1"/>
  <c r="AB19" i="2"/>
  <c r="AC19" i="2" s="1"/>
  <c r="Y19" i="2"/>
  <c r="AJ18" i="2"/>
  <c r="AK18" i="2" s="1"/>
  <c r="AF18" i="2"/>
  <c r="AG18" i="2" s="1"/>
  <c r="AB18" i="2"/>
  <c r="AC18" i="2" s="1"/>
  <c r="Y18" i="2"/>
  <c r="AJ17" i="2"/>
  <c r="AK17" i="2" s="1"/>
  <c r="AF17" i="2"/>
  <c r="AG17" i="2" s="1"/>
  <c r="AB17" i="2"/>
  <c r="AC17" i="2" s="1"/>
  <c r="Y17" i="2"/>
  <c r="AJ16" i="2"/>
  <c r="AK16" i="2" s="1"/>
  <c r="AF16" i="2"/>
  <c r="AG16" i="2" s="1"/>
  <c r="AB16" i="2"/>
  <c r="AC16" i="2" s="1"/>
  <c r="Y16" i="2"/>
  <c r="AJ15" i="2"/>
  <c r="AK15" i="2" s="1"/>
  <c r="AF15" i="2"/>
  <c r="AG15" i="2" s="1"/>
  <c r="AB15" i="2"/>
  <c r="AC15" i="2" s="1"/>
  <c r="Y15" i="2"/>
  <c r="AJ14" i="2"/>
  <c r="AK14" i="2" s="1"/>
  <c r="AF14" i="2"/>
  <c r="AG14" i="2" s="1"/>
  <c r="AB14" i="2"/>
  <c r="AC14" i="2" s="1"/>
  <c r="Y14" i="2"/>
  <c r="AJ13" i="2"/>
  <c r="AK13" i="2" s="1"/>
  <c r="AF13" i="2"/>
  <c r="AG13" i="2" s="1"/>
  <c r="AB13" i="2"/>
  <c r="AC13" i="2" s="1"/>
  <c r="Y13" i="2"/>
  <c r="AJ12" i="2"/>
  <c r="AK12" i="2" s="1"/>
  <c r="AF12" i="2"/>
  <c r="AG12" i="2" s="1"/>
  <c r="AB12" i="2"/>
  <c r="AC12" i="2" s="1"/>
  <c r="Y12" i="2"/>
  <c r="AJ11" i="2"/>
  <c r="AK11" i="2" s="1"/>
  <c r="AF11" i="2"/>
  <c r="AG11" i="2" s="1"/>
  <c r="AB11" i="2"/>
  <c r="AC11" i="2" s="1"/>
  <c r="Y11" i="2"/>
  <c r="AJ10" i="2"/>
  <c r="AK10" i="2" s="1"/>
  <c r="AF10" i="2"/>
  <c r="AG10" i="2" s="1"/>
  <c r="AB10" i="2"/>
  <c r="AC10" i="2" s="1"/>
  <c r="Y10" i="2"/>
  <c r="AJ9" i="2"/>
  <c r="AK9" i="2" s="1"/>
  <c r="AF9" i="2"/>
  <c r="AG9" i="2" s="1"/>
  <c r="AB9" i="2"/>
  <c r="AC9" i="2" s="1"/>
  <c r="Y9" i="2"/>
  <c r="AJ8" i="2"/>
  <c r="AF8" i="2"/>
  <c r="AB8" i="2"/>
  <c r="X8" i="2"/>
  <c r="G515" i="2"/>
  <c r="G514" i="2"/>
  <c r="G513" i="2"/>
  <c r="G512" i="2"/>
  <c r="G511" i="2"/>
  <c r="G510" i="2"/>
  <c r="G509" i="2"/>
  <c r="G508" i="2"/>
  <c r="G507" i="2"/>
  <c r="G506" i="2"/>
  <c r="G505" i="2"/>
  <c r="G504" i="2"/>
  <c r="G503" i="2"/>
  <c r="G502" i="2"/>
  <c r="G501" i="2"/>
  <c r="G500" i="2"/>
  <c r="G499" i="2"/>
  <c r="G498" i="2"/>
  <c r="G497" i="2"/>
  <c r="G496" i="2"/>
  <c r="G495" i="2"/>
  <c r="G494" i="2"/>
  <c r="G493" i="2"/>
  <c r="G492" i="2"/>
  <c r="G491" i="2"/>
  <c r="G490" i="2"/>
  <c r="G489" i="2"/>
  <c r="G488" i="2"/>
  <c r="G487" i="2"/>
  <c r="G486" i="2"/>
  <c r="G485" i="2"/>
  <c r="G484" i="2"/>
  <c r="G483" i="2"/>
  <c r="G482" i="2"/>
  <c r="G481" i="2"/>
  <c r="G480" i="2"/>
  <c r="G479" i="2"/>
  <c r="G478" i="2"/>
  <c r="G477" i="2"/>
  <c r="G476" i="2"/>
  <c r="G475" i="2"/>
  <c r="G474" i="2"/>
  <c r="G473" i="2"/>
  <c r="G472" i="2"/>
  <c r="G471" i="2"/>
  <c r="G470" i="2"/>
  <c r="G469" i="2"/>
  <c r="G468" i="2"/>
  <c r="G467" i="2"/>
  <c r="G466" i="2"/>
  <c r="G465" i="2"/>
  <c r="G464" i="2"/>
  <c r="G463" i="2"/>
  <c r="G462" i="2"/>
  <c r="G461" i="2"/>
  <c r="G460" i="2"/>
  <c r="G459" i="2"/>
  <c r="G458" i="2"/>
  <c r="G457" i="2"/>
  <c r="G456" i="2"/>
  <c r="G455" i="2"/>
  <c r="G454" i="2"/>
  <c r="G453" i="2"/>
  <c r="G452" i="2"/>
  <c r="G451" i="2"/>
  <c r="G450" i="2"/>
  <c r="G449" i="2"/>
  <c r="G448" i="2"/>
  <c r="G447" i="2"/>
  <c r="G446" i="2"/>
  <c r="G445" i="2"/>
  <c r="G444" i="2"/>
  <c r="G443" i="2"/>
  <c r="G442" i="2"/>
  <c r="G441" i="2"/>
  <c r="G440" i="2"/>
  <c r="G439" i="2"/>
  <c r="G438" i="2"/>
  <c r="G437" i="2"/>
  <c r="G436" i="2"/>
  <c r="G435" i="2"/>
  <c r="G434" i="2"/>
  <c r="G433" i="2"/>
  <c r="G432" i="2"/>
  <c r="G431" i="2"/>
  <c r="G430" i="2"/>
  <c r="G429" i="2"/>
  <c r="G428" i="2"/>
  <c r="G427" i="2"/>
  <c r="G426" i="2"/>
  <c r="G425" i="2"/>
  <c r="G424" i="2"/>
  <c r="G423" i="2"/>
  <c r="G422" i="2"/>
  <c r="G421" i="2"/>
  <c r="G420" i="2"/>
  <c r="G419" i="2"/>
  <c r="G418" i="2"/>
  <c r="G417" i="2"/>
  <c r="G416" i="2"/>
  <c r="G415" i="2"/>
  <c r="G414" i="2"/>
  <c r="G413" i="2"/>
  <c r="G412" i="2"/>
  <c r="G411" i="2"/>
  <c r="G410" i="2"/>
  <c r="G409" i="2"/>
  <c r="G408" i="2"/>
  <c r="G407" i="2"/>
  <c r="G406" i="2"/>
  <c r="G405" i="2"/>
  <c r="G404" i="2"/>
  <c r="G403" i="2"/>
  <c r="G402" i="2"/>
  <c r="G401" i="2"/>
  <c r="G400" i="2"/>
  <c r="G399" i="2"/>
  <c r="G398" i="2"/>
  <c r="G397" i="2"/>
  <c r="G396" i="2"/>
  <c r="G395" i="2"/>
  <c r="G394" i="2"/>
  <c r="G393" i="2"/>
  <c r="G392" i="2"/>
  <c r="G391" i="2"/>
  <c r="G390" i="2"/>
  <c r="G389" i="2"/>
  <c r="G388" i="2"/>
  <c r="G387" i="2"/>
  <c r="G386" i="2"/>
  <c r="G385" i="2"/>
  <c r="G384" i="2"/>
  <c r="G383" i="2"/>
  <c r="G382" i="2"/>
  <c r="G381" i="2"/>
  <c r="G380" i="2"/>
  <c r="G379" i="2"/>
  <c r="G378" i="2"/>
  <c r="G377" i="2"/>
  <c r="G376" i="2"/>
  <c r="G375" i="2"/>
  <c r="G374" i="2"/>
  <c r="G373" i="2"/>
  <c r="G372" i="2"/>
  <c r="G371" i="2"/>
  <c r="G370" i="2"/>
  <c r="G369" i="2"/>
  <c r="G368" i="2"/>
  <c r="G367" i="2"/>
  <c r="G366" i="2"/>
  <c r="G365" i="2"/>
  <c r="G364" i="2"/>
  <c r="G363" i="2"/>
  <c r="G362" i="2"/>
  <c r="G361" i="2"/>
  <c r="G360" i="2"/>
  <c r="G359" i="2"/>
  <c r="G358" i="2"/>
  <c r="G357" i="2"/>
  <c r="G356" i="2"/>
  <c r="G355" i="2"/>
  <c r="G354" i="2"/>
  <c r="G353" i="2"/>
  <c r="G352" i="2"/>
  <c r="G351" i="2"/>
  <c r="G350" i="2"/>
  <c r="G349" i="2"/>
  <c r="G348" i="2"/>
  <c r="G347" i="2"/>
  <c r="G346" i="2"/>
  <c r="G345" i="2"/>
  <c r="G344" i="2"/>
  <c r="G343" i="2"/>
  <c r="G342" i="2"/>
  <c r="G341" i="2"/>
  <c r="G340" i="2"/>
  <c r="G339" i="2"/>
  <c r="G338" i="2"/>
  <c r="G337" i="2"/>
  <c r="G336" i="2"/>
  <c r="G335" i="2"/>
  <c r="G334" i="2"/>
  <c r="G333" i="2"/>
  <c r="G332" i="2"/>
  <c r="G331" i="2"/>
  <c r="G330" i="2"/>
  <c r="G329" i="2"/>
  <c r="G328" i="2"/>
  <c r="G327" i="2"/>
  <c r="G326" i="2"/>
  <c r="G325" i="2"/>
  <c r="G324" i="2"/>
  <c r="G323" i="2"/>
  <c r="G322" i="2"/>
  <c r="G321" i="2"/>
  <c r="G320" i="2"/>
  <c r="G319" i="2"/>
  <c r="G318" i="2"/>
  <c r="G317" i="2"/>
  <c r="G316" i="2"/>
  <c r="G315" i="2"/>
  <c r="G314" i="2"/>
  <c r="G313" i="2"/>
  <c r="G312" i="2"/>
  <c r="G311" i="2"/>
  <c r="G310" i="2"/>
  <c r="G309" i="2"/>
  <c r="G308" i="2"/>
  <c r="G307" i="2"/>
  <c r="G306" i="2"/>
  <c r="G305" i="2"/>
  <c r="G304" i="2"/>
  <c r="G303" i="2"/>
  <c r="G302" i="2"/>
  <c r="G301" i="2"/>
  <c r="G300" i="2"/>
  <c r="G299" i="2"/>
  <c r="G298" i="2"/>
  <c r="G297" i="2"/>
  <c r="G296" i="2"/>
  <c r="G295" i="2"/>
  <c r="G294" i="2"/>
  <c r="G293" i="2"/>
  <c r="G292" i="2"/>
  <c r="G291" i="2"/>
  <c r="G290" i="2"/>
  <c r="G289" i="2"/>
  <c r="G288" i="2"/>
  <c r="G287" i="2"/>
  <c r="G286" i="2"/>
  <c r="G285" i="2"/>
  <c r="G284" i="2"/>
  <c r="G283" i="2"/>
  <c r="G282" i="2"/>
  <c r="G281" i="2"/>
  <c r="G280" i="2"/>
  <c r="G279" i="2"/>
  <c r="G278" i="2"/>
  <c r="G277" i="2"/>
  <c r="G276" i="2"/>
  <c r="G275" i="2"/>
  <c r="G274" i="2"/>
  <c r="G273" i="2"/>
  <c r="G272" i="2"/>
  <c r="G271" i="2"/>
  <c r="G270" i="2"/>
  <c r="G269" i="2"/>
  <c r="G268" i="2"/>
  <c r="G267" i="2"/>
  <c r="G266" i="2"/>
  <c r="G265" i="2"/>
  <c r="G264" i="2"/>
  <c r="G263" i="2"/>
  <c r="G262" i="2"/>
  <c r="G261" i="2"/>
  <c r="G260" i="2"/>
  <c r="G259" i="2"/>
  <c r="G258" i="2"/>
  <c r="G257" i="2"/>
  <c r="G256" i="2"/>
  <c r="G255" i="2"/>
  <c r="G254" i="2"/>
  <c r="G253" i="2"/>
  <c r="G252" i="2"/>
  <c r="G251" i="2"/>
  <c r="G250" i="2"/>
  <c r="G249" i="2"/>
  <c r="G248" i="2"/>
  <c r="G247" i="2"/>
  <c r="G246" i="2"/>
  <c r="G245" i="2"/>
  <c r="G244" i="2"/>
  <c r="G243" i="2"/>
  <c r="G242" i="2"/>
  <c r="G241" i="2"/>
  <c r="G240" i="2"/>
  <c r="G239" i="2"/>
  <c r="G238" i="2"/>
  <c r="G237" i="2"/>
  <c r="G236" i="2"/>
  <c r="G235" i="2"/>
  <c r="G234" i="2"/>
  <c r="G233" i="2"/>
  <c r="G232" i="2"/>
  <c r="G231" i="2"/>
  <c r="G230" i="2"/>
  <c r="G229" i="2"/>
  <c r="G228" i="2"/>
  <c r="G227" i="2"/>
  <c r="G226" i="2"/>
  <c r="G225" i="2"/>
  <c r="G224" i="2"/>
  <c r="G223" i="2"/>
  <c r="G222" i="2"/>
  <c r="G221" i="2"/>
  <c r="G220" i="2"/>
  <c r="G219" i="2"/>
  <c r="G218" i="2"/>
  <c r="G217" i="2"/>
  <c r="G216" i="2"/>
  <c r="G215" i="2"/>
  <c r="G214" i="2"/>
  <c r="G213" i="2"/>
  <c r="G212" i="2"/>
  <c r="G211" i="2"/>
  <c r="G210" i="2"/>
  <c r="G209" i="2"/>
  <c r="G208" i="2"/>
  <c r="G207" i="2"/>
  <c r="G206" i="2"/>
  <c r="G205" i="2"/>
  <c r="G204" i="2"/>
  <c r="G203" i="2"/>
  <c r="G202" i="2"/>
  <c r="G201" i="2"/>
  <c r="G200" i="2"/>
  <c r="G199" i="2"/>
  <c r="G198" i="2"/>
  <c r="G197" i="2"/>
  <c r="G196" i="2"/>
  <c r="G195" i="2"/>
  <c r="G194" i="2"/>
  <c r="G193" i="2"/>
  <c r="G192" i="2"/>
  <c r="G191" i="2"/>
  <c r="G190" i="2"/>
  <c r="G189" i="2"/>
  <c r="G188" i="2"/>
  <c r="G187" i="2"/>
  <c r="G186" i="2"/>
  <c r="G185" i="2"/>
  <c r="G184" i="2"/>
  <c r="G183" i="2"/>
  <c r="G182" i="2"/>
  <c r="G181" i="2"/>
  <c r="G180" i="2"/>
  <c r="G179" i="2"/>
  <c r="G178" i="2"/>
  <c r="G177" i="2"/>
  <c r="G176" i="2"/>
  <c r="G175" i="2"/>
  <c r="G174" i="2"/>
  <c r="G173"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E9" i="2"/>
  <c r="AO8" i="6"/>
  <c r="AO10" i="6" s="1"/>
  <c r="AJ9" i="5"/>
  <c r="AF10" i="5"/>
  <c r="AB10" i="5"/>
  <c r="AB11" i="5"/>
  <c r="AB12" i="5"/>
  <c r="AB13" i="5"/>
  <c r="AB14" i="5"/>
  <c r="AB15" i="5"/>
  <c r="AB16" i="5"/>
  <c r="AB17" i="5"/>
  <c r="AB18" i="5"/>
  <c r="AB19" i="5"/>
  <c r="AB20" i="5"/>
  <c r="AB21" i="5"/>
  <c r="AB22" i="5"/>
  <c r="AB23" i="5"/>
  <c r="AB24" i="5"/>
  <c r="AB25" i="5"/>
  <c r="AB26" i="5"/>
  <c r="AB27" i="5"/>
  <c r="AB28" i="5"/>
  <c r="AB29" i="5"/>
  <c r="AB30" i="5"/>
  <c r="AB31" i="5"/>
  <c r="AB32" i="5"/>
  <c r="AB33" i="5"/>
  <c r="AB34" i="5"/>
  <c r="AB35" i="5"/>
  <c r="AB36" i="5"/>
  <c r="AB37" i="5"/>
  <c r="AB38" i="5"/>
  <c r="AB39" i="5"/>
  <c r="AB40" i="5"/>
  <c r="AB41" i="5"/>
  <c r="AB42" i="5"/>
  <c r="AB43" i="5"/>
  <c r="AB44" i="5"/>
  <c r="AB45" i="5"/>
  <c r="AB46" i="5"/>
  <c r="AB47" i="5"/>
  <c r="AB48" i="5"/>
  <c r="AB49" i="5"/>
  <c r="AB50" i="5"/>
  <c r="AB51" i="5"/>
  <c r="AB52" i="5"/>
  <c r="AB53" i="5"/>
  <c r="AB54" i="5"/>
  <c r="AB55" i="5"/>
  <c r="AB56" i="5"/>
  <c r="AB57" i="5"/>
  <c r="AB58" i="5"/>
  <c r="AB59" i="5"/>
  <c r="AB60" i="5"/>
  <c r="AB61" i="5"/>
  <c r="AB62" i="5"/>
  <c r="AB63" i="5"/>
  <c r="AB64" i="5"/>
  <c r="AB65" i="5"/>
  <c r="AB66" i="5"/>
  <c r="AB67" i="5"/>
  <c r="AB68" i="5"/>
  <c r="AB69" i="5"/>
  <c r="AB70" i="5"/>
  <c r="AB71" i="5"/>
  <c r="AB72" i="5"/>
  <c r="AB73" i="5"/>
  <c r="AB74" i="5"/>
  <c r="AB75" i="5"/>
  <c r="AB76" i="5"/>
  <c r="AB77" i="5"/>
  <c r="AB78" i="5"/>
  <c r="AB79" i="5"/>
  <c r="AB80" i="5"/>
  <c r="AB81" i="5"/>
  <c r="AB82" i="5"/>
  <c r="AB83" i="5"/>
  <c r="AB84" i="5"/>
  <c r="AB85" i="5"/>
  <c r="AB86" i="5"/>
  <c r="AB87" i="5"/>
  <c r="AB88" i="5"/>
  <c r="AB89" i="5"/>
  <c r="AB90" i="5"/>
  <c r="AB91" i="5"/>
  <c r="AB92" i="5"/>
  <c r="AB93" i="5"/>
  <c r="AB94" i="5"/>
  <c r="AB95" i="5"/>
  <c r="AB96" i="5"/>
  <c r="AB97" i="5"/>
  <c r="AB98" i="5"/>
  <c r="AB99" i="5"/>
  <c r="AB100" i="5"/>
  <c r="AB101" i="5"/>
  <c r="AB102" i="5"/>
  <c r="AB103" i="5"/>
  <c r="AB104" i="5"/>
  <c r="AB105" i="5"/>
  <c r="AB106" i="5"/>
  <c r="AB107" i="5"/>
  <c r="AB108" i="5"/>
  <c r="AB109" i="5"/>
  <c r="AB110" i="5"/>
  <c r="AB111" i="5"/>
  <c r="AB112" i="5"/>
  <c r="AB113" i="5"/>
  <c r="AB114" i="5"/>
  <c r="AB115" i="5"/>
  <c r="AB116" i="5"/>
  <c r="AB117" i="5"/>
  <c r="AB118" i="5"/>
  <c r="AB119" i="5"/>
  <c r="AB120" i="5"/>
  <c r="AB121" i="5"/>
  <c r="AB122" i="5"/>
  <c r="AB123" i="5"/>
  <c r="AB124" i="5"/>
  <c r="AB125" i="5"/>
  <c r="AB126" i="5"/>
  <c r="AB127" i="5"/>
  <c r="AB128" i="5"/>
  <c r="AB129" i="5"/>
  <c r="AB130" i="5"/>
  <c r="AB131" i="5"/>
  <c r="AB9" i="5"/>
  <c r="AC9" i="5" s="1"/>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68" i="5"/>
  <c r="X69" i="5"/>
  <c r="X70" i="5"/>
  <c r="X71" i="5"/>
  <c r="X72" i="5"/>
  <c r="X73" i="5"/>
  <c r="X74" i="5"/>
  <c r="X75" i="5"/>
  <c r="X76" i="5"/>
  <c r="X77" i="5"/>
  <c r="X78" i="5"/>
  <c r="X79" i="5"/>
  <c r="X80" i="5"/>
  <c r="X81" i="5"/>
  <c r="X82" i="5"/>
  <c r="X83" i="5"/>
  <c r="X84" i="5"/>
  <c r="X85" i="5"/>
  <c r="X86" i="5"/>
  <c r="X87" i="5"/>
  <c r="X88" i="5"/>
  <c r="X89" i="5"/>
  <c r="X90" i="5"/>
  <c r="X91" i="5"/>
  <c r="X92" i="5"/>
  <c r="X93" i="5"/>
  <c r="X94" i="5"/>
  <c r="X95" i="5"/>
  <c r="X96" i="5"/>
  <c r="X97" i="5"/>
  <c r="X98" i="5"/>
  <c r="X99" i="5"/>
  <c r="X100" i="5"/>
  <c r="X101" i="5"/>
  <c r="X102" i="5"/>
  <c r="X103" i="5"/>
  <c r="X104" i="5"/>
  <c r="X105" i="5"/>
  <c r="X106" i="5"/>
  <c r="X107" i="5"/>
  <c r="X108" i="5"/>
  <c r="X109" i="5"/>
  <c r="X110" i="5"/>
  <c r="X111" i="5"/>
  <c r="X112" i="5"/>
  <c r="X113" i="5"/>
  <c r="X114" i="5"/>
  <c r="X115" i="5"/>
  <c r="X116" i="5"/>
  <c r="X117" i="5"/>
  <c r="X118" i="5"/>
  <c r="X119" i="5"/>
  <c r="X120" i="5"/>
  <c r="X121" i="5"/>
  <c r="X122" i="5"/>
  <c r="X123" i="5"/>
  <c r="X124" i="5"/>
  <c r="X125" i="5"/>
  <c r="X126" i="5"/>
  <c r="X127" i="5"/>
  <c r="X128" i="5"/>
  <c r="X129" i="5"/>
  <c r="X130" i="5"/>
  <c r="X131" i="5"/>
  <c r="X132" i="5"/>
  <c r="X133" i="5"/>
  <c r="X134" i="5"/>
  <c r="X135" i="5"/>
  <c r="X136" i="5"/>
  <c r="X137" i="5"/>
  <c r="X138" i="5"/>
  <c r="X139" i="5"/>
  <c r="X140" i="5"/>
  <c r="X141" i="5"/>
  <c r="X142" i="5"/>
  <c r="X143" i="5"/>
  <c r="X144" i="5"/>
  <c r="X145" i="5"/>
  <c r="X146" i="5"/>
  <c r="X147" i="5"/>
  <c r="X148" i="5"/>
  <c r="X149" i="5"/>
  <c r="X150" i="5"/>
  <c r="X151" i="5"/>
  <c r="X152" i="5"/>
  <c r="X153" i="5"/>
  <c r="X154" i="5"/>
  <c r="X155" i="5"/>
  <c r="X156" i="5"/>
  <c r="X157" i="5"/>
  <c r="X158" i="5"/>
  <c r="X159" i="5"/>
  <c r="X160" i="5"/>
  <c r="X161" i="5"/>
  <c r="X162" i="5"/>
  <c r="X163" i="5"/>
  <c r="X164" i="5"/>
  <c r="X165" i="5"/>
  <c r="X166" i="5"/>
  <c r="X167" i="5"/>
  <c r="X168" i="5"/>
  <c r="X169" i="5"/>
  <c r="X170" i="5"/>
  <c r="X171" i="5"/>
  <c r="X172" i="5"/>
  <c r="X173" i="5"/>
  <c r="X174" i="5"/>
  <c r="X175" i="5"/>
  <c r="X176" i="5"/>
  <c r="X177" i="5"/>
  <c r="X178" i="5"/>
  <c r="X179" i="5"/>
  <c r="X180" i="5"/>
  <c r="X181" i="5"/>
  <c r="X182" i="5"/>
  <c r="X183" i="5"/>
  <c r="X184" i="5"/>
  <c r="X185" i="5"/>
  <c r="X186" i="5"/>
  <c r="X187" i="5"/>
  <c r="X188" i="5"/>
  <c r="X189" i="5"/>
  <c r="X190" i="5"/>
  <c r="X191" i="5"/>
  <c r="X192" i="5"/>
  <c r="X193" i="5"/>
  <c r="X194" i="5"/>
  <c r="X195" i="5"/>
  <c r="X196" i="5"/>
  <c r="X197" i="5"/>
  <c r="X198" i="5"/>
  <c r="X199" i="5"/>
  <c r="X200" i="5"/>
  <c r="X201" i="5"/>
  <c r="X202" i="5"/>
  <c r="X203" i="5"/>
  <c r="X204" i="5"/>
  <c r="X205" i="5"/>
  <c r="X206" i="5"/>
  <c r="X207" i="5"/>
  <c r="X208" i="5"/>
  <c r="X209" i="5"/>
  <c r="X210" i="5"/>
  <c r="X211" i="5"/>
  <c r="X212" i="5"/>
  <c r="X213" i="5"/>
  <c r="X214" i="5"/>
  <c r="X215" i="5"/>
  <c r="X216" i="5"/>
  <c r="X217" i="5"/>
  <c r="X218" i="5"/>
  <c r="X219" i="5"/>
  <c r="X220" i="5"/>
  <c r="X221" i="5"/>
  <c r="X222" i="5"/>
  <c r="X223" i="5"/>
  <c r="X224" i="5"/>
  <c r="X225" i="5"/>
  <c r="X226" i="5"/>
  <c r="X227" i="5"/>
  <c r="X228" i="5"/>
  <c r="X229" i="5"/>
  <c r="X230" i="5"/>
  <c r="X231" i="5"/>
  <c r="X232" i="5"/>
  <c r="X233" i="5"/>
  <c r="X234" i="5"/>
  <c r="X235" i="5"/>
  <c r="X236" i="5"/>
  <c r="X237" i="5"/>
  <c r="X238" i="5"/>
  <c r="X239" i="5"/>
  <c r="X240" i="5"/>
  <c r="X241" i="5"/>
  <c r="X242" i="5"/>
  <c r="X243" i="5"/>
  <c r="X244" i="5"/>
  <c r="X245" i="5"/>
  <c r="X246" i="5"/>
  <c r="X247" i="5"/>
  <c r="X248" i="5"/>
  <c r="X249" i="5"/>
  <c r="X250" i="5"/>
  <c r="X251" i="5"/>
  <c r="X252" i="5"/>
  <c r="X253" i="5"/>
  <c r="X254" i="5"/>
  <c r="X255" i="5"/>
  <c r="X256" i="5"/>
  <c r="X257" i="5"/>
  <c r="X258" i="5"/>
  <c r="X259" i="5"/>
  <c r="X260" i="5"/>
  <c r="X261" i="5"/>
  <c r="AF9" i="5"/>
  <c r="AG9" i="5" s="1"/>
  <c r="X9" i="5"/>
  <c r="Y9" i="5" s="1"/>
  <c r="AF72" i="5"/>
  <c r="AF71" i="5"/>
  <c r="AG71" i="5" s="1"/>
  <c r="AF70" i="5"/>
  <c r="AG70" i="5" s="1"/>
  <c r="AF69" i="5"/>
  <c r="AG69" i="5" s="1"/>
  <c r="AF68" i="5"/>
  <c r="AG68" i="5" s="1"/>
  <c r="AF67" i="5"/>
  <c r="AG67" i="5" s="1"/>
  <c r="AF66" i="5"/>
  <c r="AG66" i="5" s="1"/>
  <c r="AF65" i="5"/>
  <c r="AG65" i="5" s="1"/>
  <c r="AF64" i="5"/>
  <c r="AG64" i="5" s="1"/>
  <c r="AF63" i="5"/>
  <c r="AG63" i="5" s="1"/>
  <c r="AF62" i="5"/>
  <c r="AG62" i="5" s="1"/>
  <c r="AF61" i="5"/>
  <c r="AG61" i="5" s="1"/>
  <c r="AF60" i="5"/>
  <c r="AG60" i="5" s="1"/>
  <c r="AF59" i="5"/>
  <c r="AG59" i="5" s="1"/>
  <c r="AF58" i="5"/>
  <c r="AG58" i="5" s="1"/>
  <c r="AF57" i="5"/>
  <c r="AG57" i="5" s="1"/>
  <c r="AF56" i="5"/>
  <c r="AG56" i="5" s="1"/>
  <c r="AF55" i="5"/>
  <c r="AG55" i="5" s="1"/>
  <c r="AF54" i="5"/>
  <c r="AG54" i="5" s="1"/>
  <c r="AF53" i="5"/>
  <c r="AG53" i="5" s="1"/>
  <c r="AF52" i="5"/>
  <c r="AG52" i="5" s="1"/>
  <c r="AF51" i="5"/>
  <c r="AG51" i="5" s="1"/>
  <c r="AF50" i="5"/>
  <c r="AG50" i="5" s="1"/>
  <c r="AF49" i="5"/>
  <c r="AG49" i="5" s="1"/>
  <c r="AF48" i="5"/>
  <c r="AG48" i="5" s="1"/>
  <c r="AF47" i="5"/>
  <c r="AG47" i="5" s="1"/>
  <c r="AF46" i="5"/>
  <c r="AG46" i="5" s="1"/>
  <c r="AF45" i="5"/>
  <c r="AG45" i="5" s="1"/>
  <c r="AF44" i="5"/>
  <c r="AG44" i="5" s="1"/>
  <c r="AF43" i="5"/>
  <c r="AG43" i="5" s="1"/>
  <c r="AF42" i="5"/>
  <c r="AG42" i="5" s="1"/>
  <c r="AF41" i="5"/>
  <c r="AG41" i="5" s="1"/>
  <c r="AF40" i="5"/>
  <c r="AG40" i="5" s="1"/>
  <c r="AF39" i="5"/>
  <c r="AG39" i="5" s="1"/>
  <c r="AF38" i="5"/>
  <c r="AG38" i="5" s="1"/>
  <c r="AF37" i="5"/>
  <c r="AG37" i="5" s="1"/>
  <c r="AF36" i="5"/>
  <c r="AG36" i="5" s="1"/>
  <c r="AF35" i="5"/>
  <c r="AG35" i="5" s="1"/>
  <c r="AF34" i="5"/>
  <c r="AG34" i="5" s="1"/>
  <c r="AF33" i="5"/>
  <c r="AG33" i="5" s="1"/>
  <c r="AF32" i="5"/>
  <c r="AG32" i="5" s="1"/>
  <c r="AF31" i="5"/>
  <c r="AG31" i="5" s="1"/>
  <c r="AJ30" i="5"/>
  <c r="AF30" i="5"/>
  <c r="AG30" i="5" s="1"/>
  <c r="AJ29" i="5"/>
  <c r="AK29" i="5" s="1"/>
  <c r="AF29" i="5"/>
  <c r="AG29" i="5" s="1"/>
  <c r="AJ28" i="5"/>
  <c r="AK28" i="5" s="1"/>
  <c r="AF28" i="5"/>
  <c r="AG28" i="5" s="1"/>
  <c r="AJ27" i="5"/>
  <c r="AK27" i="5" s="1"/>
  <c r="AF27" i="5"/>
  <c r="AG27" i="5" s="1"/>
  <c r="AJ26" i="5"/>
  <c r="AK26" i="5" s="1"/>
  <c r="AF26" i="5"/>
  <c r="AG26" i="5" s="1"/>
  <c r="AJ25" i="5"/>
  <c r="AK25" i="5" s="1"/>
  <c r="AF25" i="5"/>
  <c r="AG25" i="5" s="1"/>
  <c r="AJ24" i="5"/>
  <c r="AK24" i="5" s="1"/>
  <c r="AF24" i="5"/>
  <c r="AG24" i="5" s="1"/>
  <c r="AJ23" i="5"/>
  <c r="AK23" i="5" s="1"/>
  <c r="AF23" i="5"/>
  <c r="AG23" i="5" s="1"/>
  <c r="AJ22" i="5"/>
  <c r="AK22" i="5" s="1"/>
  <c r="AF22" i="5"/>
  <c r="AG22" i="5" s="1"/>
  <c r="AJ21" i="5"/>
  <c r="AK21" i="5" s="1"/>
  <c r="AF21" i="5"/>
  <c r="AG21" i="5" s="1"/>
  <c r="AJ20" i="5"/>
  <c r="AK20" i="5" s="1"/>
  <c r="AF20" i="5"/>
  <c r="AG20" i="5" s="1"/>
  <c r="AJ19" i="5"/>
  <c r="AK19" i="5" s="1"/>
  <c r="AF19" i="5"/>
  <c r="AG19" i="5" s="1"/>
  <c r="AJ18" i="5"/>
  <c r="AK18" i="5" s="1"/>
  <c r="AF18" i="5"/>
  <c r="AG18" i="5" s="1"/>
  <c r="AJ17" i="5"/>
  <c r="AK17" i="5" s="1"/>
  <c r="AF17" i="5"/>
  <c r="AG17" i="5" s="1"/>
  <c r="AJ16" i="5"/>
  <c r="AK16" i="5" s="1"/>
  <c r="AF16" i="5"/>
  <c r="AG16" i="5" s="1"/>
  <c r="AJ15" i="5"/>
  <c r="AK15" i="5" s="1"/>
  <c r="AF15" i="5"/>
  <c r="AG15" i="5" s="1"/>
  <c r="AJ14" i="5"/>
  <c r="AK14" i="5" s="1"/>
  <c r="AF14" i="5"/>
  <c r="AG14" i="5" s="1"/>
  <c r="AJ13" i="5"/>
  <c r="AK13" i="5" s="1"/>
  <c r="AF13" i="5"/>
  <c r="AG13" i="5" s="1"/>
  <c r="AJ12" i="5"/>
  <c r="AK12" i="5" s="1"/>
  <c r="AF12" i="5"/>
  <c r="AG12" i="5" s="1"/>
  <c r="AJ11" i="5"/>
  <c r="AK11" i="5" s="1"/>
  <c r="AF11" i="5"/>
  <c r="AG11" i="5" s="1"/>
  <c r="AC11" i="5"/>
  <c r="AJ10" i="5"/>
  <c r="AK10" i="5" s="1"/>
  <c r="AK28" i="6"/>
  <c r="AK27" i="6"/>
  <c r="AK26" i="6"/>
  <c r="AK25" i="6"/>
  <c r="AK24" i="6"/>
  <c r="AK23" i="6"/>
  <c r="AK22" i="6"/>
  <c r="AK21" i="6"/>
  <c r="AK20" i="6"/>
  <c r="AK19" i="6"/>
  <c r="AK18" i="6"/>
  <c r="AK17" i="6"/>
  <c r="AK16" i="6"/>
  <c r="AK15" i="6"/>
  <c r="AK14" i="6"/>
  <c r="AK13" i="6"/>
  <c r="AK12" i="6"/>
  <c r="AK11" i="6"/>
  <c r="AK10" i="6"/>
  <c r="AK9" i="6"/>
  <c r="AK8" i="6"/>
  <c r="AG70" i="6"/>
  <c r="AG69" i="6"/>
  <c r="AG68" i="6"/>
  <c r="AG67" i="6"/>
  <c r="AG66" i="6"/>
  <c r="AG65" i="6"/>
  <c r="AG64" i="6"/>
  <c r="AG63" i="6"/>
  <c r="AG62" i="6"/>
  <c r="AG61" i="6"/>
  <c r="AG60" i="6"/>
  <c r="AG59" i="6"/>
  <c r="AG58" i="6"/>
  <c r="AG57" i="6"/>
  <c r="AG56" i="6"/>
  <c r="AG55" i="6"/>
  <c r="AG54" i="6"/>
  <c r="AG53" i="6"/>
  <c r="AG52" i="6"/>
  <c r="AG51" i="6"/>
  <c r="AG50" i="6"/>
  <c r="AG49" i="6"/>
  <c r="AG48" i="6"/>
  <c r="AG47" i="6"/>
  <c r="AG46" i="6"/>
  <c r="AG45" i="6"/>
  <c r="AG44" i="6"/>
  <c r="AG43" i="6"/>
  <c r="AG42" i="6"/>
  <c r="AG41" i="6"/>
  <c r="AG40" i="6"/>
  <c r="AG39" i="6"/>
  <c r="AG38" i="6"/>
  <c r="AG37" i="6"/>
  <c r="AG36" i="6"/>
  <c r="AG35" i="6"/>
  <c r="AG34" i="6"/>
  <c r="AG33" i="6"/>
  <c r="AG32" i="6"/>
  <c r="AG31" i="6"/>
  <c r="AG30" i="6"/>
  <c r="AG29" i="6"/>
  <c r="AG28" i="6"/>
  <c r="AG27" i="6"/>
  <c r="AG26" i="6"/>
  <c r="AG25" i="6"/>
  <c r="AG24" i="6"/>
  <c r="AG23" i="6"/>
  <c r="AG22" i="6"/>
  <c r="AG21" i="6"/>
  <c r="AG20" i="6"/>
  <c r="AG19" i="6"/>
  <c r="AG18" i="6"/>
  <c r="AG17" i="6"/>
  <c r="AG16" i="6"/>
  <c r="AG15" i="6"/>
  <c r="AG14" i="6"/>
  <c r="AG13" i="6"/>
  <c r="AG12" i="6"/>
  <c r="AG11" i="6"/>
  <c r="AG10" i="6"/>
  <c r="AG9" i="6"/>
  <c r="AG8" i="6"/>
  <c r="AC130" i="6"/>
  <c r="AC129" i="6"/>
  <c r="AC128" i="6"/>
  <c r="AC127" i="6"/>
  <c r="AC126" i="6"/>
  <c r="AC125" i="6"/>
  <c r="AC124" i="6"/>
  <c r="AC123" i="6"/>
  <c r="AC122" i="6"/>
  <c r="AC121" i="6"/>
  <c r="AC120" i="6"/>
  <c r="AC119" i="6"/>
  <c r="AC118" i="6"/>
  <c r="AC117" i="6"/>
  <c r="AC116" i="6"/>
  <c r="AC115" i="6"/>
  <c r="AC114" i="6"/>
  <c r="AC113" i="6"/>
  <c r="AC112" i="6"/>
  <c r="AC111" i="6"/>
  <c r="AC110" i="6"/>
  <c r="AC109" i="6"/>
  <c r="AC108" i="6"/>
  <c r="AC107" i="6"/>
  <c r="AC106" i="6"/>
  <c r="AC105" i="6"/>
  <c r="AC104" i="6"/>
  <c r="AC103" i="6"/>
  <c r="AC102" i="6"/>
  <c r="AC101" i="6"/>
  <c r="AC100" i="6"/>
  <c r="AC99" i="6"/>
  <c r="AC98" i="6"/>
  <c r="AC97" i="6"/>
  <c r="AC96" i="6"/>
  <c r="AC95" i="6"/>
  <c r="AC94" i="6"/>
  <c r="AC93" i="6"/>
  <c r="AC92" i="6"/>
  <c r="AC91" i="6"/>
  <c r="AC90" i="6"/>
  <c r="AC89" i="6"/>
  <c r="AC88" i="6"/>
  <c r="AC87" i="6"/>
  <c r="AC86" i="6"/>
  <c r="AC85" i="6"/>
  <c r="AC84" i="6"/>
  <c r="AC83" i="6"/>
  <c r="AC82" i="6"/>
  <c r="AC81" i="6"/>
  <c r="AC80" i="6"/>
  <c r="AC79" i="6"/>
  <c r="AC78" i="6"/>
  <c r="AC77" i="6"/>
  <c r="AC76" i="6"/>
  <c r="AC75" i="6"/>
  <c r="AC74" i="6"/>
  <c r="AC73" i="6"/>
  <c r="AC72" i="6"/>
  <c r="AC71" i="6"/>
  <c r="AC70" i="6"/>
  <c r="AC69" i="6"/>
  <c r="AC68" i="6"/>
  <c r="AC67" i="6"/>
  <c r="AC66" i="6"/>
  <c r="AC65" i="6"/>
  <c r="AC64" i="6"/>
  <c r="AC63" i="6"/>
  <c r="AC62" i="6"/>
  <c r="AC61" i="6"/>
  <c r="AC60" i="6"/>
  <c r="AC59" i="6"/>
  <c r="AC58" i="6"/>
  <c r="AC57" i="6"/>
  <c r="AC56" i="6"/>
  <c r="AC55" i="6"/>
  <c r="AC54" i="6"/>
  <c r="AC53" i="6"/>
  <c r="AC52" i="6"/>
  <c r="AC51" i="6"/>
  <c r="AC50" i="6"/>
  <c r="AC49" i="6"/>
  <c r="AC48" i="6"/>
  <c r="AC47" i="6"/>
  <c r="AC46" i="6"/>
  <c r="AC45" i="6"/>
  <c r="AC44" i="6"/>
  <c r="AC43" i="6"/>
  <c r="AC42" i="6"/>
  <c r="AC41" i="6"/>
  <c r="AC40" i="6"/>
  <c r="AC39" i="6"/>
  <c r="AC38" i="6"/>
  <c r="AC37" i="6"/>
  <c r="AC36" i="6"/>
  <c r="AC35" i="6"/>
  <c r="AC34" i="6"/>
  <c r="AC33" i="6"/>
  <c r="AC32" i="6"/>
  <c r="AC31" i="6"/>
  <c r="AC30" i="6"/>
  <c r="AC29" i="6"/>
  <c r="AC28" i="6"/>
  <c r="AC27" i="6"/>
  <c r="AC26" i="6"/>
  <c r="AC25" i="6"/>
  <c r="AC24" i="6"/>
  <c r="AC23" i="6"/>
  <c r="AC22" i="6"/>
  <c r="AC21" i="6"/>
  <c r="AC20" i="6"/>
  <c r="AC19" i="6"/>
  <c r="AC18" i="6"/>
  <c r="AC17" i="6"/>
  <c r="AC16" i="6"/>
  <c r="AC15" i="6"/>
  <c r="AC14" i="6"/>
  <c r="AC13" i="6"/>
  <c r="AC12" i="6"/>
  <c r="AC11" i="6"/>
  <c r="AC10" i="6"/>
  <c r="AC9" i="6"/>
  <c r="AC8" i="6"/>
  <c r="Y261" i="6"/>
  <c r="Y260" i="6"/>
  <c r="Y259" i="6"/>
  <c r="Y258" i="6"/>
  <c r="Y257" i="6"/>
  <c r="Y256" i="6"/>
  <c r="Y255" i="6"/>
  <c r="Y254" i="6"/>
  <c r="Y253" i="6"/>
  <c r="Y252" i="6"/>
  <c r="Y251" i="6"/>
  <c r="Y250" i="6"/>
  <c r="Y249" i="6"/>
  <c r="Y248" i="6"/>
  <c r="Y247" i="6"/>
  <c r="Y246" i="6"/>
  <c r="Y245" i="6"/>
  <c r="Y244" i="6"/>
  <c r="Y243" i="6"/>
  <c r="Y242" i="6"/>
  <c r="Y241" i="6"/>
  <c r="Y240" i="6"/>
  <c r="Y239" i="6"/>
  <c r="Y238" i="6"/>
  <c r="Y237" i="6"/>
  <c r="Y236" i="6"/>
  <c r="Y235" i="6"/>
  <c r="Y234" i="6"/>
  <c r="Y233" i="6"/>
  <c r="Y232" i="6"/>
  <c r="Y231" i="6"/>
  <c r="Y230" i="6"/>
  <c r="Y229" i="6"/>
  <c r="Y228" i="6"/>
  <c r="Y227" i="6"/>
  <c r="Y226" i="6"/>
  <c r="Y225" i="6"/>
  <c r="Y224" i="6"/>
  <c r="Y223" i="6"/>
  <c r="Y222" i="6"/>
  <c r="Y221" i="6"/>
  <c r="Y220" i="6"/>
  <c r="Y219" i="6"/>
  <c r="Y218" i="6"/>
  <c r="Y217" i="6"/>
  <c r="Y216" i="6"/>
  <c r="Y215" i="6"/>
  <c r="Y214" i="6"/>
  <c r="Y213" i="6"/>
  <c r="Y212" i="6"/>
  <c r="Y211" i="6"/>
  <c r="Y210" i="6"/>
  <c r="Y209" i="6"/>
  <c r="Y208" i="6"/>
  <c r="Y207" i="6"/>
  <c r="Y206" i="6"/>
  <c r="Y205" i="6"/>
  <c r="Y204" i="6"/>
  <c r="Y203" i="6"/>
  <c r="Y202" i="6"/>
  <c r="Y201" i="6"/>
  <c r="Y200" i="6"/>
  <c r="Y199" i="6"/>
  <c r="Y198" i="6"/>
  <c r="Y197" i="6"/>
  <c r="Y196" i="6"/>
  <c r="Y195" i="6"/>
  <c r="Y194" i="6"/>
  <c r="Y193" i="6"/>
  <c r="Y192" i="6"/>
  <c r="Y191" i="6"/>
  <c r="Y190" i="6"/>
  <c r="Y189" i="6"/>
  <c r="Y188" i="6"/>
  <c r="Y187" i="6"/>
  <c r="Y186" i="6"/>
  <c r="Y185" i="6"/>
  <c r="Y184" i="6"/>
  <c r="Y183" i="6"/>
  <c r="Y182" i="6"/>
  <c r="Y181" i="6"/>
  <c r="Y180" i="6"/>
  <c r="Y179" i="6"/>
  <c r="Y178" i="6"/>
  <c r="Y177" i="6"/>
  <c r="Y176" i="6"/>
  <c r="Y175" i="6"/>
  <c r="Y174" i="6"/>
  <c r="Y173" i="6"/>
  <c r="Y172" i="6"/>
  <c r="Y171" i="6"/>
  <c r="Y170" i="6"/>
  <c r="Y169" i="6"/>
  <c r="Y168" i="6"/>
  <c r="Y167" i="6"/>
  <c r="Y166" i="6"/>
  <c r="Y165" i="6"/>
  <c r="Y164" i="6"/>
  <c r="Y163" i="6"/>
  <c r="Y162" i="6"/>
  <c r="Y161" i="6"/>
  <c r="Y160" i="6"/>
  <c r="Y159" i="6"/>
  <c r="Y158" i="6"/>
  <c r="Y157" i="6"/>
  <c r="Y156" i="6"/>
  <c r="Y155" i="6"/>
  <c r="Y154" i="6"/>
  <c r="Y153" i="6"/>
  <c r="Y152" i="6"/>
  <c r="Y151" i="6"/>
  <c r="Y150" i="6"/>
  <c r="Y149" i="6"/>
  <c r="Y148" i="6"/>
  <c r="Y147" i="6"/>
  <c r="Y146" i="6"/>
  <c r="Y145" i="6"/>
  <c r="Y144" i="6"/>
  <c r="Y143" i="6"/>
  <c r="Y142" i="6"/>
  <c r="Y141" i="6"/>
  <c r="Y140" i="6"/>
  <c r="Y139" i="6"/>
  <c r="Y138" i="6"/>
  <c r="Y137" i="6"/>
  <c r="Y136" i="6"/>
  <c r="Y135" i="6"/>
  <c r="Y134" i="6"/>
  <c r="Y133" i="6"/>
  <c r="Y132" i="6"/>
  <c r="Y131" i="6"/>
  <c r="Y130" i="6"/>
  <c r="Y129" i="6"/>
  <c r="Y128" i="6"/>
  <c r="Y127" i="6"/>
  <c r="Y126" i="6"/>
  <c r="Y125" i="6"/>
  <c r="Y124" i="6"/>
  <c r="Y123" i="6"/>
  <c r="Y122" i="6"/>
  <c r="Y121" i="6"/>
  <c r="Y120" i="6"/>
  <c r="Y119" i="6"/>
  <c r="Y118" i="6"/>
  <c r="Y117" i="6"/>
  <c r="Y116" i="6"/>
  <c r="Y115" i="6"/>
  <c r="Y114" i="6"/>
  <c r="Y113" i="6"/>
  <c r="Y112" i="6"/>
  <c r="Y111" i="6"/>
  <c r="Y110" i="6"/>
  <c r="Y109" i="6"/>
  <c r="Y108" i="6"/>
  <c r="Y107" i="6"/>
  <c r="Y106" i="6"/>
  <c r="Y105" i="6"/>
  <c r="Y104" i="6"/>
  <c r="Y103" i="6"/>
  <c r="Y102" i="6"/>
  <c r="Y101" i="6"/>
  <c r="Y100" i="6"/>
  <c r="Y99" i="6"/>
  <c r="Y98" i="6"/>
  <c r="Y97" i="6"/>
  <c r="Y96" i="6"/>
  <c r="Y95" i="6"/>
  <c r="Y94" i="6"/>
  <c r="Y93" i="6"/>
  <c r="Y92" i="6"/>
  <c r="Y91" i="6"/>
  <c r="Y90" i="6"/>
  <c r="Y89" i="6"/>
  <c r="Y88" i="6"/>
  <c r="Y87" i="6"/>
  <c r="Y86" i="6"/>
  <c r="Y85" i="6"/>
  <c r="Y84" i="6"/>
  <c r="Y83" i="6"/>
  <c r="Y82" i="6"/>
  <c r="Y81" i="6"/>
  <c r="Y80" i="6"/>
  <c r="Y79" i="6"/>
  <c r="Y78" i="6"/>
  <c r="Y77" i="6"/>
  <c r="Y76" i="6"/>
  <c r="Y75" i="6"/>
  <c r="Y74" i="6"/>
  <c r="Y73" i="6"/>
  <c r="Y72" i="6"/>
  <c r="Y71" i="6"/>
  <c r="Y70" i="6"/>
  <c r="Y69" i="6"/>
  <c r="Y68" i="6"/>
  <c r="Y67" i="6"/>
  <c r="Y66" i="6"/>
  <c r="Y65" i="6"/>
  <c r="Y64" i="6"/>
  <c r="Y63" i="6"/>
  <c r="Y62" i="6"/>
  <c r="Y61" i="6"/>
  <c r="Y60" i="6"/>
  <c r="Y59" i="6"/>
  <c r="Y58" i="6"/>
  <c r="Y57" i="6"/>
  <c r="Y56" i="6"/>
  <c r="Y55" i="6"/>
  <c r="Y54" i="6"/>
  <c r="Y53" i="6"/>
  <c r="Y52" i="6"/>
  <c r="Y51" i="6"/>
  <c r="Y50" i="6"/>
  <c r="Y49" i="6"/>
  <c r="Y48" i="6"/>
  <c r="Y47" i="6"/>
  <c r="Y46" i="6"/>
  <c r="Y45" i="6"/>
  <c r="Y44" i="6"/>
  <c r="Y43" i="6"/>
  <c r="Y42" i="6"/>
  <c r="Y41" i="6"/>
  <c r="Y40" i="6"/>
  <c r="Y39" i="6"/>
  <c r="Y38" i="6"/>
  <c r="Y37" i="6"/>
  <c r="Y36" i="6"/>
  <c r="Y35" i="6"/>
  <c r="Y34" i="6"/>
  <c r="Y33" i="6"/>
  <c r="Y32" i="6"/>
  <c r="Y31" i="6"/>
  <c r="Y30" i="6"/>
  <c r="Y29" i="6"/>
  <c r="Y28" i="6"/>
  <c r="Y27" i="6"/>
  <c r="Y26" i="6"/>
  <c r="Y25" i="6"/>
  <c r="Y24" i="6"/>
  <c r="Y23" i="6"/>
  <c r="Y22" i="6"/>
  <c r="Y21" i="6"/>
  <c r="Y20" i="6"/>
  <c r="Y19" i="6"/>
  <c r="Y18" i="6"/>
  <c r="Y17" i="6"/>
  <c r="Y16" i="6"/>
  <c r="Y15" i="6"/>
  <c r="Y14" i="6"/>
  <c r="Y13" i="6"/>
  <c r="Y12" i="6"/>
  <c r="Y11" i="6"/>
  <c r="Y10" i="6"/>
  <c r="Y9" i="6"/>
  <c r="Y8" i="6"/>
  <c r="AJ9" i="4"/>
  <c r="AJ10" i="4"/>
  <c r="AJ11" i="4"/>
  <c r="AJ12" i="4"/>
  <c r="AJ13" i="4"/>
  <c r="AJ14" i="4"/>
  <c r="AJ15" i="4"/>
  <c r="AJ16" i="4"/>
  <c r="AJ17" i="4"/>
  <c r="AJ18" i="4"/>
  <c r="AJ19" i="4"/>
  <c r="AJ20" i="4"/>
  <c r="AJ21" i="4"/>
  <c r="AJ22" i="4"/>
  <c r="AJ23" i="4"/>
  <c r="AJ24" i="4"/>
  <c r="AJ25" i="4"/>
  <c r="AJ26" i="4"/>
  <c r="AJ27" i="4"/>
  <c r="AJ28" i="4"/>
  <c r="AJ29" i="4"/>
  <c r="AJ8" i="4"/>
  <c r="AK8" i="4" s="1"/>
  <c r="AF9" i="4"/>
  <c r="AF10" i="4"/>
  <c r="AF11" i="4"/>
  <c r="AF12" i="4"/>
  <c r="AF13" i="4"/>
  <c r="AF14" i="4"/>
  <c r="AF15" i="4"/>
  <c r="AF16" i="4"/>
  <c r="AF17" i="4"/>
  <c r="AF18" i="4"/>
  <c r="AF19" i="4"/>
  <c r="AF20" i="4"/>
  <c r="AF21" i="4"/>
  <c r="AF22" i="4"/>
  <c r="AF23" i="4"/>
  <c r="AF24" i="4"/>
  <c r="AF25" i="4"/>
  <c r="AF26" i="4"/>
  <c r="AF27" i="4"/>
  <c r="AF28" i="4"/>
  <c r="AF29" i="4"/>
  <c r="AF30" i="4"/>
  <c r="AF31" i="4"/>
  <c r="AF32" i="4"/>
  <c r="AF33" i="4"/>
  <c r="AF34" i="4"/>
  <c r="AF35" i="4"/>
  <c r="AF36" i="4"/>
  <c r="AF37" i="4"/>
  <c r="AF38" i="4"/>
  <c r="AF39" i="4"/>
  <c r="AF40" i="4"/>
  <c r="AF41" i="4"/>
  <c r="AF42" i="4"/>
  <c r="AF43" i="4"/>
  <c r="AF44" i="4"/>
  <c r="AF45" i="4"/>
  <c r="AF46" i="4"/>
  <c r="AF47" i="4"/>
  <c r="AF48" i="4"/>
  <c r="AF49" i="4"/>
  <c r="AF50" i="4"/>
  <c r="AF51" i="4"/>
  <c r="AF52" i="4"/>
  <c r="AF53" i="4"/>
  <c r="AF54" i="4"/>
  <c r="AF55" i="4"/>
  <c r="AF56" i="4"/>
  <c r="AF57" i="4"/>
  <c r="AF58" i="4"/>
  <c r="AF59" i="4"/>
  <c r="AF60" i="4"/>
  <c r="AF61" i="4"/>
  <c r="AF62" i="4"/>
  <c r="AF63" i="4"/>
  <c r="AF64" i="4"/>
  <c r="AF65" i="4"/>
  <c r="AF66" i="4"/>
  <c r="AF67" i="4"/>
  <c r="AF68" i="4"/>
  <c r="AF69" i="4"/>
  <c r="AF70" i="4"/>
  <c r="AF71" i="4"/>
  <c r="AF8" i="4"/>
  <c r="AG8" i="4" s="1"/>
  <c r="AB9" i="4"/>
  <c r="AB10" i="4"/>
  <c r="AB11" i="4"/>
  <c r="AB12" i="4"/>
  <c r="AB13" i="4"/>
  <c r="AB14" i="4"/>
  <c r="AB15" i="4"/>
  <c r="AB16" i="4"/>
  <c r="AB17" i="4"/>
  <c r="AB18" i="4"/>
  <c r="AB19" i="4"/>
  <c r="AB20" i="4"/>
  <c r="AB21" i="4"/>
  <c r="AB22" i="4"/>
  <c r="AB23" i="4"/>
  <c r="AB24" i="4"/>
  <c r="AB25" i="4"/>
  <c r="AB26" i="4"/>
  <c r="AB27" i="4"/>
  <c r="AB28" i="4"/>
  <c r="AB29" i="4"/>
  <c r="AB30" i="4"/>
  <c r="AB31" i="4"/>
  <c r="AB32" i="4"/>
  <c r="AB33" i="4"/>
  <c r="AB34" i="4"/>
  <c r="AB35" i="4"/>
  <c r="AB36" i="4"/>
  <c r="AB37" i="4"/>
  <c r="AB38" i="4"/>
  <c r="AB39" i="4"/>
  <c r="AB40" i="4"/>
  <c r="AB41" i="4"/>
  <c r="AB42" i="4"/>
  <c r="AB43" i="4"/>
  <c r="AB44" i="4"/>
  <c r="AB45" i="4"/>
  <c r="AB46" i="4"/>
  <c r="AB47" i="4"/>
  <c r="AB48" i="4"/>
  <c r="AB49" i="4"/>
  <c r="AB50" i="4"/>
  <c r="AB51" i="4"/>
  <c r="AB52" i="4"/>
  <c r="AB53" i="4"/>
  <c r="AB54" i="4"/>
  <c r="AB55" i="4"/>
  <c r="AB56" i="4"/>
  <c r="AB57" i="4"/>
  <c r="AB58" i="4"/>
  <c r="AB59" i="4"/>
  <c r="AB60" i="4"/>
  <c r="AB61" i="4"/>
  <c r="AB62" i="4"/>
  <c r="AB63" i="4"/>
  <c r="AB64" i="4"/>
  <c r="AB65" i="4"/>
  <c r="AB66" i="4"/>
  <c r="AB67" i="4"/>
  <c r="AB68" i="4"/>
  <c r="AB69" i="4"/>
  <c r="AB70" i="4"/>
  <c r="AB71" i="4"/>
  <c r="AB72" i="4"/>
  <c r="AB73" i="4"/>
  <c r="AB74" i="4"/>
  <c r="AB75" i="4"/>
  <c r="AB76" i="4"/>
  <c r="AB77" i="4"/>
  <c r="AB78" i="4"/>
  <c r="AB79" i="4"/>
  <c r="AB80" i="4"/>
  <c r="AB81" i="4"/>
  <c r="AB82" i="4"/>
  <c r="AB83" i="4"/>
  <c r="AB84" i="4"/>
  <c r="AB85" i="4"/>
  <c r="AB86" i="4"/>
  <c r="AB87" i="4"/>
  <c r="AB88" i="4"/>
  <c r="AB89" i="4"/>
  <c r="AB90" i="4"/>
  <c r="AB91" i="4"/>
  <c r="AB92" i="4"/>
  <c r="AB93" i="4"/>
  <c r="AB94" i="4"/>
  <c r="AB95" i="4"/>
  <c r="AB96" i="4"/>
  <c r="AB97" i="4"/>
  <c r="AB98" i="4"/>
  <c r="AB99" i="4"/>
  <c r="AB100" i="4"/>
  <c r="AB101" i="4"/>
  <c r="AB102" i="4"/>
  <c r="AC102" i="4" s="1"/>
  <c r="AB103" i="4"/>
  <c r="AB104" i="4"/>
  <c r="AB105" i="4"/>
  <c r="AB106" i="4"/>
  <c r="AB107" i="4"/>
  <c r="AB108" i="4"/>
  <c r="AB109" i="4"/>
  <c r="AB110" i="4"/>
  <c r="AB111" i="4"/>
  <c r="AB112" i="4"/>
  <c r="AB113" i="4"/>
  <c r="AB114" i="4"/>
  <c r="AB115" i="4"/>
  <c r="AB116" i="4"/>
  <c r="AC116" i="4" s="1"/>
  <c r="AB117" i="4"/>
  <c r="AB118" i="4"/>
  <c r="AB119" i="4"/>
  <c r="AB120" i="4"/>
  <c r="AB121" i="4"/>
  <c r="AB122" i="4"/>
  <c r="AB123" i="4"/>
  <c r="AB124" i="4"/>
  <c r="AB125" i="4"/>
  <c r="AB126" i="4"/>
  <c r="AB127" i="4"/>
  <c r="AB128" i="4"/>
  <c r="AB129" i="4"/>
  <c r="AB130" i="4"/>
  <c r="G516" i="6"/>
  <c r="G515" i="6"/>
  <c r="G514" i="6"/>
  <c r="G513" i="6"/>
  <c r="G512" i="6"/>
  <c r="G511" i="6"/>
  <c r="G510" i="6"/>
  <c r="G509" i="6"/>
  <c r="G508" i="6"/>
  <c r="G507" i="6"/>
  <c r="G506" i="6"/>
  <c r="G505" i="6"/>
  <c r="G504" i="6"/>
  <c r="G503" i="6"/>
  <c r="G502" i="6"/>
  <c r="G501" i="6"/>
  <c r="G500" i="6"/>
  <c r="G499" i="6"/>
  <c r="G498" i="6"/>
  <c r="G497" i="6"/>
  <c r="G496" i="6"/>
  <c r="G495" i="6"/>
  <c r="G494" i="6"/>
  <c r="G493" i="6"/>
  <c r="G492" i="6"/>
  <c r="G491" i="6"/>
  <c r="G490" i="6"/>
  <c r="G489" i="6"/>
  <c r="G488" i="6"/>
  <c r="G487" i="6"/>
  <c r="G486" i="6"/>
  <c r="G485" i="6"/>
  <c r="G484" i="6"/>
  <c r="G483" i="6"/>
  <c r="G482" i="6"/>
  <c r="G481" i="6"/>
  <c r="G480" i="6"/>
  <c r="G479" i="6"/>
  <c r="G478" i="6"/>
  <c r="G477" i="6"/>
  <c r="G476" i="6"/>
  <c r="G475" i="6"/>
  <c r="G474" i="6"/>
  <c r="G473" i="6"/>
  <c r="G472" i="6"/>
  <c r="G471" i="6"/>
  <c r="G470" i="6"/>
  <c r="G469" i="6"/>
  <c r="G468" i="6"/>
  <c r="G467" i="6"/>
  <c r="G466" i="6"/>
  <c r="G465" i="6"/>
  <c r="G464" i="6"/>
  <c r="G463" i="6"/>
  <c r="G462" i="6"/>
  <c r="G461" i="6"/>
  <c r="G460" i="6"/>
  <c r="G459" i="6"/>
  <c r="G458" i="6"/>
  <c r="G457" i="6"/>
  <c r="G456" i="6"/>
  <c r="G455" i="6"/>
  <c r="G454" i="6"/>
  <c r="G453" i="6"/>
  <c r="G452" i="6"/>
  <c r="G451" i="6"/>
  <c r="G450" i="6"/>
  <c r="G449" i="6"/>
  <c r="G448" i="6"/>
  <c r="G447" i="6"/>
  <c r="G446" i="6"/>
  <c r="G445" i="6"/>
  <c r="G444" i="6"/>
  <c r="G443" i="6"/>
  <c r="G442" i="6"/>
  <c r="G441" i="6"/>
  <c r="G440" i="6"/>
  <c r="G439" i="6"/>
  <c r="G438" i="6"/>
  <c r="G437" i="6"/>
  <c r="G436" i="6"/>
  <c r="G435" i="6"/>
  <c r="G434" i="6"/>
  <c r="G433" i="6"/>
  <c r="G432" i="6"/>
  <c r="G431" i="6"/>
  <c r="G430" i="6"/>
  <c r="G429" i="6"/>
  <c r="G428" i="6"/>
  <c r="G427" i="6"/>
  <c r="G426" i="6"/>
  <c r="G425" i="6"/>
  <c r="G424" i="6"/>
  <c r="G423" i="6"/>
  <c r="G422" i="6"/>
  <c r="G421" i="6"/>
  <c r="G420" i="6"/>
  <c r="G419" i="6"/>
  <c r="G418" i="6"/>
  <c r="G417" i="6"/>
  <c r="G416" i="6"/>
  <c r="G415" i="6"/>
  <c r="G414" i="6"/>
  <c r="G413" i="6"/>
  <c r="G412" i="6"/>
  <c r="G411" i="6"/>
  <c r="G410" i="6"/>
  <c r="G409" i="6"/>
  <c r="G408" i="6"/>
  <c r="G407" i="6"/>
  <c r="G406" i="6"/>
  <c r="G405" i="6"/>
  <c r="G404" i="6"/>
  <c r="G403" i="6"/>
  <c r="G402" i="6"/>
  <c r="G401" i="6"/>
  <c r="G400" i="6"/>
  <c r="G399" i="6"/>
  <c r="G398" i="6"/>
  <c r="G397" i="6"/>
  <c r="G396" i="6"/>
  <c r="G395" i="6"/>
  <c r="G394" i="6"/>
  <c r="G393" i="6"/>
  <c r="G392" i="6"/>
  <c r="G391" i="6"/>
  <c r="G390" i="6"/>
  <c r="G389" i="6"/>
  <c r="G388" i="6"/>
  <c r="G387" i="6"/>
  <c r="G386" i="6"/>
  <c r="G385" i="6"/>
  <c r="G384" i="6"/>
  <c r="G383" i="6"/>
  <c r="G382" i="6"/>
  <c r="G381" i="6"/>
  <c r="G380" i="6"/>
  <c r="G379" i="6"/>
  <c r="G378" i="6"/>
  <c r="G377" i="6"/>
  <c r="G376" i="6"/>
  <c r="G375" i="6"/>
  <c r="G374" i="6"/>
  <c r="G373" i="6"/>
  <c r="G372" i="6"/>
  <c r="G371" i="6"/>
  <c r="G370" i="6"/>
  <c r="G369" i="6"/>
  <c r="G368" i="6"/>
  <c r="G367" i="6"/>
  <c r="G366" i="6"/>
  <c r="G365" i="6"/>
  <c r="G364" i="6"/>
  <c r="G363" i="6"/>
  <c r="G362" i="6"/>
  <c r="G361" i="6"/>
  <c r="G360" i="6"/>
  <c r="G359" i="6"/>
  <c r="G358" i="6"/>
  <c r="G357" i="6"/>
  <c r="G356" i="6"/>
  <c r="G355" i="6"/>
  <c r="G354" i="6"/>
  <c r="G353" i="6"/>
  <c r="G352" i="6"/>
  <c r="G351" i="6"/>
  <c r="G350" i="6"/>
  <c r="G349" i="6"/>
  <c r="G348" i="6"/>
  <c r="G347" i="6"/>
  <c r="G346" i="6"/>
  <c r="G345" i="6"/>
  <c r="G344" i="6"/>
  <c r="G343" i="6"/>
  <c r="G342" i="6"/>
  <c r="G341" i="6"/>
  <c r="G340" i="6"/>
  <c r="G339" i="6"/>
  <c r="G338" i="6"/>
  <c r="G337" i="6"/>
  <c r="G336" i="6"/>
  <c r="G335" i="6"/>
  <c r="G334" i="6"/>
  <c r="G333" i="6"/>
  <c r="G332" i="6"/>
  <c r="G331" i="6"/>
  <c r="G330" i="6"/>
  <c r="G329" i="6"/>
  <c r="G328" i="6"/>
  <c r="G327" i="6"/>
  <c r="G326" i="6"/>
  <c r="G325" i="6"/>
  <c r="G324" i="6"/>
  <c r="G323" i="6"/>
  <c r="G322" i="6"/>
  <c r="G321" i="6"/>
  <c r="G320" i="6"/>
  <c r="G319" i="6"/>
  <c r="G318" i="6"/>
  <c r="G317" i="6"/>
  <c r="G316" i="6"/>
  <c r="G315" i="6"/>
  <c r="G314" i="6"/>
  <c r="G313" i="6"/>
  <c r="G312" i="6"/>
  <c r="G311" i="6"/>
  <c r="G310" i="6"/>
  <c r="G309" i="6"/>
  <c r="G308" i="6"/>
  <c r="G307" i="6"/>
  <c r="G306" i="6"/>
  <c r="G305" i="6"/>
  <c r="G304" i="6"/>
  <c r="G303" i="6"/>
  <c r="G302" i="6"/>
  <c r="G301" i="6"/>
  <c r="G300" i="6"/>
  <c r="G299" i="6"/>
  <c r="G298" i="6"/>
  <c r="G297" i="6"/>
  <c r="G296" i="6"/>
  <c r="G295" i="6"/>
  <c r="G294" i="6"/>
  <c r="G293" i="6"/>
  <c r="G292" i="6"/>
  <c r="G291" i="6"/>
  <c r="G290" i="6"/>
  <c r="G289" i="6"/>
  <c r="G288" i="6"/>
  <c r="G287" i="6"/>
  <c r="G286" i="6"/>
  <c r="G285" i="6"/>
  <c r="G284" i="6"/>
  <c r="G283" i="6"/>
  <c r="G282" i="6"/>
  <c r="G281" i="6"/>
  <c r="G280" i="6"/>
  <c r="G279" i="6"/>
  <c r="G278" i="6"/>
  <c r="G277" i="6"/>
  <c r="G276" i="6"/>
  <c r="G275" i="6"/>
  <c r="G274" i="6"/>
  <c r="G273" i="6"/>
  <c r="G272" i="6"/>
  <c r="G271" i="6"/>
  <c r="G270" i="6"/>
  <c r="G269" i="6"/>
  <c r="G268" i="6"/>
  <c r="G267" i="6"/>
  <c r="G266" i="6"/>
  <c r="G265" i="6"/>
  <c r="G264" i="6"/>
  <c r="G263" i="6"/>
  <c r="G262" i="6"/>
  <c r="G261" i="6"/>
  <c r="G260" i="6"/>
  <c r="G259" i="6"/>
  <c r="G258" i="6"/>
  <c r="G257" i="6"/>
  <c r="G256" i="6"/>
  <c r="G255" i="6"/>
  <c r="G254" i="6"/>
  <c r="G253" i="6"/>
  <c r="G252" i="6"/>
  <c r="G251" i="6"/>
  <c r="G250" i="6"/>
  <c r="G249" i="6"/>
  <c r="G248" i="6"/>
  <c r="G247" i="6"/>
  <c r="G246" i="6"/>
  <c r="G245" i="6"/>
  <c r="G244" i="6"/>
  <c r="G243" i="6"/>
  <c r="G242" i="6"/>
  <c r="G241" i="6"/>
  <c r="G240" i="6"/>
  <c r="G239" i="6"/>
  <c r="G238" i="6"/>
  <c r="G237" i="6"/>
  <c r="G236" i="6"/>
  <c r="G235" i="6"/>
  <c r="G234" i="6"/>
  <c r="G233" i="6"/>
  <c r="G232" i="6"/>
  <c r="G231" i="6"/>
  <c r="G230" i="6"/>
  <c r="G229" i="6"/>
  <c r="G228" i="6"/>
  <c r="G227" i="6"/>
  <c r="G226" i="6"/>
  <c r="G225" i="6"/>
  <c r="G224" i="6"/>
  <c r="G223" i="6"/>
  <c r="G222" i="6"/>
  <c r="G221" i="6"/>
  <c r="G220" i="6"/>
  <c r="G219" i="6"/>
  <c r="G218" i="6"/>
  <c r="G217" i="6"/>
  <c r="G216" i="6"/>
  <c r="G215" i="6"/>
  <c r="G214" i="6"/>
  <c r="G213" i="6"/>
  <c r="G212" i="6"/>
  <c r="G211" i="6"/>
  <c r="G210" i="6"/>
  <c r="G209" i="6"/>
  <c r="G208" i="6"/>
  <c r="G207" i="6"/>
  <c r="G206" i="6"/>
  <c r="G205" i="6"/>
  <c r="G204" i="6"/>
  <c r="G203" i="6"/>
  <c r="G202" i="6"/>
  <c r="G201" i="6"/>
  <c r="G200" i="6"/>
  <c r="G199" i="6"/>
  <c r="G198" i="6"/>
  <c r="G197" i="6"/>
  <c r="G196" i="6"/>
  <c r="G195" i="6"/>
  <c r="G194" i="6"/>
  <c r="G193" i="6"/>
  <c r="G192" i="6"/>
  <c r="G191" i="6"/>
  <c r="G190" i="6"/>
  <c r="G189" i="6"/>
  <c r="G188" i="6"/>
  <c r="G187" i="6"/>
  <c r="G186" i="6"/>
  <c r="G185" i="6"/>
  <c r="G184" i="6"/>
  <c r="G183" i="6"/>
  <c r="G182" i="6"/>
  <c r="G181" i="6"/>
  <c r="G180" i="6"/>
  <c r="G179" i="6"/>
  <c r="G178" i="6"/>
  <c r="G177" i="6"/>
  <c r="G176" i="6"/>
  <c r="G175" i="6"/>
  <c r="G174" i="6"/>
  <c r="G173" i="6"/>
  <c r="G172" i="6"/>
  <c r="G171" i="6"/>
  <c r="G170" i="6"/>
  <c r="G169" i="6"/>
  <c r="G168" i="6"/>
  <c r="G167" i="6"/>
  <c r="G166" i="6"/>
  <c r="G165" i="6"/>
  <c r="G164" i="6"/>
  <c r="G163" i="6"/>
  <c r="G162" i="6"/>
  <c r="G161" i="6"/>
  <c r="G160" i="6"/>
  <c r="G159" i="6"/>
  <c r="G158" i="6"/>
  <c r="G157" i="6"/>
  <c r="G156" i="6"/>
  <c r="G155" i="6"/>
  <c r="G154" i="6"/>
  <c r="G153" i="6"/>
  <c r="G152" i="6"/>
  <c r="G151" i="6"/>
  <c r="G150" i="6"/>
  <c r="G149" i="6"/>
  <c r="G148" i="6"/>
  <c r="G147" i="6"/>
  <c r="G146" i="6"/>
  <c r="G145" i="6"/>
  <c r="G144" i="6"/>
  <c r="G143" i="6"/>
  <c r="G142" i="6"/>
  <c r="G141" i="6"/>
  <c r="G140" i="6"/>
  <c r="G139" i="6"/>
  <c r="G138" i="6"/>
  <c r="G137" i="6"/>
  <c r="G136" i="6"/>
  <c r="G135" i="6"/>
  <c r="G134" i="6"/>
  <c r="G133" i="6"/>
  <c r="G132" i="6"/>
  <c r="G131" i="6"/>
  <c r="G130" i="6"/>
  <c r="G129" i="6"/>
  <c r="G128" i="6"/>
  <c r="G127" i="6"/>
  <c r="G126" i="6"/>
  <c r="G125" i="6"/>
  <c r="G124" i="6"/>
  <c r="G123" i="6"/>
  <c r="G122" i="6"/>
  <c r="G121" i="6"/>
  <c r="G120" i="6"/>
  <c r="G119" i="6"/>
  <c r="G118" i="6"/>
  <c r="G117" i="6"/>
  <c r="G116" i="6"/>
  <c r="G115" i="6"/>
  <c r="G114" i="6"/>
  <c r="G113" i="6"/>
  <c r="G112" i="6"/>
  <c r="G111" i="6"/>
  <c r="G110" i="6"/>
  <c r="G109" i="6"/>
  <c r="G108" i="6"/>
  <c r="G107" i="6"/>
  <c r="G106"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AB8" i="4"/>
  <c r="X8" i="4"/>
  <c r="E516" i="6"/>
  <c r="E515" i="6"/>
  <c r="E514" i="6"/>
  <c r="E513" i="6"/>
  <c r="E512" i="6"/>
  <c r="E511" i="6"/>
  <c r="E510" i="6"/>
  <c r="E509" i="6"/>
  <c r="E508" i="6"/>
  <c r="E507" i="6"/>
  <c r="E506" i="6"/>
  <c r="E505" i="6"/>
  <c r="E504" i="6"/>
  <c r="E503" i="6"/>
  <c r="E502" i="6"/>
  <c r="E501" i="6"/>
  <c r="E500" i="6"/>
  <c r="E499" i="6"/>
  <c r="E498" i="6"/>
  <c r="E497" i="6"/>
  <c r="E496" i="6"/>
  <c r="E495" i="6"/>
  <c r="E494" i="6"/>
  <c r="E493" i="6"/>
  <c r="E492" i="6"/>
  <c r="E491" i="6"/>
  <c r="E490" i="6"/>
  <c r="E489" i="6"/>
  <c r="E488" i="6"/>
  <c r="E487" i="6"/>
  <c r="E486" i="6"/>
  <c r="E485" i="6"/>
  <c r="E484" i="6"/>
  <c r="E483" i="6"/>
  <c r="E482" i="6"/>
  <c r="E481" i="6"/>
  <c r="E480" i="6"/>
  <c r="E479" i="6"/>
  <c r="E478" i="6"/>
  <c r="E477" i="6"/>
  <c r="E476" i="6"/>
  <c r="E475" i="6"/>
  <c r="E474" i="6"/>
  <c r="E473" i="6"/>
  <c r="E472" i="6"/>
  <c r="E471" i="6"/>
  <c r="E470" i="6"/>
  <c r="E469" i="6"/>
  <c r="E468" i="6"/>
  <c r="E467" i="6"/>
  <c r="E466" i="6"/>
  <c r="E465" i="6"/>
  <c r="E464" i="6"/>
  <c r="E463" i="6"/>
  <c r="E462" i="6"/>
  <c r="E461" i="6"/>
  <c r="E460" i="6"/>
  <c r="E459" i="6"/>
  <c r="E458" i="6"/>
  <c r="E457" i="6"/>
  <c r="E456" i="6"/>
  <c r="E455" i="6"/>
  <c r="E454" i="6"/>
  <c r="E453" i="6"/>
  <c r="E452" i="6"/>
  <c r="E451" i="6"/>
  <c r="E450" i="6"/>
  <c r="E449" i="6"/>
  <c r="E448" i="6"/>
  <c r="E447" i="6"/>
  <c r="E446" i="6"/>
  <c r="E445" i="6"/>
  <c r="E444" i="6"/>
  <c r="E443" i="6"/>
  <c r="E442" i="6"/>
  <c r="E441" i="6"/>
  <c r="E440" i="6"/>
  <c r="E439" i="6"/>
  <c r="E438" i="6"/>
  <c r="E437" i="6"/>
  <c r="E436" i="6"/>
  <c r="E435" i="6"/>
  <c r="E434" i="6"/>
  <c r="E433" i="6"/>
  <c r="E432" i="6"/>
  <c r="E431" i="6"/>
  <c r="E430" i="6"/>
  <c r="E429" i="6"/>
  <c r="E428" i="6"/>
  <c r="E427" i="6"/>
  <c r="E426" i="6"/>
  <c r="E425" i="6"/>
  <c r="E424" i="6"/>
  <c r="E423" i="6"/>
  <c r="E422" i="6"/>
  <c r="E421" i="6"/>
  <c r="E420" i="6"/>
  <c r="E419" i="6"/>
  <c r="E418" i="6"/>
  <c r="E417" i="6"/>
  <c r="E416" i="6"/>
  <c r="E415" i="6"/>
  <c r="E414" i="6"/>
  <c r="E413" i="6"/>
  <c r="E412" i="6"/>
  <c r="E411" i="6"/>
  <c r="E410" i="6"/>
  <c r="E409" i="6"/>
  <c r="E408" i="6"/>
  <c r="E407" i="6"/>
  <c r="E406" i="6"/>
  <c r="E405" i="6"/>
  <c r="E404" i="6"/>
  <c r="E403" i="6"/>
  <c r="E402" i="6"/>
  <c r="E401" i="6"/>
  <c r="E400" i="6"/>
  <c r="E399" i="6"/>
  <c r="E398" i="6"/>
  <c r="E397" i="6"/>
  <c r="E396" i="6"/>
  <c r="E395" i="6"/>
  <c r="E394" i="6"/>
  <c r="E393" i="6"/>
  <c r="E392" i="6"/>
  <c r="E391" i="6"/>
  <c r="E390" i="6"/>
  <c r="E389" i="6"/>
  <c r="E388" i="6"/>
  <c r="E387" i="6"/>
  <c r="E386" i="6"/>
  <c r="E385" i="6"/>
  <c r="E384" i="6"/>
  <c r="E383" i="6"/>
  <c r="E382" i="6"/>
  <c r="E381" i="6"/>
  <c r="E380" i="6"/>
  <c r="E379" i="6"/>
  <c r="E378" i="6"/>
  <c r="E377" i="6"/>
  <c r="E376" i="6"/>
  <c r="E375" i="6"/>
  <c r="E374" i="6"/>
  <c r="E373" i="6"/>
  <c r="E372" i="6"/>
  <c r="E371" i="6"/>
  <c r="E370" i="6"/>
  <c r="E369" i="6"/>
  <c r="E368" i="6"/>
  <c r="E367" i="6"/>
  <c r="E366" i="6"/>
  <c r="E365" i="6"/>
  <c r="E364" i="6"/>
  <c r="E363" i="6"/>
  <c r="E362" i="6"/>
  <c r="E361" i="6"/>
  <c r="E360" i="6"/>
  <c r="E359" i="6"/>
  <c r="E358" i="6"/>
  <c r="E357" i="6"/>
  <c r="E356" i="6"/>
  <c r="E355" i="6"/>
  <c r="E354" i="6"/>
  <c r="E353" i="6"/>
  <c r="E352" i="6"/>
  <c r="E351" i="6"/>
  <c r="E350" i="6"/>
  <c r="E349" i="6"/>
  <c r="E348" i="6"/>
  <c r="E347" i="6"/>
  <c r="E346" i="6"/>
  <c r="E345" i="6"/>
  <c r="E344" i="6"/>
  <c r="E343" i="6"/>
  <c r="E342" i="6"/>
  <c r="E341" i="6"/>
  <c r="E340" i="6"/>
  <c r="E339" i="6"/>
  <c r="E338" i="6"/>
  <c r="E337" i="6"/>
  <c r="E336" i="6"/>
  <c r="E335" i="6"/>
  <c r="E334" i="6"/>
  <c r="E333" i="6"/>
  <c r="E332" i="6"/>
  <c r="E331" i="6"/>
  <c r="E330" i="6"/>
  <c r="E329" i="6"/>
  <c r="E328" i="6"/>
  <c r="E327" i="6"/>
  <c r="E326" i="6"/>
  <c r="E325" i="6"/>
  <c r="E324" i="6"/>
  <c r="E323" i="6"/>
  <c r="E322" i="6"/>
  <c r="E321" i="6"/>
  <c r="E320" i="6"/>
  <c r="E319" i="6"/>
  <c r="E318" i="6"/>
  <c r="E317" i="6"/>
  <c r="E316" i="6"/>
  <c r="E315" i="6"/>
  <c r="E314" i="6"/>
  <c r="E313" i="6"/>
  <c r="E312" i="6"/>
  <c r="E311" i="6"/>
  <c r="E310" i="6"/>
  <c r="E309" i="6"/>
  <c r="E308" i="6"/>
  <c r="E307" i="6"/>
  <c r="E306" i="6"/>
  <c r="E305" i="6"/>
  <c r="E304" i="6"/>
  <c r="E303" i="6"/>
  <c r="E302" i="6"/>
  <c r="E301" i="6"/>
  <c r="E300" i="6"/>
  <c r="E299" i="6"/>
  <c r="E298" i="6"/>
  <c r="E297" i="6"/>
  <c r="E296" i="6"/>
  <c r="E295" i="6"/>
  <c r="E294" i="6"/>
  <c r="E293" i="6"/>
  <c r="E292" i="6"/>
  <c r="E291" i="6"/>
  <c r="E290" i="6"/>
  <c r="E289" i="6"/>
  <c r="E288" i="6"/>
  <c r="E287" i="6"/>
  <c r="E286" i="6"/>
  <c r="E285" i="6"/>
  <c r="E284" i="6"/>
  <c r="E283" i="6"/>
  <c r="E282" i="6"/>
  <c r="E281" i="6"/>
  <c r="E280" i="6"/>
  <c r="E279" i="6"/>
  <c r="E278" i="6"/>
  <c r="E277" i="6"/>
  <c r="E276" i="6"/>
  <c r="E275" i="6"/>
  <c r="E274" i="6"/>
  <c r="E273" i="6"/>
  <c r="E272" i="6"/>
  <c r="E271" i="6"/>
  <c r="E270" i="6"/>
  <c r="E269" i="6"/>
  <c r="E268" i="6"/>
  <c r="E267" i="6"/>
  <c r="E266" i="6"/>
  <c r="E265" i="6"/>
  <c r="E264" i="6"/>
  <c r="E263" i="6"/>
  <c r="E262" i="6"/>
  <c r="E261" i="6"/>
  <c r="E260" i="6"/>
  <c r="E259" i="6"/>
  <c r="E258" i="6"/>
  <c r="E257" i="6"/>
  <c r="E256" i="6"/>
  <c r="E255" i="6"/>
  <c r="E254" i="6"/>
  <c r="E253" i="6"/>
  <c r="E252" i="6"/>
  <c r="E251" i="6"/>
  <c r="E250" i="6"/>
  <c r="E249" i="6"/>
  <c r="E248" i="6"/>
  <c r="E247" i="6"/>
  <c r="E246" i="6"/>
  <c r="E245" i="6"/>
  <c r="E244" i="6"/>
  <c r="E243" i="6"/>
  <c r="E242" i="6"/>
  <c r="E241" i="6"/>
  <c r="E240" i="6"/>
  <c r="E239" i="6"/>
  <c r="E238" i="6"/>
  <c r="E237" i="6"/>
  <c r="E236" i="6"/>
  <c r="E235" i="6"/>
  <c r="E234" i="6"/>
  <c r="E233" i="6"/>
  <c r="E232" i="6"/>
  <c r="E231" i="6"/>
  <c r="E230" i="6"/>
  <c r="E229" i="6"/>
  <c r="E228" i="6"/>
  <c r="E227" i="6"/>
  <c r="E226" i="6"/>
  <c r="E225" i="6"/>
  <c r="E224" i="6"/>
  <c r="E223" i="6"/>
  <c r="E222" i="6"/>
  <c r="E221" i="6"/>
  <c r="E220" i="6"/>
  <c r="E219" i="6"/>
  <c r="E218" i="6"/>
  <c r="E217" i="6"/>
  <c r="E216" i="6"/>
  <c r="E215" i="6"/>
  <c r="E214" i="6"/>
  <c r="E213" i="6"/>
  <c r="E212" i="6"/>
  <c r="E211" i="6"/>
  <c r="E210" i="6"/>
  <c r="E209" i="6"/>
  <c r="E208" i="6"/>
  <c r="E207" i="6"/>
  <c r="E206" i="6"/>
  <c r="E205" i="6"/>
  <c r="E204" i="6"/>
  <c r="E203" i="6"/>
  <c r="E202" i="6"/>
  <c r="E201" i="6"/>
  <c r="E200" i="6"/>
  <c r="E199" i="6"/>
  <c r="E198" i="6"/>
  <c r="E197" i="6"/>
  <c r="E196" i="6"/>
  <c r="E195" i="6"/>
  <c r="E194" i="6"/>
  <c r="E193" i="6"/>
  <c r="E192" i="6"/>
  <c r="E191" i="6"/>
  <c r="E190" i="6"/>
  <c r="E189" i="6"/>
  <c r="E188" i="6"/>
  <c r="E187" i="6"/>
  <c r="E186" i="6"/>
  <c r="E185" i="6"/>
  <c r="E184" i="6"/>
  <c r="E183" i="6"/>
  <c r="E182" i="6"/>
  <c r="E181" i="6"/>
  <c r="E180" i="6"/>
  <c r="E179" i="6"/>
  <c r="E178" i="6"/>
  <c r="E177" i="6"/>
  <c r="E176" i="6"/>
  <c r="E175" i="6"/>
  <c r="E174" i="6"/>
  <c r="E173" i="6"/>
  <c r="E172" i="6"/>
  <c r="E171" i="6"/>
  <c r="E170" i="6"/>
  <c r="E169"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K9" i="6" s="1"/>
  <c r="K10" i="6" s="1"/>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N261" i="6" s="1"/>
  <c r="C258" i="6"/>
  <c r="N262" i="6" s="1"/>
  <c r="C259" i="6"/>
  <c r="N263" i="6" s="1"/>
  <c r="C260" i="6"/>
  <c r="N264" i="6" s="1"/>
  <c r="C261" i="6"/>
  <c r="N265" i="6" s="1"/>
  <c r="C262" i="6"/>
  <c r="N266" i="6" s="1"/>
  <c r="C263" i="6"/>
  <c r="N267" i="6" s="1"/>
  <c r="C264" i="6"/>
  <c r="N268" i="6" s="1"/>
  <c r="C265" i="6"/>
  <c r="N269" i="6" s="1"/>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J9" i="6"/>
  <c r="J10" i="6" s="1"/>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15" i="5"/>
  <c r="C506" i="5"/>
  <c r="C507" i="5"/>
  <c r="C508" i="5"/>
  <c r="C509" i="5"/>
  <c r="C510" i="5"/>
  <c r="C511" i="5"/>
  <c r="C512" i="5"/>
  <c r="C513" i="5"/>
  <c r="C514" i="5"/>
  <c r="C515" i="5"/>
  <c r="C516" i="5"/>
  <c r="G8" i="5"/>
  <c r="C9" i="5"/>
  <c r="E9" i="5"/>
  <c r="G9" i="5"/>
  <c r="C10" i="5"/>
  <c r="E10" i="5"/>
  <c r="G10" i="5"/>
  <c r="C11" i="5"/>
  <c r="E11" i="5"/>
  <c r="G11" i="5"/>
  <c r="C12" i="5"/>
  <c r="E12" i="5"/>
  <c r="G12" i="5"/>
  <c r="C13" i="5"/>
  <c r="E13" i="5"/>
  <c r="G13" i="5"/>
  <c r="C14" i="5"/>
  <c r="E14" i="5"/>
  <c r="G14" i="5"/>
  <c r="E15" i="5"/>
  <c r="G15" i="5"/>
  <c r="C16" i="5"/>
  <c r="E16" i="5"/>
  <c r="G16" i="5"/>
  <c r="C17" i="5"/>
  <c r="E17" i="5"/>
  <c r="G17" i="5"/>
  <c r="C18" i="5"/>
  <c r="E18" i="5"/>
  <c r="G18" i="5"/>
  <c r="C19" i="5"/>
  <c r="E19" i="5"/>
  <c r="G19" i="5"/>
  <c r="C20" i="5"/>
  <c r="E20" i="5"/>
  <c r="G20" i="5"/>
  <c r="C21" i="5"/>
  <c r="E21" i="5"/>
  <c r="G21" i="5"/>
  <c r="C22" i="5"/>
  <c r="E22" i="5"/>
  <c r="G22" i="5"/>
  <c r="C23" i="5"/>
  <c r="E23" i="5"/>
  <c r="G23" i="5"/>
  <c r="C24" i="5"/>
  <c r="E24" i="5"/>
  <c r="G24" i="5"/>
  <c r="C25" i="5"/>
  <c r="E25" i="5"/>
  <c r="G25" i="5"/>
  <c r="C26" i="5"/>
  <c r="E26" i="5"/>
  <c r="G26" i="5"/>
  <c r="C27" i="5"/>
  <c r="E27" i="5"/>
  <c r="G27" i="5"/>
  <c r="C28" i="5"/>
  <c r="E28" i="5"/>
  <c r="G28" i="5"/>
  <c r="C29" i="5"/>
  <c r="E29" i="5"/>
  <c r="G29" i="5"/>
  <c r="C30" i="5"/>
  <c r="E30" i="5"/>
  <c r="G30" i="5"/>
  <c r="C31" i="5"/>
  <c r="E31" i="5"/>
  <c r="G31" i="5"/>
  <c r="C32" i="5"/>
  <c r="E32" i="5"/>
  <c r="G32" i="5"/>
  <c r="C33" i="5"/>
  <c r="E33" i="5"/>
  <c r="G33" i="5"/>
  <c r="C34" i="5"/>
  <c r="E34" i="5"/>
  <c r="G34" i="5"/>
  <c r="C35" i="5"/>
  <c r="E35" i="5"/>
  <c r="G35" i="5"/>
  <c r="C36" i="5"/>
  <c r="E36" i="5"/>
  <c r="G36" i="5"/>
  <c r="C37" i="5"/>
  <c r="E37" i="5"/>
  <c r="G37" i="5"/>
  <c r="C38" i="5"/>
  <c r="E38" i="5"/>
  <c r="G38" i="5"/>
  <c r="C39" i="5"/>
  <c r="E39" i="5"/>
  <c r="G39" i="5"/>
  <c r="C40" i="5"/>
  <c r="E40" i="5"/>
  <c r="G40" i="5"/>
  <c r="C41" i="5"/>
  <c r="E41" i="5"/>
  <c r="G41" i="5"/>
  <c r="C42" i="5"/>
  <c r="E42" i="5"/>
  <c r="G42" i="5"/>
  <c r="C43" i="5"/>
  <c r="E43" i="5"/>
  <c r="G43" i="5"/>
  <c r="C44" i="5"/>
  <c r="E44" i="5"/>
  <c r="G44" i="5"/>
  <c r="C45" i="5"/>
  <c r="E45" i="5"/>
  <c r="G45" i="5"/>
  <c r="C46" i="5"/>
  <c r="E46" i="5"/>
  <c r="G46" i="5"/>
  <c r="C47" i="5"/>
  <c r="E47" i="5"/>
  <c r="G47" i="5"/>
  <c r="C48" i="5"/>
  <c r="E48" i="5"/>
  <c r="G48" i="5"/>
  <c r="C49" i="5"/>
  <c r="E49" i="5"/>
  <c r="G49" i="5"/>
  <c r="C50" i="5"/>
  <c r="E50" i="5"/>
  <c r="G50" i="5"/>
  <c r="C51" i="5"/>
  <c r="E51" i="5"/>
  <c r="G51" i="5"/>
  <c r="C52" i="5"/>
  <c r="E52" i="5"/>
  <c r="G52" i="5"/>
  <c r="C53" i="5"/>
  <c r="E53" i="5"/>
  <c r="G53" i="5"/>
  <c r="C54" i="5"/>
  <c r="E54" i="5"/>
  <c r="G54" i="5"/>
  <c r="C55" i="5"/>
  <c r="E55" i="5"/>
  <c r="G55" i="5"/>
  <c r="C56" i="5"/>
  <c r="E56" i="5"/>
  <c r="G56" i="5"/>
  <c r="C57" i="5"/>
  <c r="E57" i="5"/>
  <c r="G57" i="5"/>
  <c r="C58" i="5"/>
  <c r="E58" i="5"/>
  <c r="G58" i="5"/>
  <c r="C59" i="5"/>
  <c r="E59" i="5"/>
  <c r="G59" i="5"/>
  <c r="C60" i="5"/>
  <c r="E60" i="5"/>
  <c r="G60" i="5"/>
  <c r="C61" i="5"/>
  <c r="E61" i="5"/>
  <c r="G61" i="5"/>
  <c r="C62" i="5"/>
  <c r="E62" i="5"/>
  <c r="G62" i="5"/>
  <c r="C63" i="5"/>
  <c r="E63" i="5"/>
  <c r="G63" i="5"/>
  <c r="C64" i="5"/>
  <c r="E64" i="5"/>
  <c r="G64" i="5"/>
  <c r="C65" i="5"/>
  <c r="E65" i="5"/>
  <c r="G65" i="5"/>
  <c r="C66" i="5"/>
  <c r="E66" i="5"/>
  <c r="G66" i="5"/>
  <c r="C67" i="5"/>
  <c r="E67" i="5"/>
  <c r="G67" i="5"/>
  <c r="C68" i="5"/>
  <c r="E68" i="5"/>
  <c r="G68" i="5"/>
  <c r="C69" i="5"/>
  <c r="E69" i="5"/>
  <c r="G69" i="5"/>
  <c r="C70" i="5"/>
  <c r="E70" i="5"/>
  <c r="G70" i="5"/>
  <c r="C71" i="5"/>
  <c r="E71" i="5"/>
  <c r="G71" i="5"/>
  <c r="C72" i="5"/>
  <c r="E72" i="5"/>
  <c r="G72" i="5"/>
  <c r="C73" i="5"/>
  <c r="E73" i="5"/>
  <c r="G73" i="5"/>
  <c r="C74" i="5"/>
  <c r="E74" i="5"/>
  <c r="G74" i="5"/>
  <c r="C75" i="5"/>
  <c r="E75" i="5"/>
  <c r="G75" i="5"/>
  <c r="C76" i="5"/>
  <c r="E76" i="5"/>
  <c r="G76" i="5"/>
  <c r="C77" i="5"/>
  <c r="E77" i="5"/>
  <c r="G77" i="5"/>
  <c r="C78" i="5"/>
  <c r="E78" i="5"/>
  <c r="G78" i="5"/>
  <c r="C79" i="5"/>
  <c r="E79" i="5"/>
  <c r="G79" i="5"/>
  <c r="C80" i="5"/>
  <c r="E80" i="5"/>
  <c r="G80" i="5"/>
  <c r="C81" i="5"/>
  <c r="E81" i="5"/>
  <c r="G81" i="5"/>
  <c r="C82" i="5"/>
  <c r="E82" i="5"/>
  <c r="G82" i="5"/>
  <c r="C83" i="5"/>
  <c r="E83" i="5"/>
  <c r="G83" i="5"/>
  <c r="C84" i="5"/>
  <c r="E84" i="5"/>
  <c r="G84" i="5"/>
  <c r="C85" i="5"/>
  <c r="E85" i="5"/>
  <c r="G85" i="5"/>
  <c r="C86" i="5"/>
  <c r="E86" i="5"/>
  <c r="G86" i="5"/>
  <c r="C87" i="5"/>
  <c r="E87" i="5"/>
  <c r="G87" i="5"/>
  <c r="C88" i="5"/>
  <c r="E88" i="5"/>
  <c r="G88" i="5"/>
  <c r="C89" i="5"/>
  <c r="E89" i="5"/>
  <c r="G89" i="5"/>
  <c r="C90" i="5"/>
  <c r="E90" i="5"/>
  <c r="G90" i="5"/>
  <c r="C91" i="5"/>
  <c r="E91" i="5"/>
  <c r="G91" i="5"/>
  <c r="C92" i="5"/>
  <c r="E92" i="5"/>
  <c r="G92" i="5"/>
  <c r="C93" i="5"/>
  <c r="E93" i="5"/>
  <c r="G93" i="5"/>
  <c r="C94" i="5"/>
  <c r="E94" i="5"/>
  <c r="G94" i="5"/>
  <c r="C95" i="5"/>
  <c r="E95" i="5"/>
  <c r="G95" i="5"/>
  <c r="C96" i="5"/>
  <c r="E96" i="5"/>
  <c r="G96" i="5"/>
  <c r="C97" i="5"/>
  <c r="E97" i="5"/>
  <c r="G97" i="5"/>
  <c r="C98" i="5"/>
  <c r="E98" i="5"/>
  <c r="G98" i="5"/>
  <c r="C99" i="5"/>
  <c r="E99" i="5"/>
  <c r="G99" i="5"/>
  <c r="C100" i="5"/>
  <c r="E100" i="5"/>
  <c r="G100" i="5"/>
  <c r="C101" i="5"/>
  <c r="E101" i="5"/>
  <c r="G101" i="5"/>
  <c r="C102" i="5"/>
  <c r="E102" i="5"/>
  <c r="G102" i="5"/>
  <c r="C103" i="5"/>
  <c r="E103" i="5"/>
  <c r="G103" i="5"/>
  <c r="C104" i="5"/>
  <c r="E104" i="5"/>
  <c r="G104" i="5"/>
  <c r="C105" i="5"/>
  <c r="E105" i="5"/>
  <c r="G105" i="5"/>
  <c r="C106" i="5"/>
  <c r="E106" i="5"/>
  <c r="G106" i="5"/>
  <c r="C107" i="5"/>
  <c r="E107" i="5"/>
  <c r="G107" i="5"/>
  <c r="C108" i="5"/>
  <c r="E108" i="5"/>
  <c r="G108" i="5"/>
  <c r="C109" i="5"/>
  <c r="E109" i="5"/>
  <c r="G109" i="5"/>
  <c r="C110" i="5"/>
  <c r="E110" i="5"/>
  <c r="G110" i="5"/>
  <c r="C111" i="5"/>
  <c r="E111" i="5"/>
  <c r="G111" i="5"/>
  <c r="C112" i="5"/>
  <c r="E112" i="5"/>
  <c r="G112" i="5"/>
  <c r="C113" i="5"/>
  <c r="E113" i="5"/>
  <c r="G113" i="5"/>
  <c r="C114" i="5"/>
  <c r="E114" i="5"/>
  <c r="G114" i="5"/>
  <c r="C115" i="5"/>
  <c r="E115" i="5"/>
  <c r="G115" i="5"/>
  <c r="C116" i="5"/>
  <c r="E116" i="5"/>
  <c r="G116" i="5"/>
  <c r="C117" i="5"/>
  <c r="E117" i="5"/>
  <c r="G117" i="5"/>
  <c r="C118" i="5"/>
  <c r="E118" i="5"/>
  <c r="G118" i="5"/>
  <c r="C119" i="5"/>
  <c r="E119" i="5"/>
  <c r="G119" i="5"/>
  <c r="C120" i="5"/>
  <c r="E120" i="5"/>
  <c r="G120" i="5"/>
  <c r="C121" i="5"/>
  <c r="E121" i="5"/>
  <c r="G121" i="5"/>
  <c r="C122" i="5"/>
  <c r="E122" i="5"/>
  <c r="G122" i="5"/>
  <c r="C123" i="5"/>
  <c r="E123" i="5"/>
  <c r="G123" i="5"/>
  <c r="C124" i="5"/>
  <c r="E124" i="5"/>
  <c r="G124" i="5"/>
  <c r="C125" i="5"/>
  <c r="E125" i="5"/>
  <c r="G125" i="5"/>
  <c r="C126" i="5"/>
  <c r="E126" i="5"/>
  <c r="G126" i="5"/>
  <c r="C127" i="5"/>
  <c r="E127" i="5"/>
  <c r="G127" i="5"/>
  <c r="C128" i="5"/>
  <c r="E128" i="5"/>
  <c r="G128" i="5"/>
  <c r="C129" i="5"/>
  <c r="E129" i="5"/>
  <c r="G129" i="5"/>
  <c r="C130" i="5"/>
  <c r="E130" i="5"/>
  <c r="G130" i="5"/>
  <c r="C131" i="5"/>
  <c r="E131" i="5"/>
  <c r="G131" i="5"/>
  <c r="C132" i="5"/>
  <c r="E132" i="5"/>
  <c r="G132" i="5"/>
  <c r="C133" i="5"/>
  <c r="E133" i="5"/>
  <c r="G133" i="5"/>
  <c r="C134" i="5"/>
  <c r="E134" i="5"/>
  <c r="G134" i="5"/>
  <c r="C135" i="5"/>
  <c r="E135" i="5"/>
  <c r="G135" i="5"/>
  <c r="C136" i="5"/>
  <c r="E136" i="5"/>
  <c r="G136" i="5"/>
  <c r="C137" i="5"/>
  <c r="E137" i="5"/>
  <c r="G137" i="5"/>
  <c r="C138" i="5"/>
  <c r="E138" i="5"/>
  <c r="G138" i="5"/>
  <c r="C139" i="5"/>
  <c r="E139" i="5"/>
  <c r="G139" i="5"/>
  <c r="C140" i="5"/>
  <c r="E140" i="5"/>
  <c r="G140" i="5"/>
  <c r="C141" i="5"/>
  <c r="E141" i="5"/>
  <c r="G141" i="5"/>
  <c r="C142" i="5"/>
  <c r="E142" i="5"/>
  <c r="G142" i="5"/>
  <c r="C143" i="5"/>
  <c r="E143" i="5"/>
  <c r="G143" i="5"/>
  <c r="C144" i="5"/>
  <c r="E144" i="5"/>
  <c r="G144" i="5"/>
  <c r="C145" i="5"/>
  <c r="E145" i="5"/>
  <c r="G145" i="5"/>
  <c r="C146" i="5"/>
  <c r="E146" i="5"/>
  <c r="G146" i="5"/>
  <c r="C147" i="5"/>
  <c r="E147" i="5"/>
  <c r="G147" i="5"/>
  <c r="C148" i="5"/>
  <c r="E148" i="5"/>
  <c r="G148" i="5"/>
  <c r="C149" i="5"/>
  <c r="E149" i="5"/>
  <c r="G149" i="5"/>
  <c r="C150" i="5"/>
  <c r="E150" i="5"/>
  <c r="G150" i="5"/>
  <c r="C151" i="5"/>
  <c r="E151" i="5"/>
  <c r="G151" i="5"/>
  <c r="C152" i="5"/>
  <c r="E152" i="5"/>
  <c r="G152" i="5"/>
  <c r="C153" i="5"/>
  <c r="E153" i="5"/>
  <c r="G153" i="5"/>
  <c r="C154" i="5"/>
  <c r="E154" i="5"/>
  <c r="G154" i="5"/>
  <c r="C155" i="5"/>
  <c r="E155" i="5"/>
  <c r="G155" i="5"/>
  <c r="C156" i="5"/>
  <c r="E156" i="5"/>
  <c r="G156" i="5"/>
  <c r="C157" i="5"/>
  <c r="E157" i="5"/>
  <c r="G157" i="5"/>
  <c r="C158" i="5"/>
  <c r="E158" i="5"/>
  <c r="G158" i="5"/>
  <c r="C159" i="5"/>
  <c r="E159" i="5"/>
  <c r="G159" i="5"/>
  <c r="C160" i="5"/>
  <c r="E160" i="5"/>
  <c r="G160" i="5"/>
  <c r="C161" i="5"/>
  <c r="E161" i="5"/>
  <c r="G161" i="5"/>
  <c r="C162" i="5"/>
  <c r="E162" i="5"/>
  <c r="G162" i="5"/>
  <c r="C163" i="5"/>
  <c r="E163" i="5"/>
  <c r="G163" i="5"/>
  <c r="C164" i="5"/>
  <c r="E164" i="5"/>
  <c r="G164" i="5"/>
  <c r="C165" i="5"/>
  <c r="E165" i="5"/>
  <c r="G165" i="5"/>
  <c r="C166" i="5"/>
  <c r="E166" i="5"/>
  <c r="G166" i="5"/>
  <c r="C167" i="5"/>
  <c r="E167" i="5"/>
  <c r="G167" i="5"/>
  <c r="C168" i="5"/>
  <c r="E168" i="5"/>
  <c r="G168" i="5"/>
  <c r="C169" i="5"/>
  <c r="E169" i="5"/>
  <c r="G169" i="5"/>
  <c r="C170" i="5"/>
  <c r="E170" i="5"/>
  <c r="G170" i="5"/>
  <c r="C171" i="5"/>
  <c r="E171" i="5"/>
  <c r="G171" i="5"/>
  <c r="C172" i="5"/>
  <c r="E172" i="5"/>
  <c r="G172" i="5"/>
  <c r="C173" i="5"/>
  <c r="E173" i="5"/>
  <c r="G173" i="5"/>
  <c r="C174" i="5"/>
  <c r="E174" i="5"/>
  <c r="G174" i="5"/>
  <c r="C175" i="5"/>
  <c r="E175" i="5"/>
  <c r="G175" i="5"/>
  <c r="C176" i="5"/>
  <c r="E176" i="5"/>
  <c r="G176" i="5"/>
  <c r="C177" i="5"/>
  <c r="E177" i="5"/>
  <c r="G177" i="5"/>
  <c r="C178" i="5"/>
  <c r="E178" i="5"/>
  <c r="G178" i="5"/>
  <c r="C179" i="5"/>
  <c r="E179" i="5"/>
  <c r="G179" i="5"/>
  <c r="C180" i="5"/>
  <c r="E180" i="5"/>
  <c r="G180" i="5"/>
  <c r="C181" i="5"/>
  <c r="E181" i="5"/>
  <c r="G181" i="5"/>
  <c r="C182" i="5"/>
  <c r="E182" i="5"/>
  <c r="G182" i="5"/>
  <c r="C183" i="5"/>
  <c r="E183" i="5"/>
  <c r="G183" i="5"/>
  <c r="C184" i="5"/>
  <c r="E184" i="5"/>
  <c r="G184" i="5"/>
  <c r="C185" i="5"/>
  <c r="E185" i="5"/>
  <c r="G185" i="5"/>
  <c r="C186" i="5"/>
  <c r="E186" i="5"/>
  <c r="G186" i="5"/>
  <c r="C187" i="5"/>
  <c r="E187" i="5"/>
  <c r="G187" i="5"/>
  <c r="C188" i="5"/>
  <c r="E188" i="5"/>
  <c r="G188" i="5"/>
  <c r="E189" i="5"/>
  <c r="G189" i="5"/>
  <c r="E190" i="5"/>
  <c r="G190" i="5"/>
  <c r="E191" i="5"/>
  <c r="G191" i="5"/>
  <c r="E192" i="5"/>
  <c r="G192" i="5"/>
  <c r="E193" i="5"/>
  <c r="G193" i="5"/>
  <c r="E194" i="5"/>
  <c r="G194" i="5"/>
  <c r="E195" i="5"/>
  <c r="G195" i="5"/>
  <c r="E196" i="5"/>
  <c r="G196" i="5"/>
  <c r="E197" i="5"/>
  <c r="G197" i="5"/>
  <c r="E198" i="5"/>
  <c r="G198" i="5"/>
  <c r="E199" i="5"/>
  <c r="G199" i="5"/>
  <c r="E200" i="5"/>
  <c r="G200" i="5"/>
  <c r="E201" i="5"/>
  <c r="G201" i="5"/>
  <c r="E202" i="5"/>
  <c r="G202" i="5"/>
  <c r="E203" i="5"/>
  <c r="G203" i="5"/>
  <c r="E204" i="5"/>
  <c r="G204" i="5"/>
  <c r="E205" i="5"/>
  <c r="G205" i="5"/>
  <c r="E206" i="5"/>
  <c r="G206" i="5"/>
  <c r="E207" i="5"/>
  <c r="G207" i="5"/>
  <c r="E208" i="5"/>
  <c r="G208" i="5"/>
  <c r="E209" i="5"/>
  <c r="G209" i="5"/>
  <c r="E210" i="5"/>
  <c r="G210" i="5"/>
  <c r="E211" i="5"/>
  <c r="G211" i="5"/>
  <c r="E212" i="5"/>
  <c r="G212" i="5"/>
  <c r="E213" i="5"/>
  <c r="G213" i="5"/>
  <c r="E214" i="5"/>
  <c r="G214" i="5"/>
  <c r="E215" i="5"/>
  <c r="G215" i="5"/>
  <c r="E216" i="5"/>
  <c r="G216" i="5"/>
  <c r="E217" i="5"/>
  <c r="G217" i="5"/>
  <c r="E218" i="5"/>
  <c r="G218" i="5"/>
  <c r="E219" i="5"/>
  <c r="G219" i="5"/>
  <c r="E220" i="5"/>
  <c r="G220" i="5"/>
  <c r="E221" i="5"/>
  <c r="G221" i="5"/>
  <c r="E222" i="5"/>
  <c r="G222" i="5"/>
  <c r="E223" i="5"/>
  <c r="G223" i="5"/>
  <c r="E224" i="5"/>
  <c r="G224" i="5"/>
  <c r="E225" i="5"/>
  <c r="G225" i="5"/>
  <c r="E226" i="5"/>
  <c r="G226" i="5"/>
  <c r="E227" i="5"/>
  <c r="G227" i="5"/>
  <c r="E228" i="5"/>
  <c r="G228" i="5"/>
  <c r="E229" i="5"/>
  <c r="G229" i="5"/>
  <c r="E230" i="5"/>
  <c r="G230" i="5"/>
  <c r="E231" i="5"/>
  <c r="G231" i="5"/>
  <c r="E232" i="5"/>
  <c r="G232" i="5"/>
  <c r="E233" i="5"/>
  <c r="G233" i="5"/>
  <c r="E234" i="5"/>
  <c r="G234" i="5"/>
  <c r="E235" i="5"/>
  <c r="G235" i="5"/>
  <c r="E236" i="5"/>
  <c r="G236" i="5"/>
  <c r="E237" i="5"/>
  <c r="G237" i="5"/>
  <c r="E238" i="5"/>
  <c r="G238" i="5"/>
  <c r="E239" i="5"/>
  <c r="G239" i="5"/>
  <c r="E240" i="5"/>
  <c r="G240" i="5"/>
  <c r="E241" i="5"/>
  <c r="G241" i="5"/>
  <c r="E242" i="5"/>
  <c r="G242" i="5"/>
  <c r="E243" i="5"/>
  <c r="G243" i="5"/>
  <c r="E244" i="5"/>
  <c r="G244" i="5"/>
  <c r="E245" i="5"/>
  <c r="G245" i="5"/>
  <c r="E246" i="5"/>
  <c r="G246" i="5"/>
  <c r="E247" i="5"/>
  <c r="G247" i="5"/>
  <c r="E248" i="5"/>
  <c r="G248" i="5"/>
  <c r="E249" i="5"/>
  <c r="G249" i="5"/>
  <c r="E250" i="5"/>
  <c r="G250" i="5"/>
  <c r="E251" i="5"/>
  <c r="G251" i="5"/>
  <c r="E252" i="5"/>
  <c r="G252" i="5"/>
  <c r="E253" i="5"/>
  <c r="G253" i="5"/>
  <c r="E254" i="5"/>
  <c r="G254" i="5"/>
  <c r="E255" i="5"/>
  <c r="G255" i="5"/>
  <c r="E256" i="5"/>
  <c r="G256" i="5"/>
  <c r="E257" i="5"/>
  <c r="G257" i="5"/>
  <c r="E258" i="5"/>
  <c r="G258" i="5"/>
  <c r="E259" i="5"/>
  <c r="G259" i="5"/>
  <c r="E260" i="5"/>
  <c r="G260" i="5"/>
  <c r="E261" i="5"/>
  <c r="G261" i="5"/>
  <c r="E262" i="5"/>
  <c r="G262" i="5"/>
  <c r="E263" i="5"/>
  <c r="G263" i="5"/>
  <c r="E264" i="5"/>
  <c r="G264" i="5"/>
  <c r="E265" i="5"/>
  <c r="G265" i="5"/>
  <c r="E266" i="5"/>
  <c r="G266" i="5"/>
  <c r="E267" i="5"/>
  <c r="G267" i="5"/>
  <c r="E268" i="5"/>
  <c r="G268" i="5"/>
  <c r="E269" i="5"/>
  <c r="G269" i="5"/>
  <c r="E270" i="5"/>
  <c r="G270" i="5"/>
  <c r="E271" i="5"/>
  <c r="G271" i="5"/>
  <c r="E272" i="5"/>
  <c r="G272" i="5"/>
  <c r="E273" i="5"/>
  <c r="G273" i="5"/>
  <c r="E274" i="5"/>
  <c r="G274" i="5"/>
  <c r="E275" i="5"/>
  <c r="G275" i="5"/>
  <c r="E276" i="5"/>
  <c r="G276" i="5"/>
  <c r="E277" i="5"/>
  <c r="G277" i="5"/>
  <c r="E278" i="5"/>
  <c r="G278" i="5"/>
  <c r="E279" i="5"/>
  <c r="G279" i="5"/>
  <c r="E280" i="5"/>
  <c r="G280" i="5"/>
  <c r="E281" i="5"/>
  <c r="G281" i="5"/>
  <c r="E282" i="5"/>
  <c r="G282" i="5"/>
  <c r="E283" i="5"/>
  <c r="G283" i="5"/>
  <c r="E284" i="5"/>
  <c r="G284" i="5"/>
  <c r="E285" i="5"/>
  <c r="G285" i="5"/>
  <c r="E286" i="5"/>
  <c r="G286" i="5"/>
  <c r="E287" i="5"/>
  <c r="G287" i="5"/>
  <c r="E288" i="5"/>
  <c r="G288" i="5"/>
  <c r="E289" i="5"/>
  <c r="G289" i="5"/>
  <c r="E290" i="5"/>
  <c r="G290" i="5"/>
  <c r="E291" i="5"/>
  <c r="G291" i="5"/>
  <c r="E292" i="5"/>
  <c r="G292" i="5"/>
  <c r="E293" i="5"/>
  <c r="G293" i="5"/>
  <c r="E294" i="5"/>
  <c r="G294" i="5"/>
  <c r="E295" i="5"/>
  <c r="G295" i="5"/>
  <c r="E296" i="5"/>
  <c r="G296" i="5"/>
  <c r="E297" i="5"/>
  <c r="G297" i="5"/>
  <c r="E298" i="5"/>
  <c r="G298" i="5"/>
  <c r="E299" i="5"/>
  <c r="G299" i="5"/>
  <c r="E300" i="5"/>
  <c r="G300" i="5"/>
  <c r="E301" i="5"/>
  <c r="G301" i="5"/>
  <c r="E302" i="5"/>
  <c r="G302" i="5"/>
  <c r="E303" i="5"/>
  <c r="G303" i="5"/>
  <c r="E304" i="5"/>
  <c r="G304" i="5"/>
  <c r="E305" i="5"/>
  <c r="G305" i="5"/>
  <c r="E306" i="5"/>
  <c r="G306" i="5"/>
  <c r="E307" i="5"/>
  <c r="G307" i="5"/>
  <c r="E308" i="5"/>
  <c r="G308" i="5"/>
  <c r="E309" i="5"/>
  <c r="G309" i="5"/>
  <c r="E310" i="5"/>
  <c r="G310" i="5"/>
  <c r="E311" i="5"/>
  <c r="G311" i="5"/>
  <c r="E312" i="5"/>
  <c r="G312" i="5"/>
  <c r="E313" i="5"/>
  <c r="G313" i="5"/>
  <c r="E314" i="5"/>
  <c r="G314" i="5"/>
  <c r="E315" i="5"/>
  <c r="G315" i="5"/>
  <c r="E316" i="5"/>
  <c r="G316" i="5"/>
  <c r="E317" i="5"/>
  <c r="G317" i="5"/>
  <c r="E318" i="5"/>
  <c r="G318" i="5"/>
  <c r="E319" i="5"/>
  <c r="G319" i="5"/>
  <c r="E320" i="5"/>
  <c r="G320" i="5"/>
  <c r="E321" i="5"/>
  <c r="G321" i="5"/>
  <c r="E322" i="5"/>
  <c r="G322" i="5"/>
  <c r="E323" i="5"/>
  <c r="G323" i="5"/>
  <c r="E324" i="5"/>
  <c r="G324" i="5"/>
  <c r="E325" i="5"/>
  <c r="G325" i="5"/>
  <c r="E326" i="5"/>
  <c r="G326" i="5"/>
  <c r="E327" i="5"/>
  <c r="G327" i="5"/>
  <c r="E328" i="5"/>
  <c r="G328" i="5"/>
  <c r="E329" i="5"/>
  <c r="G329" i="5"/>
  <c r="E330" i="5"/>
  <c r="G330" i="5"/>
  <c r="E331" i="5"/>
  <c r="G331" i="5"/>
  <c r="E332" i="5"/>
  <c r="G332" i="5"/>
  <c r="E333" i="5"/>
  <c r="G333" i="5"/>
  <c r="E334" i="5"/>
  <c r="G334" i="5"/>
  <c r="E335" i="5"/>
  <c r="G335" i="5"/>
  <c r="E336" i="5"/>
  <c r="G336" i="5"/>
  <c r="E337" i="5"/>
  <c r="G337" i="5"/>
  <c r="E338" i="5"/>
  <c r="G338" i="5"/>
  <c r="E339" i="5"/>
  <c r="G339" i="5"/>
  <c r="E340" i="5"/>
  <c r="G340" i="5"/>
  <c r="E341" i="5"/>
  <c r="G341" i="5"/>
  <c r="E342" i="5"/>
  <c r="G342" i="5"/>
  <c r="E343" i="5"/>
  <c r="G343" i="5"/>
  <c r="E344" i="5"/>
  <c r="G344" i="5"/>
  <c r="E345" i="5"/>
  <c r="G345" i="5"/>
  <c r="E346" i="5"/>
  <c r="G346" i="5"/>
  <c r="E347" i="5"/>
  <c r="G347" i="5"/>
  <c r="E348" i="5"/>
  <c r="G348" i="5"/>
  <c r="E349" i="5"/>
  <c r="G349" i="5"/>
  <c r="E350" i="5"/>
  <c r="G350" i="5"/>
  <c r="E351" i="5"/>
  <c r="G351" i="5"/>
  <c r="E352" i="5"/>
  <c r="G352" i="5"/>
  <c r="E353" i="5"/>
  <c r="G353" i="5"/>
  <c r="E354" i="5"/>
  <c r="G354" i="5"/>
  <c r="E355" i="5"/>
  <c r="G355" i="5"/>
  <c r="E356" i="5"/>
  <c r="G356" i="5"/>
  <c r="E357" i="5"/>
  <c r="G357" i="5"/>
  <c r="E358" i="5"/>
  <c r="G358" i="5"/>
  <c r="E359" i="5"/>
  <c r="G359" i="5"/>
  <c r="E360" i="5"/>
  <c r="G360" i="5"/>
  <c r="E361" i="5"/>
  <c r="G361" i="5"/>
  <c r="E362" i="5"/>
  <c r="G362" i="5"/>
  <c r="E363" i="5"/>
  <c r="G363" i="5"/>
  <c r="E364" i="5"/>
  <c r="G364" i="5"/>
  <c r="E365" i="5"/>
  <c r="G365" i="5"/>
  <c r="E366" i="5"/>
  <c r="G366" i="5"/>
  <c r="E367" i="5"/>
  <c r="G367" i="5"/>
  <c r="E368" i="5"/>
  <c r="G368" i="5"/>
  <c r="E369" i="5"/>
  <c r="G369" i="5"/>
  <c r="E370" i="5"/>
  <c r="G370" i="5"/>
  <c r="E371" i="5"/>
  <c r="G371" i="5"/>
  <c r="E372" i="5"/>
  <c r="G372" i="5"/>
  <c r="E373" i="5"/>
  <c r="G373" i="5"/>
  <c r="E374" i="5"/>
  <c r="G374" i="5"/>
  <c r="E375" i="5"/>
  <c r="G375" i="5"/>
  <c r="E376" i="5"/>
  <c r="G376" i="5"/>
  <c r="E377" i="5"/>
  <c r="G377" i="5"/>
  <c r="E378" i="5"/>
  <c r="G378" i="5"/>
  <c r="E379" i="5"/>
  <c r="G379" i="5"/>
  <c r="E380" i="5"/>
  <c r="G380" i="5"/>
  <c r="E381" i="5"/>
  <c r="G381" i="5"/>
  <c r="E382" i="5"/>
  <c r="G382" i="5"/>
  <c r="E383" i="5"/>
  <c r="G383" i="5"/>
  <c r="E384" i="5"/>
  <c r="G384" i="5"/>
  <c r="E385" i="5"/>
  <c r="G385" i="5"/>
  <c r="E386" i="5"/>
  <c r="G386" i="5"/>
  <c r="E387" i="5"/>
  <c r="G387" i="5"/>
  <c r="E388" i="5"/>
  <c r="G388" i="5"/>
  <c r="E389" i="5"/>
  <c r="G389" i="5"/>
  <c r="E390" i="5"/>
  <c r="G390" i="5"/>
  <c r="E391" i="5"/>
  <c r="G391" i="5"/>
  <c r="E392" i="5"/>
  <c r="G392" i="5"/>
  <c r="E393" i="5"/>
  <c r="G393" i="5"/>
  <c r="E394" i="5"/>
  <c r="G394" i="5"/>
  <c r="E395" i="5"/>
  <c r="G395" i="5"/>
  <c r="E396" i="5"/>
  <c r="G396" i="5"/>
  <c r="E397" i="5"/>
  <c r="G397" i="5"/>
  <c r="E398" i="5"/>
  <c r="G398" i="5"/>
  <c r="E399" i="5"/>
  <c r="G399" i="5"/>
  <c r="E400" i="5"/>
  <c r="G400" i="5"/>
  <c r="E401" i="5"/>
  <c r="G401" i="5"/>
  <c r="E402" i="5"/>
  <c r="G402" i="5"/>
  <c r="E403" i="5"/>
  <c r="G403" i="5"/>
  <c r="E404" i="5"/>
  <c r="G404" i="5"/>
  <c r="E405" i="5"/>
  <c r="G405" i="5"/>
  <c r="E406" i="5"/>
  <c r="G406" i="5"/>
  <c r="E407" i="5"/>
  <c r="G407" i="5"/>
  <c r="E408" i="5"/>
  <c r="G408" i="5"/>
  <c r="E409" i="5"/>
  <c r="G409" i="5"/>
  <c r="E410" i="5"/>
  <c r="G410" i="5"/>
  <c r="E411" i="5"/>
  <c r="G411" i="5"/>
  <c r="E412" i="5"/>
  <c r="G412" i="5"/>
  <c r="E413" i="5"/>
  <c r="G413" i="5"/>
  <c r="E414" i="5"/>
  <c r="G414" i="5"/>
  <c r="E415" i="5"/>
  <c r="G415" i="5"/>
  <c r="E416" i="5"/>
  <c r="G416" i="5"/>
  <c r="E417" i="5"/>
  <c r="G417" i="5"/>
  <c r="E418" i="5"/>
  <c r="G418" i="5"/>
  <c r="E419" i="5"/>
  <c r="G419" i="5"/>
  <c r="E420" i="5"/>
  <c r="G420" i="5"/>
  <c r="E421" i="5"/>
  <c r="G421" i="5"/>
  <c r="E422" i="5"/>
  <c r="G422" i="5"/>
  <c r="E423" i="5"/>
  <c r="G423" i="5"/>
  <c r="E424" i="5"/>
  <c r="G424" i="5"/>
  <c r="E425" i="5"/>
  <c r="G425" i="5"/>
  <c r="E426" i="5"/>
  <c r="G426" i="5"/>
  <c r="E427" i="5"/>
  <c r="G427" i="5"/>
  <c r="E428" i="5"/>
  <c r="G428" i="5"/>
  <c r="E429" i="5"/>
  <c r="G429" i="5"/>
  <c r="E430" i="5"/>
  <c r="G430" i="5"/>
  <c r="E431" i="5"/>
  <c r="G431" i="5"/>
  <c r="E432" i="5"/>
  <c r="G432" i="5"/>
  <c r="E433" i="5"/>
  <c r="G433" i="5"/>
  <c r="E434" i="5"/>
  <c r="G434" i="5"/>
  <c r="E435" i="5"/>
  <c r="G435" i="5"/>
  <c r="E436" i="5"/>
  <c r="G436" i="5"/>
  <c r="E437" i="5"/>
  <c r="G437" i="5"/>
  <c r="E438" i="5"/>
  <c r="G438" i="5"/>
  <c r="E439" i="5"/>
  <c r="G439" i="5"/>
  <c r="E440" i="5"/>
  <c r="G440" i="5"/>
  <c r="E441" i="5"/>
  <c r="G441" i="5"/>
  <c r="E442" i="5"/>
  <c r="G442" i="5"/>
  <c r="E443" i="5"/>
  <c r="G443" i="5"/>
  <c r="E444" i="5"/>
  <c r="G444" i="5"/>
  <c r="E445" i="5"/>
  <c r="G445" i="5"/>
  <c r="E446" i="5"/>
  <c r="G446" i="5"/>
  <c r="E447" i="5"/>
  <c r="G447" i="5"/>
  <c r="E448" i="5"/>
  <c r="G448" i="5"/>
  <c r="E449" i="5"/>
  <c r="G449" i="5"/>
  <c r="E450" i="5"/>
  <c r="G450" i="5"/>
  <c r="E451" i="5"/>
  <c r="G451" i="5"/>
  <c r="E452" i="5"/>
  <c r="G452" i="5"/>
  <c r="E453" i="5"/>
  <c r="G453" i="5"/>
  <c r="E454" i="5"/>
  <c r="G454" i="5"/>
  <c r="E455" i="5"/>
  <c r="G455" i="5"/>
  <c r="E456" i="5"/>
  <c r="G456" i="5"/>
  <c r="E457" i="5"/>
  <c r="G457" i="5"/>
  <c r="E458" i="5"/>
  <c r="G458" i="5"/>
  <c r="E459" i="5"/>
  <c r="G459" i="5"/>
  <c r="E460" i="5"/>
  <c r="G460" i="5"/>
  <c r="E461" i="5"/>
  <c r="G461" i="5"/>
  <c r="E462" i="5"/>
  <c r="G462" i="5"/>
  <c r="E463" i="5"/>
  <c r="G463" i="5"/>
  <c r="E464" i="5"/>
  <c r="G464" i="5"/>
  <c r="E465" i="5"/>
  <c r="G465" i="5"/>
  <c r="E466" i="5"/>
  <c r="G466" i="5"/>
  <c r="E467" i="5"/>
  <c r="G467" i="5"/>
  <c r="E468" i="5"/>
  <c r="G468" i="5"/>
  <c r="E469" i="5"/>
  <c r="G469" i="5"/>
  <c r="E470" i="5"/>
  <c r="G470" i="5"/>
  <c r="E471" i="5"/>
  <c r="G471" i="5"/>
  <c r="E472" i="5"/>
  <c r="G472" i="5"/>
  <c r="E473" i="5"/>
  <c r="G473" i="5"/>
  <c r="E474" i="5"/>
  <c r="G474" i="5"/>
  <c r="E475" i="5"/>
  <c r="G475" i="5"/>
  <c r="E476" i="5"/>
  <c r="G476" i="5"/>
  <c r="E477" i="5"/>
  <c r="G477" i="5"/>
  <c r="E478" i="5"/>
  <c r="G478" i="5"/>
  <c r="E479" i="5"/>
  <c r="G479" i="5"/>
  <c r="E480" i="5"/>
  <c r="G480" i="5"/>
  <c r="E481" i="5"/>
  <c r="G481" i="5"/>
  <c r="E482" i="5"/>
  <c r="G482" i="5"/>
  <c r="E483" i="5"/>
  <c r="G483" i="5"/>
  <c r="E484" i="5"/>
  <c r="G484" i="5"/>
  <c r="E485" i="5"/>
  <c r="G485" i="5"/>
  <c r="E486" i="5"/>
  <c r="G486" i="5"/>
  <c r="E487" i="5"/>
  <c r="G487" i="5"/>
  <c r="E488" i="5"/>
  <c r="G488" i="5"/>
  <c r="E489" i="5"/>
  <c r="G489" i="5"/>
  <c r="E490" i="5"/>
  <c r="G490" i="5"/>
  <c r="E491" i="5"/>
  <c r="G491" i="5"/>
  <c r="E492" i="5"/>
  <c r="G492" i="5"/>
  <c r="E493" i="5"/>
  <c r="G493" i="5"/>
  <c r="E494" i="5"/>
  <c r="G494" i="5"/>
  <c r="E495" i="5"/>
  <c r="G495" i="5"/>
  <c r="E496" i="5"/>
  <c r="G496" i="5"/>
  <c r="E497" i="5"/>
  <c r="G497" i="5"/>
  <c r="E498" i="5"/>
  <c r="G498" i="5"/>
  <c r="E499" i="5"/>
  <c r="G499" i="5"/>
  <c r="E500" i="5"/>
  <c r="G500" i="5"/>
  <c r="E501" i="5"/>
  <c r="G501" i="5"/>
  <c r="E502" i="5"/>
  <c r="G502" i="5"/>
  <c r="E503" i="5"/>
  <c r="G503" i="5"/>
  <c r="E504" i="5"/>
  <c r="G504" i="5"/>
  <c r="E505" i="5"/>
  <c r="G505" i="5"/>
  <c r="E506" i="5"/>
  <c r="G506" i="5"/>
  <c r="E507" i="5"/>
  <c r="G507" i="5"/>
  <c r="E508" i="5"/>
  <c r="G508" i="5"/>
  <c r="E509" i="5"/>
  <c r="G509" i="5"/>
  <c r="E510" i="5"/>
  <c r="G510" i="5"/>
  <c r="E511" i="5"/>
  <c r="G511" i="5"/>
  <c r="E512" i="5"/>
  <c r="G512" i="5"/>
  <c r="E513" i="5"/>
  <c r="G513" i="5"/>
  <c r="E514" i="5"/>
  <c r="G514" i="5"/>
  <c r="E515" i="5"/>
  <c r="G515" i="5"/>
  <c r="E516" i="5"/>
  <c r="G516" i="5"/>
  <c r="C16" i="4"/>
  <c r="E16" i="4"/>
  <c r="G16" i="4"/>
  <c r="Y16" i="4"/>
  <c r="C17" i="4"/>
  <c r="E17" i="4"/>
  <c r="G17" i="4"/>
  <c r="Y17" i="4"/>
  <c r="C18" i="4"/>
  <c r="E18" i="4"/>
  <c r="G18" i="4"/>
  <c r="Y18" i="4"/>
  <c r="C19" i="4"/>
  <c r="E19" i="4"/>
  <c r="G19" i="4"/>
  <c r="Y19" i="4"/>
  <c r="C20" i="4"/>
  <c r="E20" i="4"/>
  <c r="G20" i="4"/>
  <c r="Y20" i="4"/>
  <c r="C21" i="4"/>
  <c r="E21" i="4"/>
  <c r="G21" i="4"/>
  <c r="Y21" i="4"/>
  <c r="C22" i="4"/>
  <c r="E22" i="4"/>
  <c r="G22" i="4"/>
  <c r="Y22" i="4"/>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AC15" i="3"/>
  <c r="AC16" i="3"/>
  <c r="AC17" i="3"/>
  <c r="AC18" i="3"/>
  <c r="AC19" i="3"/>
  <c r="AC20" i="3"/>
  <c r="AC21" i="3"/>
  <c r="AC22" i="3"/>
  <c r="AC23"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G15" i="3"/>
  <c r="AG16" i="3"/>
  <c r="AG17" i="3"/>
  <c r="AG18" i="3"/>
  <c r="AG19" i="3"/>
  <c r="AG20" i="3"/>
  <c r="AG21" i="3"/>
  <c r="AG22" i="3"/>
  <c r="AG23" i="3"/>
  <c r="AG24" i="3"/>
  <c r="AG25" i="3"/>
  <c r="AG26" i="3"/>
  <c r="AG27" i="3"/>
  <c r="AG28" i="3"/>
  <c r="AG29" i="3"/>
  <c r="AG30" i="3"/>
  <c r="AG31" i="3"/>
  <c r="AG32" i="3"/>
  <c r="AG33" i="3"/>
  <c r="AG34" i="3"/>
  <c r="AG35" i="3"/>
  <c r="AG14" i="3"/>
  <c r="Y136" i="3"/>
  <c r="Y137" i="3"/>
  <c r="Y14" i="3"/>
  <c r="AC14" i="3"/>
  <c r="K21" i="3"/>
  <c r="K22" i="3" s="1"/>
  <c r="O18" i="3"/>
  <c r="O17" i="3"/>
  <c r="O16" i="3"/>
  <c r="O15" i="3"/>
  <c r="O14" i="3"/>
  <c r="O13" i="3"/>
  <c r="O12" i="3"/>
  <c r="O11" i="3"/>
  <c r="O10" i="3"/>
  <c r="O9" i="3"/>
  <c r="AC8" i="4"/>
  <c r="Y9" i="4"/>
  <c r="Y10" i="4"/>
  <c r="Y11" i="4"/>
  <c r="Y12" i="4"/>
  <c r="Y13" i="4"/>
  <c r="Y14" i="4"/>
  <c r="Y15" i="4"/>
  <c r="Y23" i="4"/>
  <c r="Y24" i="4"/>
  <c r="Y25" i="4"/>
  <c r="Y26" i="4"/>
  <c r="Y27" i="4"/>
  <c r="Y28" i="4"/>
  <c r="Y29" i="4"/>
  <c r="Y30" i="4"/>
  <c r="Y31" i="4"/>
  <c r="Y32" i="4"/>
  <c r="Y33" i="4"/>
  <c r="Y34" i="4"/>
  <c r="Y35" i="4"/>
  <c r="Y36" i="4"/>
  <c r="Y37" i="4"/>
  <c r="Y38" i="4"/>
  <c r="Y39" i="4"/>
  <c r="Y40" i="4"/>
  <c r="Y41" i="4"/>
  <c r="Y42" i="4"/>
  <c r="Y43" i="4"/>
  <c r="Y44" i="4"/>
  <c r="Y45" i="4"/>
  <c r="Y46" i="4"/>
  <c r="Y47" i="4"/>
  <c r="Y48" i="4"/>
  <c r="Y49" i="4"/>
  <c r="Y50" i="4"/>
  <c r="Y51" i="4"/>
  <c r="Y52" i="4"/>
  <c r="Y53" i="4"/>
  <c r="Y54" i="4"/>
  <c r="Y55" i="4"/>
  <c r="Y56" i="4"/>
  <c r="Y57" i="4"/>
  <c r="Y58" i="4"/>
  <c r="Y59" i="4"/>
  <c r="Y60" i="4"/>
  <c r="Y61" i="4"/>
  <c r="Y62" i="4"/>
  <c r="Y63" i="4"/>
  <c r="Y64" i="4"/>
  <c r="Y65" i="4"/>
  <c r="Y66" i="4"/>
  <c r="Y67" i="4"/>
  <c r="Y68" i="4"/>
  <c r="Y69" i="4"/>
  <c r="Y70" i="4"/>
  <c r="Y71" i="4"/>
  <c r="Y72" i="4"/>
  <c r="Y73" i="4"/>
  <c r="Y74" i="4"/>
  <c r="Y75" i="4"/>
  <c r="Y76" i="4"/>
  <c r="Y77" i="4"/>
  <c r="Y78" i="4"/>
  <c r="Y79" i="4"/>
  <c r="Y80" i="4"/>
  <c r="Y81" i="4"/>
  <c r="Y82" i="4"/>
  <c r="Y83" i="4"/>
  <c r="Y84" i="4"/>
  <c r="Y85" i="4"/>
  <c r="Y86" i="4"/>
  <c r="Y87" i="4"/>
  <c r="Y88" i="4"/>
  <c r="Y89" i="4"/>
  <c r="Y90" i="4"/>
  <c r="Y91" i="4"/>
  <c r="Y92" i="4"/>
  <c r="Y93" i="4"/>
  <c r="Y94" i="4"/>
  <c r="Y95" i="4"/>
  <c r="Y96" i="4"/>
  <c r="Y97" i="4"/>
  <c r="Y98" i="4"/>
  <c r="Y99" i="4"/>
  <c r="Y100" i="4"/>
  <c r="Y101" i="4"/>
  <c r="Y102" i="4"/>
  <c r="Y103" i="4"/>
  <c r="Y104" i="4"/>
  <c r="Y105" i="4"/>
  <c r="Y106" i="4"/>
  <c r="Y107" i="4"/>
  <c r="Y108" i="4"/>
  <c r="Y109" i="4"/>
  <c r="Y110" i="4"/>
  <c r="Y111" i="4"/>
  <c r="Y112" i="4"/>
  <c r="Y113" i="4"/>
  <c r="Y114" i="4"/>
  <c r="Y115" i="4"/>
  <c r="Y116" i="4"/>
  <c r="Y117" i="4"/>
  <c r="Y118" i="4"/>
  <c r="Y119" i="4"/>
  <c r="Y120" i="4"/>
  <c r="Y121" i="4"/>
  <c r="Y122" i="4"/>
  <c r="Y123" i="4"/>
  <c r="Y124" i="4"/>
  <c r="Y125" i="4"/>
  <c r="Y126" i="4"/>
  <c r="Y127" i="4"/>
  <c r="Y128" i="4"/>
  <c r="Y129" i="4"/>
  <c r="Y130" i="4"/>
  <c r="Y131" i="4"/>
  <c r="Y132" i="4"/>
  <c r="Y133" i="4"/>
  <c r="Y134" i="4"/>
  <c r="Y135" i="4"/>
  <c r="Y136" i="4"/>
  <c r="Y137" i="4"/>
  <c r="Y138" i="4"/>
  <c r="Y139" i="4"/>
  <c r="Y140" i="4"/>
  <c r="Y141" i="4"/>
  <c r="Y142" i="4"/>
  <c r="Y143" i="4"/>
  <c r="Y144" i="4"/>
  <c r="Y145" i="4"/>
  <c r="Y146" i="4"/>
  <c r="Y147" i="4"/>
  <c r="Y148" i="4"/>
  <c r="Y149" i="4"/>
  <c r="Y150" i="4"/>
  <c r="Y151" i="4"/>
  <c r="Y152" i="4"/>
  <c r="Y153" i="4"/>
  <c r="Y154" i="4"/>
  <c r="Y155" i="4"/>
  <c r="Y156" i="4"/>
  <c r="Y157" i="4"/>
  <c r="Y158" i="4"/>
  <c r="Y159" i="4"/>
  <c r="Y160" i="4"/>
  <c r="Y161" i="4"/>
  <c r="Y162" i="4"/>
  <c r="Y163" i="4"/>
  <c r="Y164" i="4"/>
  <c r="Y165" i="4"/>
  <c r="Y166" i="4"/>
  <c r="Y167" i="4"/>
  <c r="Y168" i="4"/>
  <c r="Y169" i="4"/>
  <c r="Y170" i="4"/>
  <c r="Y171" i="4"/>
  <c r="Y172" i="4"/>
  <c r="Y173" i="4"/>
  <c r="Y174" i="4"/>
  <c r="Y175" i="4"/>
  <c r="Y176" i="4"/>
  <c r="Y177" i="4"/>
  <c r="Y178" i="4"/>
  <c r="Y179" i="4"/>
  <c r="Y180" i="4"/>
  <c r="Y181" i="4"/>
  <c r="Y182" i="4"/>
  <c r="Y183" i="4"/>
  <c r="Y184" i="4"/>
  <c r="Y185" i="4"/>
  <c r="Y186" i="4"/>
  <c r="Y187" i="4"/>
  <c r="Y188" i="4"/>
  <c r="Y189" i="4"/>
  <c r="Y190" i="4"/>
  <c r="Y191" i="4"/>
  <c r="Y192" i="4"/>
  <c r="Y193" i="4"/>
  <c r="Y194" i="4"/>
  <c r="Y195" i="4"/>
  <c r="Y196" i="4"/>
  <c r="Y197" i="4"/>
  <c r="Y198" i="4"/>
  <c r="Y199" i="4"/>
  <c r="Y200" i="4"/>
  <c r="Y201" i="4"/>
  <c r="Y202" i="4"/>
  <c r="Y203" i="4"/>
  <c r="Y204" i="4"/>
  <c r="Y205" i="4"/>
  <c r="Y206" i="4"/>
  <c r="Y207" i="4"/>
  <c r="Y208" i="4"/>
  <c r="Y209" i="4"/>
  <c r="Y210" i="4"/>
  <c r="Y211" i="4"/>
  <c r="Y212" i="4"/>
  <c r="Y213" i="4"/>
  <c r="Y214" i="4"/>
  <c r="Y215" i="4"/>
  <c r="Y216" i="4"/>
  <c r="Y217" i="4"/>
  <c r="Y218" i="4"/>
  <c r="Y219" i="4"/>
  <c r="Y220" i="4"/>
  <c r="Y221" i="4"/>
  <c r="Y222" i="4"/>
  <c r="Y223" i="4"/>
  <c r="Y224" i="4"/>
  <c r="Y225" i="4"/>
  <c r="Y226" i="4"/>
  <c r="Y227" i="4"/>
  <c r="Y228" i="4"/>
  <c r="Y229" i="4"/>
  <c r="Y230" i="4"/>
  <c r="Y231" i="4"/>
  <c r="Y232" i="4"/>
  <c r="Y233" i="4"/>
  <c r="Y234" i="4"/>
  <c r="Y235" i="4"/>
  <c r="Y236" i="4"/>
  <c r="Y237" i="4"/>
  <c r="Y238" i="4"/>
  <c r="Y239" i="4"/>
  <c r="Y240" i="4"/>
  <c r="Y241" i="4"/>
  <c r="Y242" i="4"/>
  <c r="Y243" i="4"/>
  <c r="Y244" i="4"/>
  <c r="Y245" i="4"/>
  <c r="Y246" i="4"/>
  <c r="Y247" i="4"/>
  <c r="Y248" i="4"/>
  <c r="Y249" i="4"/>
  <c r="Y250" i="4"/>
  <c r="Y251" i="4"/>
  <c r="Y252" i="4"/>
  <c r="Y253" i="4"/>
  <c r="Y254" i="4"/>
  <c r="Y255" i="4"/>
  <c r="Y256" i="4"/>
  <c r="Y257" i="4"/>
  <c r="Y258" i="4"/>
  <c r="Y259" i="4"/>
  <c r="Y8" i="4"/>
  <c r="E516" i="4"/>
  <c r="E10" i="4"/>
  <c r="E11" i="4"/>
  <c r="E12" i="4"/>
  <c r="E13" i="4"/>
  <c r="E14" i="4"/>
  <c r="E15"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9" i="4"/>
  <c r="K8" i="4" s="1"/>
  <c r="K9" i="4" s="1"/>
  <c r="C10" i="4"/>
  <c r="C11" i="4"/>
  <c r="C12" i="4"/>
  <c r="C13" i="4"/>
  <c r="C14" i="4"/>
  <c r="C15" i="4"/>
  <c r="C23" i="4"/>
  <c r="C24" i="4"/>
  <c r="C25" i="4"/>
  <c r="C26" i="4"/>
  <c r="C27" i="4"/>
  <c r="C28" i="4"/>
  <c r="C29" i="4"/>
  <c r="C30" i="4"/>
  <c r="C31" i="4"/>
  <c r="C32" i="4"/>
  <c r="C33" i="4"/>
  <c r="C34"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G516" i="4"/>
  <c r="G515" i="4"/>
  <c r="G514" i="4"/>
  <c r="G513" i="4"/>
  <c r="G512" i="4"/>
  <c r="G511" i="4"/>
  <c r="G510" i="4"/>
  <c r="G509" i="4"/>
  <c r="G508" i="4"/>
  <c r="G507" i="4"/>
  <c r="G506" i="4"/>
  <c r="G505" i="4"/>
  <c r="G504" i="4"/>
  <c r="G503" i="4"/>
  <c r="G502" i="4"/>
  <c r="G501" i="4"/>
  <c r="G500" i="4"/>
  <c r="G499" i="4"/>
  <c r="G498" i="4"/>
  <c r="G497" i="4"/>
  <c r="G496" i="4"/>
  <c r="G495" i="4"/>
  <c r="G494" i="4"/>
  <c r="G493" i="4"/>
  <c r="G492" i="4"/>
  <c r="G491" i="4"/>
  <c r="G490" i="4"/>
  <c r="G489" i="4"/>
  <c r="G488" i="4"/>
  <c r="G487" i="4"/>
  <c r="G486" i="4"/>
  <c r="G485" i="4"/>
  <c r="G484" i="4"/>
  <c r="G483" i="4"/>
  <c r="G482" i="4"/>
  <c r="G481" i="4"/>
  <c r="G480" i="4"/>
  <c r="G479" i="4"/>
  <c r="G478" i="4"/>
  <c r="G477" i="4"/>
  <c r="G476" i="4"/>
  <c r="G475" i="4"/>
  <c r="G474" i="4"/>
  <c r="G473" i="4"/>
  <c r="G472" i="4"/>
  <c r="G471" i="4"/>
  <c r="G470" i="4"/>
  <c r="G469" i="4"/>
  <c r="G468" i="4"/>
  <c r="G467" i="4"/>
  <c r="G466" i="4"/>
  <c r="G465" i="4"/>
  <c r="G464" i="4"/>
  <c r="G463" i="4"/>
  <c r="G462" i="4"/>
  <c r="G461" i="4"/>
  <c r="G460" i="4"/>
  <c r="G459" i="4"/>
  <c r="G458" i="4"/>
  <c r="G457" i="4"/>
  <c r="G456" i="4"/>
  <c r="G455" i="4"/>
  <c r="G454" i="4"/>
  <c r="G453" i="4"/>
  <c r="G452" i="4"/>
  <c r="G451" i="4"/>
  <c r="G450" i="4"/>
  <c r="G449" i="4"/>
  <c r="G448" i="4"/>
  <c r="G447" i="4"/>
  <c r="G446" i="4"/>
  <c r="G445" i="4"/>
  <c r="G444" i="4"/>
  <c r="G443" i="4"/>
  <c r="G442" i="4"/>
  <c r="G441" i="4"/>
  <c r="G440" i="4"/>
  <c r="G439" i="4"/>
  <c r="G438" i="4"/>
  <c r="G437" i="4"/>
  <c r="G436" i="4"/>
  <c r="G435" i="4"/>
  <c r="G434" i="4"/>
  <c r="G433" i="4"/>
  <c r="G432" i="4"/>
  <c r="G431" i="4"/>
  <c r="G430" i="4"/>
  <c r="G429" i="4"/>
  <c r="G428" i="4"/>
  <c r="G427" i="4"/>
  <c r="G426" i="4"/>
  <c r="G425" i="4"/>
  <c r="G424" i="4"/>
  <c r="G423" i="4"/>
  <c r="G422" i="4"/>
  <c r="G421" i="4"/>
  <c r="G420" i="4"/>
  <c r="G419" i="4"/>
  <c r="G418" i="4"/>
  <c r="G417" i="4"/>
  <c r="G416" i="4"/>
  <c r="G415" i="4"/>
  <c r="G414" i="4"/>
  <c r="G413" i="4"/>
  <c r="G412" i="4"/>
  <c r="G411" i="4"/>
  <c r="G410" i="4"/>
  <c r="G409" i="4"/>
  <c r="G408" i="4"/>
  <c r="G407" i="4"/>
  <c r="G406" i="4"/>
  <c r="G405" i="4"/>
  <c r="G404" i="4"/>
  <c r="G403" i="4"/>
  <c r="G402" i="4"/>
  <c r="G401" i="4"/>
  <c r="G400" i="4"/>
  <c r="G399" i="4"/>
  <c r="G398" i="4"/>
  <c r="G397" i="4"/>
  <c r="G396" i="4"/>
  <c r="G395" i="4"/>
  <c r="G394" i="4"/>
  <c r="G393" i="4"/>
  <c r="G392" i="4"/>
  <c r="G391" i="4"/>
  <c r="G390" i="4"/>
  <c r="G389" i="4"/>
  <c r="G388" i="4"/>
  <c r="G387" i="4"/>
  <c r="G386" i="4"/>
  <c r="G385" i="4"/>
  <c r="G384" i="4"/>
  <c r="G383" i="4"/>
  <c r="G382" i="4"/>
  <c r="G381" i="4"/>
  <c r="G380" i="4"/>
  <c r="G379" i="4"/>
  <c r="G378" i="4"/>
  <c r="G377" i="4"/>
  <c r="G376" i="4"/>
  <c r="G375" i="4"/>
  <c r="G374" i="4"/>
  <c r="G373" i="4"/>
  <c r="G372" i="4"/>
  <c r="G371" i="4"/>
  <c r="G370" i="4"/>
  <c r="G369" i="4"/>
  <c r="G368" i="4"/>
  <c r="G367" i="4"/>
  <c r="G366" i="4"/>
  <c r="G365" i="4"/>
  <c r="G364" i="4"/>
  <c r="G363" i="4"/>
  <c r="G362" i="4"/>
  <c r="G361" i="4"/>
  <c r="G360" i="4"/>
  <c r="G359" i="4"/>
  <c r="G358" i="4"/>
  <c r="G357" i="4"/>
  <c r="G356" i="4"/>
  <c r="G355" i="4"/>
  <c r="G354" i="4"/>
  <c r="G353" i="4"/>
  <c r="G352" i="4"/>
  <c r="G351" i="4"/>
  <c r="G350" i="4"/>
  <c r="G349" i="4"/>
  <c r="G348" i="4"/>
  <c r="G347" i="4"/>
  <c r="G346" i="4"/>
  <c r="G345" i="4"/>
  <c r="G344" i="4"/>
  <c r="G343" i="4"/>
  <c r="G342" i="4"/>
  <c r="G341" i="4"/>
  <c r="G340" i="4"/>
  <c r="G339" i="4"/>
  <c r="G338" i="4"/>
  <c r="G337" i="4"/>
  <c r="G336" i="4"/>
  <c r="G335" i="4"/>
  <c r="G334" i="4"/>
  <c r="G333" i="4"/>
  <c r="G332" i="4"/>
  <c r="G331" i="4"/>
  <c r="G330" i="4"/>
  <c r="G329" i="4"/>
  <c r="G328" i="4"/>
  <c r="G327" i="4"/>
  <c r="G326" i="4"/>
  <c r="G325" i="4"/>
  <c r="G324" i="4"/>
  <c r="G323" i="4"/>
  <c r="G322" i="4"/>
  <c r="G321" i="4"/>
  <c r="G320" i="4"/>
  <c r="G319" i="4"/>
  <c r="G318" i="4"/>
  <c r="G317" i="4"/>
  <c r="G316" i="4"/>
  <c r="G315" i="4"/>
  <c r="G314" i="4"/>
  <c r="G313" i="4"/>
  <c r="G312" i="4"/>
  <c r="G311" i="4"/>
  <c r="G310" i="4"/>
  <c r="G309" i="4"/>
  <c r="G308" i="4"/>
  <c r="G307" i="4"/>
  <c r="G306" i="4"/>
  <c r="G305" i="4"/>
  <c r="G304" i="4"/>
  <c r="G303" i="4"/>
  <c r="G302" i="4"/>
  <c r="G301" i="4"/>
  <c r="G300" i="4"/>
  <c r="G299" i="4"/>
  <c r="G298" i="4"/>
  <c r="G297" i="4"/>
  <c r="G296" i="4"/>
  <c r="G295" i="4"/>
  <c r="G294" i="4"/>
  <c r="G293" i="4"/>
  <c r="G292" i="4"/>
  <c r="G291" i="4"/>
  <c r="G290" i="4"/>
  <c r="G289" i="4"/>
  <c r="G288" i="4"/>
  <c r="G287" i="4"/>
  <c r="G286" i="4"/>
  <c r="G285" i="4"/>
  <c r="G284" i="4"/>
  <c r="G283" i="4"/>
  <c r="G282" i="4"/>
  <c r="G281" i="4"/>
  <c r="G280" i="4"/>
  <c r="G279" i="4"/>
  <c r="G278" i="4"/>
  <c r="G277" i="4"/>
  <c r="G276" i="4"/>
  <c r="G275" i="4"/>
  <c r="G274" i="4"/>
  <c r="G273" i="4"/>
  <c r="G272" i="4"/>
  <c r="G271" i="4"/>
  <c r="G270" i="4"/>
  <c r="G269" i="4"/>
  <c r="G268" i="4"/>
  <c r="G267" i="4"/>
  <c r="G266" i="4"/>
  <c r="G265" i="4"/>
  <c r="G264" i="4"/>
  <c r="G263" i="4"/>
  <c r="G262" i="4"/>
  <c r="G261" i="4"/>
  <c r="G260" i="4"/>
  <c r="G259" i="4"/>
  <c r="G258" i="4"/>
  <c r="G257" i="4"/>
  <c r="G256" i="4"/>
  <c r="G255" i="4"/>
  <c r="G254" i="4"/>
  <c r="G253" i="4"/>
  <c r="G252" i="4"/>
  <c r="G251" i="4"/>
  <c r="G250" i="4"/>
  <c r="G249" i="4"/>
  <c r="G248" i="4"/>
  <c r="G247" i="4"/>
  <c r="G246" i="4"/>
  <c r="G245" i="4"/>
  <c r="G244" i="4"/>
  <c r="G243" i="4"/>
  <c r="G242" i="4"/>
  <c r="G241" i="4"/>
  <c r="G240" i="4"/>
  <c r="G239" i="4"/>
  <c r="G238" i="4"/>
  <c r="G237" i="4"/>
  <c r="G236" i="4"/>
  <c r="G235" i="4"/>
  <c r="G234" i="4"/>
  <c r="G233" i="4"/>
  <c r="G232" i="4"/>
  <c r="G231" i="4"/>
  <c r="G230" i="4"/>
  <c r="G229" i="4"/>
  <c r="G228" i="4"/>
  <c r="G227" i="4"/>
  <c r="G226" i="4"/>
  <c r="G225" i="4"/>
  <c r="G224" i="4"/>
  <c r="G223" i="4"/>
  <c r="G222" i="4"/>
  <c r="G221" i="4"/>
  <c r="G220" i="4"/>
  <c r="G219" i="4"/>
  <c r="G218" i="4"/>
  <c r="G217" i="4"/>
  <c r="G216" i="4"/>
  <c r="G215" i="4"/>
  <c r="G214" i="4"/>
  <c r="G213" i="4"/>
  <c r="G212" i="4"/>
  <c r="G211" i="4"/>
  <c r="G210" i="4"/>
  <c r="G209" i="4"/>
  <c r="G208" i="4"/>
  <c r="G207" i="4"/>
  <c r="G206" i="4"/>
  <c r="G205" i="4"/>
  <c r="G204" i="4"/>
  <c r="G203" i="4"/>
  <c r="G202" i="4"/>
  <c r="G201" i="4"/>
  <c r="G200" i="4"/>
  <c r="G199" i="4"/>
  <c r="G198" i="4"/>
  <c r="G197" i="4"/>
  <c r="G196" i="4"/>
  <c r="G195" i="4"/>
  <c r="G194" i="4"/>
  <c r="G193" i="4"/>
  <c r="G192" i="4"/>
  <c r="G191" i="4"/>
  <c r="G190" i="4"/>
  <c r="G189" i="4"/>
  <c r="G188" i="4"/>
  <c r="G187" i="4"/>
  <c r="G186" i="4"/>
  <c r="G185" i="4"/>
  <c r="G184" i="4"/>
  <c r="G183" i="4"/>
  <c r="G182" i="4"/>
  <c r="G181" i="4"/>
  <c r="G180" i="4"/>
  <c r="G179" i="4"/>
  <c r="G178" i="4"/>
  <c r="G177" i="4"/>
  <c r="G176" i="4"/>
  <c r="G175" i="4"/>
  <c r="G174" i="4"/>
  <c r="G173" i="4"/>
  <c r="G172" i="4"/>
  <c r="G171" i="4"/>
  <c r="G170" i="4"/>
  <c r="G169" i="4"/>
  <c r="G168" i="4"/>
  <c r="G167" i="4"/>
  <c r="G166" i="4"/>
  <c r="G165" i="4"/>
  <c r="G164" i="4"/>
  <c r="G163" i="4"/>
  <c r="G162" i="4"/>
  <c r="G161" i="4"/>
  <c r="G160" i="4"/>
  <c r="G159" i="4"/>
  <c r="G158" i="4"/>
  <c r="G157" i="4"/>
  <c r="G156" i="4"/>
  <c r="G155" i="4"/>
  <c r="G154" i="4"/>
  <c r="G153" i="4"/>
  <c r="G152" i="4"/>
  <c r="G151" i="4"/>
  <c r="G150" i="4"/>
  <c r="G149" i="4"/>
  <c r="G148" i="4"/>
  <c r="G147" i="4"/>
  <c r="G146" i="4"/>
  <c r="G145" i="4"/>
  <c r="G144" i="4"/>
  <c r="G143" i="4"/>
  <c r="G142" i="4"/>
  <c r="G141" i="4"/>
  <c r="G140" i="4"/>
  <c r="G139" i="4"/>
  <c r="G138" i="4"/>
  <c r="G137" i="4"/>
  <c r="G136" i="4"/>
  <c r="G135" i="4"/>
  <c r="G134" i="4"/>
  <c r="G133" i="4"/>
  <c r="G132" i="4"/>
  <c r="G131" i="4"/>
  <c r="G130" i="4"/>
  <c r="G129" i="4"/>
  <c r="G128" i="4"/>
  <c r="G127" i="4"/>
  <c r="G126" i="4"/>
  <c r="G125" i="4"/>
  <c r="G124" i="4"/>
  <c r="G123" i="4"/>
  <c r="G122" i="4"/>
  <c r="G121" i="4"/>
  <c r="G120" i="4"/>
  <c r="G119" i="4"/>
  <c r="G118" i="4"/>
  <c r="G117" i="4"/>
  <c r="G116" i="4"/>
  <c r="G115" i="4"/>
  <c r="G114" i="4"/>
  <c r="G113" i="4"/>
  <c r="G112" i="4"/>
  <c r="G111" i="4"/>
  <c r="G110" i="4"/>
  <c r="G109" i="4"/>
  <c r="G108"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15" i="4"/>
  <c r="G14" i="4"/>
  <c r="G13" i="4"/>
  <c r="G12" i="4"/>
  <c r="G11" i="4"/>
  <c r="G10" i="4"/>
  <c r="G9" i="4"/>
  <c r="G8" i="4"/>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9" i="3"/>
  <c r="E8" i="3"/>
  <c r="G8"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N18" i="3" s="1"/>
  <c r="C258" i="3"/>
  <c r="N17" i="3" s="1"/>
  <c r="C259" i="3"/>
  <c r="N16" i="3" s="1"/>
  <c r="C260" i="3"/>
  <c r="N15" i="3" s="1"/>
  <c r="C261" i="3"/>
  <c r="N14" i="3" s="1"/>
  <c r="C262" i="3"/>
  <c r="N13" i="3" s="1"/>
  <c r="C263" i="3"/>
  <c r="N12" i="3" s="1"/>
  <c r="C264" i="3"/>
  <c r="N11" i="3" s="1"/>
  <c r="C265" i="3"/>
  <c r="N10" i="3" s="1"/>
  <c r="C266" i="3"/>
  <c r="N9" i="3" s="1"/>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9" i="3"/>
  <c r="J21" i="3" s="1"/>
  <c r="J22" i="3" s="1"/>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9" i="2"/>
  <c r="J8" i="2" s="1"/>
  <c r="J9" i="2" s="1"/>
  <c r="J11" i="3"/>
  <c r="J10" i="3"/>
  <c r="AW15" i="8" l="1"/>
  <c r="AW13" i="8"/>
  <c r="AP23" i="8"/>
  <c r="AQ12" i="8"/>
  <c r="P9" i="3"/>
  <c r="Q9" i="3"/>
  <c r="K30" i="3"/>
  <c r="K31" i="3"/>
  <c r="K32" i="3"/>
  <c r="K33" i="3"/>
  <c r="J9" i="5"/>
  <c r="J10" i="5" s="1"/>
  <c r="Y260" i="5"/>
  <c r="Y259" i="5"/>
  <c r="Y258" i="5"/>
  <c r="Y257" i="5"/>
  <c r="Y256" i="5"/>
  <c r="Y255" i="5"/>
  <c r="Y254" i="5"/>
  <c r="Y253" i="5"/>
  <c r="Y252" i="5"/>
  <c r="Y251" i="5"/>
  <c r="Y250" i="5"/>
  <c r="Y249" i="5"/>
  <c r="Y248" i="5"/>
  <c r="Y247" i="5"/>
  <c r="Y246" i="5"/>
  <c r="Y245" i="5"/>
  <c r="Y244" i="5"/>
  <c r="Y243" i="5"/>
  <c r="Y242" i="5"/>
  <c r="Y241" i="5"/>
  <c r="Y240" i="5"/>
  <c r="Y239" i="5"/>
  <c r="Y238" i="5"/>
  <c r="Y237" i="5"/>
  <c r="Y236" i="5"/>
  <c r="Y235" i="5"/>
  <c r="Y234" i="5"/>
  <c r="Y233" i="5"/>
  <c r="Y232" i="5"/>
  <c r="Y231" i="5"/>
  <c r="Y230" i="5"/>
  <c r="Y229" i="5"/>
  <c r="Y228" i="5"/>
  <c r="Y227" i="5"/>
  <c r="Y226" i="5"/>
  <c r="Y225" i="5"/>
  <c r="Y224" i="5"/>
  <c r="Y223" i="5"/>
  <c r="Y222" i="5"/>
  <c r="Y221" i="5"/>
  <c r="Y220" i="5"/>
  <c r="Y219" i="5"/>
  <c r="Y218" i="5"/>
  <c r="Y217" i="5"/>
  <c r="Y216" i="5"/>
  <c r="Y215" i="5"/>
  <c r="Y214" i="5"/>
  <c r="Y213" i="5"/>
  <c r="Y212" i="5"/>
  <c r="Y211" i="5"/>
  <c r="Y210" i="5"/>
  <c r="Y209" i="5"/>
  <c r="Y208" i="5"/>
  <c r="Y207" i="5"/>
  <c r="Y206" i="5"/>
  <c r="Y205" i="5"/>
  <c r="Y204" i="5"/>
  <c r="Y203" i="5"/>
  <c r="Y202" i="5"/>
  <c r="Y201" i="5"/>
  <c r="Y200" i="5"/>
  <c r="Y199" i="5"/>
  <c r="Y198" i="5"/>
  <c r="Y197" i="5"/>
  <c r="Y196" i="5"/>
  <c r="Y195" i="5"/>
  <c r="Y194" i="5"/>
  <c r="Y193" i="5"/>
  <c r="Y192" i="5"/>
  <c r="Y191" i="5"/>
  <c r="Y190" i="5"/>
  <c r="Y189" i="5"/>
  <c r="Y188" i="5"/>
  <c r="Y187" i="5"/>
  <c r="Y186" i="5"/>
  <c r="Y185" i="5"/>
  <c r="Y184" i="5"/>
  <c r="Y183" i="5"/>
  <c r="Y182" i="5"/>
  <c r="Y181" i="5"/>
  <c r="Y180" i="5"/>
  <c r="Y179" i="5"/>
  <c r="Y178" i="5"/>
  <c r="Y177" i="5"/>
  <c r="Y176" i="5"/>
  <c r="Y175" i="5"/>
  <c r="Y174" i="5"/>
  <c r="Y173" i="5"/>
  <c r="Y172" i="5"/>
  <c r="Y171" i="5"/>
  <c r="Y170" i="5"/>
  <c r="Y169" i="5"/>
  <c r="Y168" i="5"/>
  <c r="Y167" i="5"/>
  <c r="Y166" i="5"/>
  <c r="Y165" i="5"/>
  <c r="Y164" i="5"/>
  <c r="Y163" i="5"/>
  <c r="Y162" i="5"/>
  <c r="Y161" i="5"/>
  <c r="Y160" i="5"/>
  <c r="Y159" i="5"/>
  <c r="Y158" i="5"/>
  <c r="Y157" i="5"/>
  <c r="Y156" i="5"/>
  <c r="Y155" i="5"/>
  <c r="Y154" i="5"/>
  <c r="Y153" i="5"/>
  <c r="Y152" i="5"/>
  <c r="Y151" i="5"/>
  <c r="Y150" i="5"/>
  <c r="Y149" i="5"/>
  <c r="Y148" i="5"/>
  <c r="Y147" i="5"/>
  <c r="Y146" i="5"/>
  <c r="Y145" i="5"/>
  <c r="Y144" i="5"/>
  <c r="Y143" i="5"/>
  <c r="Y142" i="5"/>
  <c r="Y141" i="5"/>
  <c r="Y140" i="5"/>
  <c r="Y139" i="5"/>
  <c r="Y138" i="5"/>
  <c r="Y137" i="5"/>
  <c r="Y136" i="5"/>
  <c r="Y135" i="5"/>
  <c r="Y134" i="5"/>
  <c r="Y133" i="5"/>
  <c r="Y132" i="5"/>
  <c r="Y131" i="5"/>
  <c r="Y130" i="5"/>
  <c r="Y129" i="5"/>
  <c r="Y128" i="5"/>
  <c r="Y127" i="5"/>
  <c r="Y126" i="5"/>
  <c r="Y125" i="5"/>
  <c r="Y124" i="5"/>
  <c r="Y123" i="5"/>
  <c r="Y122" i="5"/>
  <c r="Y121" i="5"/>
  <c r="Y120" i="5"/>
  <c r="Y119" i="5"/>
  <c r="Y118" i="5"/>
  <c r="Y117" i="5"/>
  <c r="Y116" i="5"/>
  <c r="Y115" i="5"/>
  <c r="Y114" i="5"/>
  <c r="Y113" i="5"/>
  <c r="Y112" i="5"/>
  <c r="Y111" i="5"/>
  <c r="Y110" i="5"/>
  <c r="Y109" i="5"/>
  <c r="Y108" i="5"/>
  <c r="Y107" i="5"/>
  <c r="Y106" i="5"/>
  <c r="Y105" i="5"/>
  <c r="Y104" i="5"/>
  <c r="Y103" i="5"/>
  <c r="Y102" i="5"/>
  <c r="Y101" i="5"/>
  <c r="Y100" i="5"/>
  <c r="Y99" i="5"/>
  <c r="Y98" i="5"/>
  <c r="Y97" i="5"/>
  <c r="Y96" i="5"/>
  <c r="Y95" i="5"/>
  <c r="Y94" i="5"/>
  <c r="Y93" i="5"/>
  <c r="Y92" i="5"/>
  <c r="Y91" i="5"/>
  <c r="Y90" i="5"/>
  <c r="Y89" i="5"/>
  <c r="Y88" i="5"/>
  <c r="Y87" i="5"/>
  <c r="Y86" i="5"/>
  <c r="Y85" i="5"/>
  <c r="Y84" i="5"/>
  <c r="Y83" i="5"/>
  <c r="Y82" i="5"/>
  <c r="Y81" i="5"/>
  <c r="Y80" i="5"/>
  <c r="Y79" i="5"/>
  <c r="Y78" i="5"/>
  <c r="Y77" i="5"/>
  <c r="Y76" i="5"/>
  <c r="Y75" i="5"/>
  <c r="Y74" i="5"/>
  <c r="Y73" i="5"/>
  <c r="Y72" i="5"/>
  <c r="Y71" i="5"/>
  <c r="Y70" i="5"/>
  <c r="Y69" i="5"/>
  <c r="Y68" i="5"/>
  <c r="Y67" i="5"/>
  <c r="Y66" i="5"/>
  <c r="Y65" i="5"/>
  <c r="Y64" i="5"/>
  <c r="Y63" i="5"/>
  <c r="Y62" i="5"/>
  <c r="Y61" i="5"/>
  <c r="Y60" i="5"/>
  <c r="Y59" i="5"/>
  <c r="Y58" i="5"/>
  <c r="Y57" i="5"/>
  <c r="Y56" i="5"/>
  <c r="Y55" i="5"/>
  <c r="Y54" i="5"/>
  <c r="Y53" i="5"/>
  <c r="Y52" i="5"/>
  <c r="Y51" i="5"/>
  <c r="Y50" i="5"/>
  <c r="Y49" i="5"/>
  <c r="Y48" i="5"/>
  <c r="Y47" i="5"/>
  <c r="Y46" i="5"/>
  <c r="Y45" i="5"/>
  <c r="Y44" i="5"/>
  <c r="Y43" i="5"/>
  <c r="Y42" i="5"/>
  <c r="Y41" i="5"/>
  <c r="Y40" i="5"/>
  <c r="Y39" i="5"/>
  <c r="Y38" i="5"/>
  <c r="Y37" i="5"/>
  <c r="Y36" i="5"/>
  <c r="Y35" i="5"/>
  <c r="Y34" i="5"/>
  <c r="Y33" i="5"/>
  <c r="Y32" i="5"/>
  <c r="Y31" i="5"/>
  <c r="Y30" i="5"/>
  <c r="Y29" i="5"/>
  <c r="Y28" i="5"/>
  <c r="Y27" i="5"/>
  <c r="Y26" i="5"/>
  <c r="Y25" i="5"/>
  <c r="Y24" i="5"/>
  <c r="Y23" i="5"/>
  <c r="Y22" i="5"/>
  <c r="Y21" i="5"/>
  <c r="Y20" i="5"/>
  <c r="Y19" i="5"/>
  <c r="Y18" i="5"/>
  <c r="Y17" i="5"/>
  <c r="Y16" i="5"/>
  <c r="Y15" i="5"/>
  <c r="Y14" i="5"/>
  <c r="Y13" i="5"/>
  <c r="Y12" i="5"/>
  <c r="Y11" i="5"/>
  <c r="Y10" i="5"/>
  <c r="AC130" i="5"/>
  <c r="AC129" i="5"/>
  <c r="AC128" i="5"/>
  <c r="AC127" i="5"/>
  <c r="AC126" i="5"/>
  <c r="AC125" i="5"/>
  <c r="AC124" i="5"/>
  <c r="AC123" i="5"/>
  <c r="AC122" i="5"/>
  <c r="AC121" i="5"/>
  <c r="AC120" i="5"/>
  <c r="AC119" i="5"/>
  <c r="AC118" i="5"/>
  <c r="AC117" i="5"/>
  <c r="AC116" i="5"/>
  <c r="AC115" i="5"/>
  <c r="AC114" i="5"/>
  <c r="AC113" i="5"/>
  <c r="AC112" i="5"/>
  <c r="AC111" i="5"/>
  <c r="AC110" i="5"/>
  <c r="AC109" i="5"/>
  <c r="AC108" i="5"/>
  <c r="AC107" i="5"/>
  <c r="AC106" i="5"/>
  <c r="AC105" i="5"/>
  <c r="AC104" i="5"/>
  <c r="AC103" i="5"/>
  <c r="AC102" i="5"/>
  <c r="AC101" i="5"/>
  <c r="AC100" i="5"/>
  <c r="AC99" i="5"/>
  <c r="AC98" i="5"/>
  <c r="AC97" i="5"/>
  <c r="AC96" i="5"/>
  <c r="AC95" i="5"/>
  <c r="AC94" i="5"/>
  <c r="AC93" i="5"/>
  <c r="AC92" i="5"/>
  <c r="AC91" i="5"/>
  <c r="AC90" i="5"/>
  <c r="AC89" i="5"/>
  <c r="AC88" i="5"/>
  <c r="AC87" i="5"/>
  <c r="AC86" i="5"/>
  <c r="AC85" i="5"/>
  <c r="AC84" i="5"/>
  <c r="AC83" i="5"/>
  <c r="AC82" i="5"/>
  <c r="AC81" i="5"/>
  <c r="AC80" i="5"/>
  <c r="AC79" i="5"/>
  <c r="AC78" i="5"/>
  <c r="AC77" i="5"/>
  <c r="AC76" i="5"/>
  <c r="AC75" i="5"/>
  <c r="AC74" i="5"/>
  <c r="AC73" i="5"/>
  <c r="AC72" i="5"/>
  <c r="AC71" i="5"/>
  <c r="AC70" i="5"/>
  <c r="AC69" i="5"/>
  <c r="AC68" i="5"/>
  <c r="AC67" i="5"/>
  <c r="AC66" i="5"/>
  <c r="AC65" i="5"/>
  <c r="AC64" i="5"/>
  <c r="AC63" i="5"/>
  <c r="AC62" i="5"/>
  <c r="AC61" i="5"/>
  <c r="AC60" i="5"/>
  <c r="AC59" i="5"/>
  <c r="AC58" i="5"/>
  <c r="AC57" i="5"/>
  <c r="AC56" i="5"/>
  <c r="AC55" i="5"/>
  <c r="AC54" i="5"/>
  <c r="AC53" i="5"/>
  <c r="AC52" i="5"/>
  <c r="AC51" i="5"/>
  <c r="AC50" i="5"/>
  <c r="AC49" i="5"/>
  <c r="AC48" i="5"/>
  <c r="AC47" i="5"/>
  <c r="AC46" i="5"/>
  <c r="AC45" i="5"/>
  <c r="AC44" i="5"/>
  <c r="AC43" i="5"/>
  <c r="AC42" i="5"/>
  <c r="AC41" i="5"/>
  <c r="AC40" i="5"/>
  <c r="AC39" i="5"/>
  <c r="AC38" i="5"/>
  <c r="AC37" i="5"/>
  <c r="AC36" i="5"/>
  <c r="AC35" i="5"/>
  <c r="AC34" i="5"/>
  <c r="AC33" i="5"/>
  <c r="AC32" i="5"/>
  <c r="AC31" i="5"/>
  <c r="AC30" i="5"/>
  <c r="AC29" i="5"/>
  <c r="AC28" i="5"/>
  <c r="AC27" i="5"/>
  <c r="AC26" i="5"/>
  <c r="AC25" i="5"/>
  <c r="AC24" i="5"/>
  <c r="AC23" i="5"/>
  <c r="AC22" i="5"/>
  <c r="AC21" i="5"/>
  <c r="AC20" i="5"/>
  <c r="AC19" i="5"/>
  <c r="AC18" i="5"/>
  <c r="AC17" i="5"/>
  <c r="AC16" i="5"/>
  <c r="AC15" i="5"/>
  <c r="AC14" i="5"/>
  <c r="AC13" i="5"/>
  <c r="AC12" i="5"/>
  <c r="AC10" i="5"/>
  <c r="AG10" i="5"/>
  <c r="AK9" i="5"/>
  <c r="J21" i="5"/>
  <c r="K29" i="5"/>
  <c r="K30" i="5"/>
  <c r="K31" i="5"/>
  <c r="K32" i="5"/>
  <c r="J20" i="6"/>
  <c r="K9" i="5"/>
  <c r="K10" i="5"/>
  <c r="J13" i="5"/>
  <c r="J14" i="5"/>
  <c r="Y8" i="2"/>
  <c r="K32" i="2"/>
  <c r="L32" i="2" s="1"/>
  <c r="AC8" i="2"/>
  <c r="K31" i="2"/>
  <c r="L31" i="2" s="1"/>
  <c r="AG8" i="2"/>
  <c r="K30" i="2"/>
  <c r="L30" i="2" s="1"/>
  <c r="AK8" i="2"/>
  <c r="K29" i="2"/>
  <c r="L29" i="2" s="1"/>
  <c r="AK30" i="2"/>
  <c r="J13" i="8"/>
  <c r="J12" i="8"/>
  <c r="J8" i="8"/>
  <c r="J9" i="8" s="1"/>
  <c r="AK9" i="4"/>
  <c r="AK10" i="4"/>
  <c r="AK15" i="4"/>
  <c r="AK16" i="4"/>
  <c r="AK20" i="4"/>
  <c r="AK23" i="4"/>
  <c r="AK24" i="4"/>
  <c r="AK27" i="4"/>
  <c r="AG9" i="4"/>
  <c r="AG15" i="4"/>
  <c r="AG20" i="4"/>
  <c r="AG22" i="4"/>
  <c r="AG28" i="4"/>
  <c r="AG31" i="4"/>
  <c r="AG32" i="4"/>
  <c r="AG33" i="4"/>
  <c r="AG36" i="4"/>
  <c r="AG37" i="4"/>
  <c r="AG40" i="4"/>
  <c r="AG41" i="4"/>
  <c r="AG43" i="4"/>
  <c r="AG44" i="4"/>
  <c r="AG48" i="4"/>
  <c r="AG49" i="4"/>
  <c r="AG51" i="4"/>
  <c r="AG52" i="4"/>
  <c r="AG55" i="4"/>
  <c r="AG56" i="4"/>
  <c r="AG58" i="4"/>
  <c r="AG60" i="4"/>
  <c r="AG61" i="4"/>
  <c r="AG63" i="4"/>
  <c r="AG64" i="4"/>
  <c r="AG65" i="4"/>
  <c r="AG67" i="4"/>
  <c r="AG70" i="4"/>
  <c r="AC10" i="4"/>
  <c r="AC14" i="4"/>
  <c r="AC15" i="4"/>
  <c r="AC21" i="4"/>
  <c r="AC23" i="4"/>
  <c r="AC25" i="4"/>
  <c r="AC26" i="4"/>
  <c r="AC30" i="4"/>
  <c r="AC32" i="4"/>
  <c r="AC36" i="4"/>
  <c r="AC40" i="4"/>
  <c r="AC41" i="4"/>
  <c r="AC43" i="4"/>
  <c r="AC46" i="4"/>
  <c r="AC48" i="4"/>
  <c r="AC49" i="4"/>
  <c r="AC51" i="4"/>
  <c r="AC52" i="4"/>
  <c r="AC54" i="4"/>
  <c r="AC55" i="4"/>
  <c r="AC57" i="4"/>
  <c r="AC60" i="4"/>
  <c r="AC63" i="4"/>
  <c r="AC66" i="4"/>
  <c r="AC68" i="4"/>
  <c r="AC69" i="4"/>
  <c r="AC71" i="4"/>
  <c r="AC73" i="4"/>
  <c r="AC75" i="4"/>
  <c r="AC76" i="4"/>
  <c r="AC80" i="4"/>
  <c r="AC81" i="4"/>
  <c r="AC85" i="4"/>
  <c r="AC86" i="4"/>
  <c r="AC88" i="4"/>
  <c r="AC89" i="4"/>
  <c r="AC91" i="4"/>
  <c r="AC92" i="4"/>
  <c r="AC94" i="4"/>
  <c r="AC96" i="4"/>
  <c r="AC97" i="4"/>
  <c r="AC100" i="4"/>
  <c r="AC103" i="4"/>
  <c r="AC104" i="4"/>
  <c r="AC107" i="4"/>
  <c r="AC108" i="4"/>
  <c r="AC110" i="4"/>
  <c r="AC111" i="4"/>
  <c r="AC115" i="4"/>
  <c r="AC112" i="4"/>
  <c r="AC119" i="4"/>
  <c r="AC120" i="4"/>
  <c r="AC123" i="4"/>
  <c r="AC124" i="4"/>
  <c r="AC126" i="4"/>
  <c r="AC127" i="4"/>
  <c r="AC129" i="4"/>
  <c r="AK13" i="4"/>
  <c r="AK17" i="4"/>
  <c r="AK19" i="4"/>
  <c r="AK22" i="4"/>
  <c r="AK25" i="4"/>
  <c r="AK28" i="4"/>
  <c r="AG10" i="4"/>
  <c r="AG12" i="4"/>
  <c r="AG14" i="4"/>
  <c r="AG16" i="4"/>
  <c r="AG18" i="4"/>
  <c r="AG23" i="4"/>
  <c r="AG25" i="4"/>
  <c r="AG27" i="4"/>
  <c r="AG29" i="4"/>
  <c r="AG30" i="4"/>
  <c r="AG66" i="4"/>
  <c r="AC17" i="4"/>
  <c r="AC20" i="4"/>
  <c r="AC27" i="4"/>
  <c r="AC29" i="4"/>
  <c r="AC37" i="4"/>
  <c r="AC45" i="4"/>
  <c r="AC53" i="4"/>
  <c r="AC56" i="4"/>
  <c r="AC59" i="4"/>
  <c r="AC62" i="4"/>
  <c r="AC65" i="4"/>
  <c r="AC101" i="4"/>
  <c r="AK12" i="4"/>
  <c r="AK14" i="4"/>
  <c r="AK18" i="4"/>
  <c r="AK21" i="4"/>
  <c r="AG35" i="4"/>
  <c r="AG38" i="4"/>
  <c r="AG46" i="4"/>
  <c r="AG53" i="4"/>
  <c r="AG54" i="4"/>
  <c r="AG57" i="4"/>
  <c r="AG62" i="4"/>
  <c r="AC11" i="4"/>
  <c r="AC13" i="4"/>
  <c r="AC16" i="4"/>
  <c r="AC19" i="4"/>
  <c r="AC22" i="4"/>
  <c r="AC24" i="4"/>
  <c r="AC33" i="4"/>
  <c r="AC35" i="4"/>
  <c r="AC38" i="4"/>
  <c r="AC44" i="4"/>
  <c r="AC47" i="4"/>
  <c r="AC50" i="4"/>
  <c r="AC70" i="4"/>
  <c r="AC72" i="4"/>
  <c r="AC74" i="4"/>
  <c r="AC77" i="4"/>
  <c r="AC78" i="4"/>
  <c r="AC84" i="4"/>
  <c r="AC87" i="4"/>
  <c r="AC90" i="4"/>
  <c r="AC99" i="4"/>
  <c r="AC105" i="4"/>
  <c r="AC109" i="4"/>
  <c r="AC113" i="4"/>
  <c r="AC117" i="4"/>
  <c r="AC118" i="4"/>
  <c r="AC121" i="4"/>
  <c r="AK11" i="4"/>
  <c r="AK26" i="4"/>
  <c r="AG11" i="4"/>
  <c r="AG13" i="4"/>
  <c r="AG17" i="4"/>
  <c r="AG19" i="4"/>
  <c r="AG21" i="4"/>
  <c r="AG24" i="4"/>
  <c r="AG26" i="4"/>
  <c r="AG34" i="4"/>
  <c r="AG39" i="4"/>
  <c r="AG42" i="4"/>
  <c r="AG45" i="4"/>
  <c r="AG47" i="4"/>
  <c r="AG50" i="4"/>
  <c r="AG59" i="4"/>
  <c r="AG68" i="4"/>
  <c r="AG69" i="4"/>
  <c r="AC9" i="4"/>
  <c r="AC12" i="4"/>
  <c r="AC18" i="4"/>
  <c r="AC28" i="4"/>
  <c r="AC31" i="4"/>
  <c r="AC34" i="4"/>
  <c r="AC39" i="4"/>
  <c r="AC42" i="4"/>
  <c r="AC58" i="4"/>
  <c r="AC61" i="4"/>
  <c r="AC64" i="4"/>
  <c r="AC67" i="4"/>
  <c r="AC79" i="4"/>
  <c r="AC82" i="4"/>
  <c r="AC83" i="4"/>
  <c r="AC93" i="4"/>
  <c r="AC95" i="4"/>
  <c r="AC98" i="4"/>
  <c r="AC106" i="4"/>
  <c r="AC114" i="4"/>
  <c r="AC122" i="4"/>
  <c r="AC125" i="4"/>
  <c r="AC128" i="4"/>
  <c r="AU8" i="6"/>
  <c r="AT8" i="6"/>
  <c r="J15" i="2"/>
  <c r="J14" i="2"/>
  <c r="J13" i="2"/>
  <c r="K8" i="2"/>
  <c r="K9" i="2" s="1"/>
  <c r="AY9" i="4"/>
  <c r="AX9" i="4"/>
  <c r="P10" i="3"/>
  <c r="P11" i="3"/>
  <c r="P12" i="3"/>
  <c r="P13" i="3"/>
  <c r="P14" i="3"/>
  <c r="P15" i="3"/>
  <c r="P16" i="3"/>
  <c r="P17" i="3"/>
  <c r="P18" i="3"/>
  <c r="Q10" i="3"/>
  <c r="Q11" i="3"/>
  <c r="Q12" i="3"/>
  <c r="Q13" i="3"/>
  <c r="Q14" i="3"/>
  <c r="Q15" i="3"/>
  <c r="Q16" i="3"/>
  <c r="Q17" i="3"/>
  <c r="Q18" i="3"/>
  <c r="AP24" i="8" l="1"/>
  <c r="AX9" i="8"/>
  <c r="AY9" i="8"/>
  <c r="S10" i="5"/>
  <c r="T10" i="5" s="1"/>
  <c r="S11" i="5"/>
  <c r="T11" i="5" s="1"/>
  <c r="S12" i="5"/>
  <c r="T12" i="5" s="1"/>
  <c r="S13" i="5"/>
  <c r="T13" i="5" s="1"/>
  <c r="S14" i="5"/>
  <c r="T14" i="5" s="1"/>
  <c r="S15" i="5"/>
  <c r="T15" i="5" s="1"/>
  <c r="S16" i="5"/>
  <c r="T16" i="5" s="1"/>
  <c r="S17" i="5"/>
  <c r="T17" i="5" s="1"/>
  <c r="S18" i="5"/>
  <c r="T18" i="5" s="1"/>
  <c r="S19" i="5"/>
  <c r="T19" i="5" s="1"/>
  <c r="S9" i="5"/>
  <c r="T9" i="5" s="1"/>
  <c r="AK30" i="4"/>
  <c r="AT13" i="6"/>
  <c r="AT9" i="6"/>
  <c r="AT10" i="6" s="1"/>
  <c r="AU13" i="6"/>
  <c r="AU9" i="6"/>
  <c r="AU10" i="6" s="1"/>
  <c r="AX12" i="4"/>
  <c r="AX10" i="4"/>
  <c r="AX11" i="4" s="1"/>
  <c r="AY14" i="4"/>
  <c r="AY12" i="4"/>
  <c r="AY10" i="4"/>
  <c r="AY11" i="4" s="1"/>
  <c r="J12" i="3"/>
  <c r="J13" i="4"/>
  <c r="J12" i="4"/>
  <c r="AX10" i="8" l="1"/>
  <c r="AX11" i="8" s="1"/>
  <c r="AX12" i="8"/>
  <c r="AX14" i="8"/>
  <c r="AY10" i="8"/>
  <c r="AY11" i="8" s="1"/>
  <c r="AY12" i="8"/>
  <c r="AY14" i="8"/>
  <c r="S8" i="4"/>
  <c r="T8" i="4" s="1"/>
  <c r="S9" i="4"/>
  <c r="T9" i="4" s="1"/>
  <c r="S10" i="4"/>
  <c r="T10" i="4" s="1"/>
  <c r="S11" i="4"/>
  <c r="T11" i="4" s="1"/>
  <c r="S12" i="4"/>
  <c r="T12" i="4" s="1"/>
  <c r="S13" i="4"/>
  <c r="T13" i="4" s="1"/>
  <c r="S14" i="4"/>
  <c r="T14" i="4" s="1"/>
  <c r="S15" i="4"/>
  <c r="T15" i="4" s="1"/>
  <c r="S16" i="4"/>
  <c r="T16" i="4" s="1"/>
  <c r="S17" i="4"/>
  <c r="T17" i="4" s="1"/>
  <c r="S18" i="4"/>
  <c r="T18" i="4" s="1"/>
  <c r="AY13" i="4"/>
  <c r="AX13" i="4"/>
  <c r="AX13" i="8" l="1"/>
  <c r="AX15" i="8"/>
  <c r="AX16" i="8" s="1"/>
  <c r="AY13" i="8"/>
  <c r="AY15" i="8"/>
  <c r="AY16" i="8" s="1"/>
  <c r="T19" i="4"/>
  <c r="J14" i="6"/>
  <c r="J13" i="6"/>
  <c r="AX18" i="8" l="1"/>
  <c r="AX17" i="8"/>
  <c r="AY18" i="8"/>
  <c r="AY17" i="8"/>
  <c r="R9" i="6"/>
  <c r="S9" i="6" s="1"/>
  <c r="R10" i="6"/>
  <c r="S10" i="6" s="1"/>
  <c r="R11" i="6"/>
  <c r="S11" i="6" s="1"/>
  <c r="R12" i="6"/>
  <c r="S12" i="6" s="1"/>
  <c r="R13" i="6"/>
  <c r="S13" i="6" s="1"/>
  <c r="R14" i="6"/>
  <c r="S14" i="6" s="1"/>
  <c r="R15" i="6"/>
  <c r="S15" i="6" s="1"/>
  <c r="R16" i="6"/>
  <c r="S16" i="6" s="1"/>
  <c r="R17" i="6"/>
  <c r="S17" i="6" s="1"/>
  <c r="R18" i="6"/>
  <c r="S18" i="6" s="1"/>
  <c r="R8" i="6"/>
  <c r="S8" i="6" s="1"/>
  <c r="T18" i="2"/>
  <c r="T17" i="2"/>
  <c r="T16" i="2"/>
  <c r="T15" i="2"/>
  <c r="T14" i="2"/>
  <c r="T13" i="2"/>
  <c r="T12" i="2"/>
  <c r="T11" i="2"/>
  <c r="T10" i="2"/>
  <c r="T9" i="2"/>
  <c r="T8" i="2"/>
  <c r="T19" i="2" s="1"/>
  <c r="J12" i="2"/>
</calcChain>
</file>

<file path=xl/sharedStrings.xml><?xml version="1.0" encoding="utf-8"?>
<sst xmlns="http://schemas.openxmlformats.org/spreadsheetml/2006/main" count="850" uniqueCount="329">
  <si>
    <t>Geopolitical Risk Assessment</t>
  </si>
  <si>
    <t>What happened</t>
  </si>
  <si>
    <t>Starting 19 November 2023, Yemen's Houthi movement (Ansar Allah) began attacking commercial vessels transiting the Bab-el-Mandeb Strait and southern Red Sea, explicitly linking the attacks to the Gaza conflict. Over 190 attacks had occurred by October 2024. In response, the major container lines (Maersk, MSC, CMA CGM, Hapag-Lloyd) suspended Red Sea transits and rerouted around the Cape of Good Hope.</t>
  </si>
  <si>
    <t>Why it is financially significant</t>
  </si>
  <si>
    <t>The Suez Canal–Red Sea corridor normally carries about 12% of global trade, roughly 10% of seaborne oil, and 22% of global container shipping. It is not a peripheral route — it is one of the handful of choke points (alongside the Strait of Hormuz and Panama Canal) that global trade genuinely depends on, so a sustained disruption shows up simultaneously in freight costs, insurance costs, delivery times, and inflation expectations across many unrelated industries at once.</t>
  </si>
  <si>
    <t>Countries affected</t>
  </si>
  <si>
    <r>
      <t>Egypt</t>
    </r>
    <r>
      <rPr>
        <sz val="11"/>
        <color theme="1"/>
        <rFont val="Calibri"/>
        <family val="2"/>
        <scheme val="minor"/>
      </rPr>
      <t xml:space="preserve"> — direct fiscal hit: Suez Canal revenue fell over 60%, a loss of nearly $7 billion in 2024, since the canal is a major source of Egypt's foreign-currency income.</t>
    </r>
  </si>
  <si>
    <r>
      <t>Yemen</t>
    </r>
    <r>
      <rPr>
        <sz val="11"/>
        <color theme="1"/>
        <rFont val="Calibri"/>
        <family val="2"/>
        <scheme val="minor"/>
      </rPr>
      <t xml:space="preserve"> — origin of the attacks; ongoing conflict actor.</t>
    </r>
  </si>
  <si>
    <r>
      <t>Israel</t>
    </r>
    <r>
      <rPr>
        <sz val="11"/>
        <color theme="1"/>
        <rFont val="Calibri"/>
        <family val="2"/>
        <scheme val="minor"/>
      </rPr>
      <t xml:space="preserve"> — the stated trigger (Gaza war) and a direct target of some attacks.</t>
    </r>
  </si>
  <si>
    <r>
      <t>India</t>
    </r>
    <r>
      <rPr>
        <sz val="11"/>
        <color theme="1"/>
        <rFont val="Calibri"/>
        <family val="2"/>
        <scheme val="minor"/>
      </rPr>
      <t xml:space="preserve"> — large importer of crude oil and API/pharma intermediates via this route, and a major exporter of generics to the US/EU that transits this corridor; also a beneficiary in some respects (longer routes raise the relative attractiveness of India as a shorter-route alternative supplier for Middle East/Africa markets).</t>
    </r>
  </si>
  <si>
    <r>
      <t>China</t>
    </r>
    <r>
      <rPr>
        <sz val="11"/>
        <color theme="1"/>
        <rFont val="Calibri"/>
        <family val="2"/>
        <scheme val="minor"/>
      </rPr>
      <t xml:space="preserve"> — a dominant API/intermediate exporter to India, so China-to-India shipping lanes are indirectly affected by the same rerouting pressure.</t>
    </r>
  </si>
  <si>
    <r>
      <t>US/UK/EU</t>
    </r>
    <r>
      <rPr>
        <sz val="11"/>
        <color theme="1"/>
        <rFont val="Calibri"/>
        <family val="2"/>
        <scheme val="minor"/>
      </rPr>
      <t xml:space="preserve"> — direct naval involvement (coalition strikes on Houthi positions) and importers of goods normally routed via Suez.</t>
    </r>
  </si>
  <si>
    <t>Geopolitical risk - transmission map</t>
  </si>
  <si>
    <t>Industry-level risk analysis</t>
  </si>
  <si>
    <r>
      <t xml:space="preserve">CRISIL assessed the impact of the Red Sea disruption on Indian pharma as </t>
    </r>
    <r>
      <rPr>
        <b/>
        <sz val="11"/>
        <color theme="1"/>
        <rFont val="Calibri"/>
        <family val="2"/>
        <scheme val="minor"/>
      </rPr>
      <t>medium</t>
    </r>
    <r>
      <rPr>
        <sz val="11"/>
        <color theme="1"/>
        <rFont val="Calibri"/>
        <family val="2"/>
        <scheme val="minor"/>
      </rPr>
      <t>, noting that about two-thirds of pharma exports were by sea and that prolonged disruption could increase freight costs and pressure margins.</t>
    </r>
  </si>
  <si>
    <r>
      <t xml:space="preserve">CRISIL reported that around </t>
    </r>
    <r>
      <rPr>
        <b/>
        <sz val="11"/>
        <color theme="1"/>
        <rFont val="Calibri"/>
        <family val="2"/>
        <scheme val="minor"/>
      </rPr>
      <t>50% of Indian pharma-industry revenue comes from exports</t>
    </r>
    <r>
      <rPr>
        <sz val="11"/>
        <color theme="1"/>
        <rFont val="Calibri"/>
        <family val="2"/>
        <scheme val="minor"/>
      </rPr>
      <t xml:space="preserve">, with the US and Europe being major markets, and nearly </t>
    </r>
    <r>
      <rPr>
        <b/>
        <sz val="11"/>
        <color theme="1"/>
        <rFont val="Calibri"/>
        <family val="2"/>
        <scheme val="minor"/>
      </rPr>
      <t>two-thirds of pharma exports moving by sea</t>
    </r>
    <r>
      <rPr>
        <sz val="11"/>
        <color theme="1"/>
        <rFont val="Calibri"/>
        <family val="2"/>
        <scheme val="minor"/>
      </rPr>
      <t>.</t>
    </r>
  </si>
  <si>
    <r>
      <t>Industry-level call</t>
    </r>
    <r>
      <rPr>
        <sz val="11"/>
        <color theme="1"/>
        <rFont val="Calibri"/>
        <family val="2"/>
        <scheme val="minor"/>
      </rPr>
      <t xml:space="preserve">: Pharma as a whole is best classified as </t>
    </r>
    <r>
      <rPr>
        <b/>
        <sz val="11"/>
        <color theme="1"/>
        <rFont val="Calibri"/>
        <family val="2"/>
        <scheme val="minor"/>
      </rPr>
      <t>Neutral</t>
    </r>
    <r>
      <rPr>
        <sz val="11"/>
        <color theme="1"/>
        <rFont val="Calibri"/>
        <family val="2"/>
        <scheme val="minor"/>
      </rPr>
      <t xml:space="preserve"> — demand is non-discretionary (people don't stop taking medicines because of a shipping crisis), so there's no revenue/demand shock. The risk is entirely on the </t>
    </r>
    <r>
      <rPr>
        <b/>
        <sz val="11"/>
        <color theme="1"/>
        <rFont val="Calibri"/>
        <family val="2"/>
        <scheme val="minor"/>
      </rPr>
      <t>cost side</t>
    </r>
    <r>
      <rPr>
        <sz val="11"/>
        <color theme="1"/>
        <rFont val="Calibri"/>
        <family val="2"/>
        <scheme val="minor"/>
      </rPr>
      <t xml:space="preserve"> (freight, insurance, API-input inflation) and </t>
    </r>
    <r>
      <rPr>
        <b/>
        <sz val="11"/>
        <color theme="1"/>
        <rFont val="Calibri"/>
        <family val="2"/>
        <scheme val="minor"/>
      </rPr>
      <t>within the sector, the impact is uneven</t>
    </r>
    <r>
      <rPr>
        <sz val="11"/>
        <color theme="1"/>
        <rFont val="Calibri"/>
        <family val="2"/>
        <scheme val="minor"/>
      </rPr>
      <t xml:space="preserve"> — hence the split below.</t>
    </r>
  </si>
  <si>
    <t>Company Classification — Red Sea Shipping Crisis Impact on Indian Pharma</t>
  </si>
  <si>
    <t>Company</t>
  </si>
  <si>
    <t>Classification</t>
  </si>
  <si>
    <t>Key Rationale</t>
  </si>
  <si>
    <t>Cipla</t>
  </si>
  <si>
    <t>Winner</t>
  </si>
  <si>
    <t>Domestic revenue &gt;45%; low API import dependency; less exposed to sea-freight-linked US tenders</t>
  </si>
  <si>
    <t>Sun Pharmaceutical</t>
  </si>
  <si>
    <t>US/Israel (Taro) manufacturing bypasses India sea-freight; specialty/branded mix cushions cost inflation</t>
  </si>
  <si>
    <t>Zydus Lifesciences</t>
  </si>
  <si>
    <t>Neutral</t>
  </si>
  <si>
    <t>Moderate US-generics exposure offset by diversification into specialty and consumer wellness</t>
  </si>
  <si>
    <t>Dr. Reddy's Laboratories</t>
  </si>
  <si>
    <t>Diversified geography (US/EU/Russia-CIS/India) but meaningful two-way freight exposure (API imports + formulation exports)</t>
  </si>
  <si>
    <t>Lupin</t>
  </si>
  <si>
    <t>Loser</t>
  </si>
  <si>
    <t>Large US-generics export book under regulated/tender pricing; limited alternate manufacturing geography</t>
  </si>
  <si>
    <t>Aurobindo Pharma</t>
  </si>
  <si>
    <t>Heaviest combined exposure — large API/intermediate imports AND large US export book; hit on both supply-chain legs</t>
  </si>
  <si>
    <t>International Exposure</t>
  </si>
  <si>
    <t>Shipping Exposure</t>
  </si>
  <si>
    <t>Geographic Diversification</t>
  </si>
  <si>
    <t>Red Sea Risk</t>
  </si>
  <si>
    <t>High</t>
  </si>
  <si>
    <t>🟡</t>
  </si>
  <si>
    <t>Sun Pharma</t>
  </si>
  <si>
    <t>Very High</t>
  </si>
  <si>
    <t>🟢</t>
  </si>
  <si>
    <t>Zydus</t>
  </si>
  <si>
    <t>Dr. Reddy's</t>
  </si>
  <si>
    <t>Medium–High</t>
  </si>
  <si>
    <t>🔴</t>
  </si>
  <si>
    <t>Aurobindo</t>
  </si>
  <si>
    <t>Risk_Metrics</t>
  </si>
  <si>
    <t>EVENT STUDY</t>
  </si>
  <si>
    <r>
      <t>Cipla:</t>
    </r>
    <r>
      <rPr>
        <sz val="11"/>
        <color rgb="FF000000"/>
        <rFont val="Calibri"/>
        <family val="2"/>
      </rPr>
      <t xml:space="preserve"> NSE historical data</t>
    </r>
  </si>
  <si>
    <t>Estimation Period:</t>
  </si>
  <si>
    <t>Event:</t>
  </si>
  <si>
    <t>LONG TERM IMPACT</t>
  </si>
  <si>
    <t>STRESS TESTING</t>
  </si>
  <si>
    <r>
      <t>Benchmark:</t>
    </r>
    <r>
      <rPr>
        <sz val="11"/>
        <color rgb="FF000000"/>
        <rFont val="Calibri"/>
        <family val="2"/>
      </rPr>
      <t xml:space="preserve"> </t>
    </r>
    <r>
      <rPr>
        <b/>
        <sz val="11"/>
        <color rgb="FF000000"/>
        <rFont val="Calibri"/>
        <family val="2"/>
      </rPr>
      <t>NIFTY 50</t>
    </r>
    <r>
      <rPr>
        <sz val="11"/>
        <color rgb="FF000000"/>
        <rFont val="Calibri"/>
        <family val="2"/>
      </rPr>
      <t xml:space="preserve"> historical data</t>
    </r>
  </si>
  <si>
    <t>10-Nov-2022 to 10-Nov-2023</t>
  </si>
  <si>
    <t>Red Sea shipping disruption — 19-Nov-2023</t>
  </si>
  <si>
    <r>
      <rPr>
        <b/>
        <sz val="11"/>
        <color rgb="FF000000"/>
        <rFont val="Calibri"/>
        <family val="2"/>
        <scheme val="minor"/>
      </rPr>
      <t>Stress-test assumptions:</t>
    </r>
    <r>
      <rPr>
        <sz val="11"/>
        <color rgb="FF000000"/>
        <rFont val="Calibri"/>
        <family val="2"/>
        <scheme val="minor"/>
      </rPr>
      <t xml:space="preserve"> 26% exposed revenue, 2% baseline freight cost as % of exposed revenue, +30% moderate freight shock, +100% severe freight shock, 25% tax rate. These are analytical assumptions and not Cipla-disclosed figures.</t>
    </r>
  </si>
  <si>
    <r>
      <t>Frequency:</t>
    </r>
    <r>
      <rPr>
        <sz val="11"/>
        <color rgb="FF000000"/>
        <rFont val="Calibri"/>
        <family val="2"/>
      </rPr>
      <t xml:space="preserve"> Daily</t>
    </r>
  </si>
  <si>
    <t>Since 19 Nov was Sunday:  T0 = 20-Nov-2023</t>
  </si>
  <si>
    <t>1 YEAR</t>
  </si>
  <si>
    <t>6 MONTHS</t>
  </si>
  <si>
    <t>3MONTHS</t>
  </si>
  <si>
    <t>1 MONTH</t>
  </si>
  <si>
    <r>
      <t>Period:</t>
    </r>
    <r>
      <rPr>
        <sz val="11"/>
        <color rgb="FF000000"/>
        <rFont val="Calibri"/>
        <family val="2"/>
      </rPr>
      <t xml:space="preserve"> </t>
    </r>
    <r>
      <rPr>
        <b/>
        <sz val="11"/>
        <color rgb="FF000000"/>
        <rFont val="Calibri"/>
        <family val="2"/>
      </rPr>
      <t>10-Nov-2022 to 27-Nov-2024</t>
    </r>
  </si>
  <si>
    <t>STRESS SCENARIO TABLE</t>
  </si>
  <si>
    <t>CIPLA</t>
  </si>
  <si>
    <t>Nifty 50</t>
  </si>
  <si>
    <t>Nifty Pharma</t>
  </si>
  <si>
    <t>Risk Metric</t>
  </si>
  <si>
    <t>NIFTY 50</t>
  </si>
  <si>
    <t>Event Day</t>
  </si>
  <si>
    <t>Date</t>
  </si>
  <si>
    <t>Cipla Return</t>
  </si>
  <si>
    <t>NIFTY Return</t>
  </si>
  <si>
    <t>Expected Return</t>
  </si>
  <si>
    <t>Abnormal Return</t>
  </si>
  <si>
    <t>DATE</t>
  </si>
  <si>
    <t>LTP</t>
  </si>
  <si>
    <t>Returns</t>
  </si>
  <si>
    <t>PRICE</t>
  </si>
  <si>
    <t>RETURNS</t>
  </si>
  <si>
    <t>Base Data</t>
  </si>
  <si>
    <t>Value</t>
  </si>
  <si>
    <t>Metric</t>
  </si>
  <si>
    <t>Base</t>
  </si>
  <si>
    <t>Moderate (+30%)</t>
  </si>
  <si>
    <t>Severe (+100%)</t>
  </si>
  <si>
    <t>Price</t>
  </si>
  <si>
    <t>Daily Volatility</t>
  </si>
  <si>
    <t>T-5</t>
  </si>
  <si>
    <t>FY24 Revenue</t>
  </si>
  <si>
    <t>Freight Cost Increase</t>
  </si>
  <si>
    <t>Annualised Volatility</t>
  </si>
  <si>
    <t>T-4</t>
  </si>
  <si>
    <t>Assumed Exposed Revenue %</t>
  </si>
  <si>
    <t>Incremental Freight Cost</t>
  </si>
  <si>
    <t>T-3</t>
  </si>
  <si>
    <t>Exposed Revenue</t>
  </si>
  <si>
    <t>EBITDA</t>
  </si>
  <si>
    <t>T-2</t>
  </si>
  <si>
    <t>Assumed Freight Cost %</t>
  </si>
  <si>
    <t>EBITDA Margin</t>
  </si>
  <si>
    <t>Beta</t>
  </si>
  <si>
    <t>T-1</t>
  </si>
  <si>
    <t>Baseline Freight Cost</t>
  </si>
  <si>
    <t>PAT</t>
  </si>
  <si>
    <t>Alpha</t>
  </si>
  <si>
    <t>T0</t>
  </si>
  <si>
    <t>FY24 EBITDA</t>
  </si>
  <si>
    <t>PAT Margin</t>
  </si>
  <si>
    <t>T+1</t>
  </si>
  <si>
    <t>FY24 PAT</t>
  </si>
  <si>
    <t>CFO</t>
  </si>
  <si>
    <t>T+2</t>
  </si>
  <si>
    <t>FY24 CFO</t>
  </si>
  <si>
    <t>T+3</t>
  </si>
  <si>
    <t>Tax Rate Assumption</t>
  </si>
  <si>
    <t>Event Period Volatility</t>
  </si>
  <si>
    <t>T+4</t>
  </si>
  <si>
    <t>LUPIN</t>
  </si>
  <si>
    <t>T+5</t>
  </si>
  <si>
    <t xml:space="preserve"> </t>
  </si>
  <si>
    <t>Exposed Revenue = ₹6,701.24 Cr</t>
  </si>
  <si>
    <t>Baseline Freight Cost = ₹134.02 Cr</t>
  </si>
  <si>
    <t>Volatility Ratio (Event ÷ Normal)</t>
  </si>
  <si>
    <t>Pre-event → event → 1M → 3M → 6M → 1Y summary table</t>
  </si>
  <si>
    <t>Horizon</t>
  </si>
  <si>
    <t>Return since event</t>
  </si>
  <si>
    <t>Pre Event</t>
  </si>
  <si>
    <t>-</t>
  </si>
  <si>
    <t>Event</t>
  </si>
  <si>
    <t>t+1 month</t>
  </si>
  <si>
    <t>t+3 month</t>
  </si>
  <si>
    <t>t+6 month</t>
  </si>
  <si>
    <t>t+1 year</t>
  </si>
  <si>
    <r>
      <rPr>
        <b/>
        <sz val="11"/>
        <color rgb="FF000000"/>
        <rFont val="Calibri"/>
        <family val="2"/>
      </rPr>
      <t>Zydus:</t>
    </r>
    <r>
      <rPr>
        <sz val="11"/>
        <color rgb="FF000000"/>
        <rFont val="Calibri"/>
        <family val="2"/>
      </rPr>
      <t xml:space="preserve"> NSE historical data</t>
    </r>
  </si>
  <si>
    <t>ZYDUS</t>
  </si>
  <si>
    <r>
      <rPr>
        <b/>
        <sz val="11"/>
        <color rgb="FF000000"/>
        <rFont val="Calibri"/>
        <family val="2"/>
        <scheme val="minor"/>
      </rPr>
      <t>Stress-test assumptions:</t>
    </r>
    <r>
      <rPr>
        <sz val="11"/>
        <color rgb="FF000000"/>
        <rFont val="Calibri"/>
        <family val="2"/>
        <scheme val="minor"/>
      </rPr>
      <t xml:space="preserve"> 24% exposed-revenue proxy and 2.5% baseline freight cost are analytical assumptions derived from Zydus's disclosed sourcing mix and its international business exposure, not company-disclosed Red Sea exposure/freight figures.</t>
    </r>
  </si>
  <si>
    <t>Zydus Return</t>
  </si>
  <si>
    <t>Moderate (+27.5%)</t>
  </si>
  <si>
    <t>Severe (+150%)</t>
  </si>
  <si>
    <t>–</t>
  </si>
  <si>
    <t>₹32.25 Cr</t>
  </si>
  <si>
    <t>₹175.93 Cr</t>
  </si>
  <si>
    <t>₹5,384.30 Cr</t>
  </si>
  <si>
    <t>₹5,352.05 Cr</t>
  </si>
  <si>
    <t>₹5,208.37 Cr</t>
  </si>
  <si>
    <t>₹117.28 Cr</t>
  </si>
  <si>
    <t>₹3,859.50 Cr</t>
  </si>
  <si>
    <t>₹3,835.31 Cr</t>
  </si>
  <si>
    <t>₹3,727.56 Cr</t>
  </si>
  <si>
    <t>₹3,196.30 Cr</t>
  </si>
  <si>
    <t>₹3,164.05 Cr</t>
  </si>
  <si>
    <t>₹3,020.37 Cr</t>
  </si>
  <si>
    <t xml:space="preserve">Exposed Revenue </t>
  </si>
  <si>
    <r>
      <rPr>
        <b/>
        <sz val="11"/>
        <color rgb="FF000000"/>
        <rFont val="Calibri"/>
        <family val="2"/>
      </rPr>
      <t>Sunpharma:</t>
    </r>
    <r>
      <rPr>
        <sz val="11"/>
        <color rgb="FF000000"/>
        <rFont val="Calibri"/>
        <family val="2"/>
      </rPr>
      <t xml:space="preserve"> NSE historical data</t>
    </r>
  </si>
  <si>
    <r>
      <t>Benchmark:</t>
    </r>
    <r>
      <rPr>
        <sz val="11"/>
        <color theme="1"/>
        <rFont val="Calibri"/>
        <family val="2"/>
        <scheme val="minor"/>
      </rPr>
      <t xml:space="preserve"> </t>
    </r>
    <r>
      <rPr>
        <b/>
        <sz val="11"/>
        <color theme="1"/>
        <rFont val="Calibri"/>
        <family val="2"/>
        <scheme val="minor"/>
      </rPr>
      <t>NIFTY 50</t>
    </r>
    <r>
      <rPr>
        <sz val="11"/>
        <color theme="1"/>
        <rFont val="Calibri"/>
        <family val="2"/>
        <scheme val="minor"/>
      </rPr>
      <t xml:space="preserve"> historical data</t>
    </r>
  </si>
  <si>
    <t>Pre-event date</t>
  </si>
  <si>
    <t>Event study</t>
  </si>
  <si>
    <t>Event date</t>
  </si>
  <si>
    <t>+1 month</t>
  </si>
  <si>
    <t>+3 months</t>
  </si>
  <si>
    <t>+6 months</t>
  </si>
  <si>
    <t>+1 year</t>
  </si>
  <si>
    <r>
      <t>Frequency:</t>
    </r>
    <r>
      <rPr>
        <sz val="11"/>
        <color theme="1"/>
        <rFont val="Calibri"/>
        <family val="2"/>
        <scheme val="minor"/>
      </rPr>
      <t xml:space="preserve"> Daily</t>
    </r>
  </si>
  <si>
    <t>13-Nov-2023-27-Nov-2023</t>
  </si>
  <si>
    <r>
      <rPr>
        <b/>
        <sz val="11"/>
        <color rgb="FF000000"/>
        <rFont val="Calibri"/>
        <family val="2"/>
      </rPr>
      <t>Period:</t>
    </r>
    <r>
      <rPr>
        <sz val="11"/>
        <color rgb="FF000000"/>
        <rFont val="Calibri"/>
        <family val="2"/>
      </rPr>
      <t xml:space="preserve"> 10-Nov-2022 to 27-Nov-2024</t>
    </r>
  </si>
  <si>
    <t>Sunpharma</t>
  </si>
  <si>
    <t>Sunpharma Return</t>
  </si>
  <si>
    <t>Nifty 50 Return</t>
  </si>
  <si>
    <t>Stress-test assumptions: FY24 reported consolidated freight cost of ₹812.47 Cr used as the baseline, +30% moderate freight shock, +100% severe freight shock, and 25% tax rate. The freight shocks represent analytical scenarios of increased logistics costs under the Red Sea disruption, while the tax rate is used to estimate the after-tax impact. These are analytical assumptions and not Sun Pharma-disclosed figures.</t>
  </si>
  <si>
    <t>Calculation</t>
  </si>
  <si>
    <t>Beta – Sun vs Nifty 50</t>
  </si>
  <si>
    <t>Alpha – Sun vs Nifty 50</t>
  </si>
  <si>
    <t>Cumulative Abnormal Return</t>
  </si>
  <si>
    <t>Return</t>
  </si>
  <si>
    <t>Moderate</t>
  </si>
  <si>
    <t>FY24 Freight Cost</t>
  </si>
  <si>
    <t>FY24 Adjusted PAT</t>
  </si>
  <si>
    <t>Adjusted PAT</t>
  </si>
  <si>
    <t>Severe</t>
  </si>
  <si>
    <t>Freight shock</t>
  </si>
  <si>
    <t>Incremental freight</t>
  </si>
  <si>
    <r>
      <rPr>
        <b/>
        <sz val="11"/>
        <color rgb="FF000000"/>
        <rFont val="Calibri"/>
        <family val="2"/>
        <scheme val="minor"/>
      </rPr>
      <t>Dr. Reddy Laboratories:</t>
    </r>
    <r>
      <rPr>
        <sz val="11"/>
        <color rgb="FF000000"/>
        <rFont val="Calibri"/>
        <family val="2"/>
        <scheme val="minor"/>
      </rPr>
      <t xml:space="preserve"> NSE historical data</t>
    </r>
  </si>
  <si>
    <r>
      <rPr>
        <b/>
        <sz val="11"/>
        <color rgb="FF000000"/>
        <rFont val="Calibri"/>
        <family val="2"/>
        <scheme val="minor"/>
      </rPr>
      <t>Stress-test assumptions:</t>
    </r>
    <r>
      <rPr>
        <sz val="11"/>
        <color rgb="FF000000"/>
        <rFont val="Calibri"/>
        <family val="2"/>
        <scheme val="minor"/>
      </rPr>
      <t xml:space="preserve"> 35% exposed revenue, 2.5% baseline freight cost as % of exposed revenue, +30% moderate freight shock, +100% severe freight shock, 25% tax rate. These are analytical assumptions and not Cipla-disclosed figures.</t>
    </r>
  </si>
  <si>
    <r>
      <rPr>
        <b/>
        <sz val="11"/>
        <color rgb="FF000000"/>
        <rFont val="Calibri"/>
        <family val="2"/>
      </rPr>
      <t>Period:</t>
    </r>
    <r>
      <rPr>
        <sz val="11"/>
        <color rgb="FF000000"/>
        <rFont val="Calibri"/>
        <family val="2"/>
      </rPr>
      <t xml:space="preserve"> </t>
    </r>
    <r>
      <rPr>
        <b/>
        <sz val="11"/>
        <color rgb="FF000000"/>
        <rFont val="Calibri"/>
        <family val="2"/>
      </rPr>
      <t>10-Nov-2022 to 27-Nov-2024</t>
    </r>
  </si>
  <si>
    <t>Dr. Reddy Laboratories</t>
  </si>
  <si>
    <t>NIFTY PHARMA</t>
  </si>
  <si>
    <t>Dr. Reddy Return</t>
  </si>
  <si>
    <t>Assumed Exposed Revenue</t>
  </si>
  <si>
    <t>Beta- Reddy vs Nifty Pharma</t>
  </si>
  <si>
    <t>Beta – reddyvs Nifty 50</t>
  </si>
  <si>
    <t>Alpha – Reddy vs Nifty 50</t>
  </si>
  <si>
    <t>R²</t>
  </si>
  <si>
    <t>even in the Severe case (+100% freight cost), Dr. Reddy's EBITDA margin only compresses by ~0.9 percentage points (28.41%→27.53%) and PAT margin by ~0.65 points — consistent with the earlier finding that pharma demand is inelastic and the damage is a margin story, not a survival story.</t>
  </si>
  <si>
    <t xml:space="preserve">Baseline Freight Cost </t>
  </si>
  <si>
    <t>Crisis, Applied Specifically to Dr. Reddy's Laboratories
1. Geopolitical Event
Same trigger (Houthi Red Sea attacks, Nov 2023 escalation) — but now traced through Dr. Reddy's specific footprint: API sourcing (India + China imports), formulation exports to the US (its largest market), Europe, and Russia/CIS, and its PSAI (API) export business.
2. Economic Shock (company-specific transmission)
Inbound: intermediates/API imports from China face longer Red-Sea-adjacent or rerouted transit times → inventory holding costs and working-capital days rise.
Outbound: US/EU-bound formulation exports (largely via Red Sea–Suez route from Indian west-coast ports) face the same ~10–14 day delay and freight/insurance mark-up.
Packaging inputs (blister foils, multilayer films) and solvents used in formulation are petrochemical derivatives, so freight-linked and crude-price-linked cost pressure layers on top.
3. Financial Risk (company level)
Higher logistics/input cost → COGS inflation with no immediate pricing offset (US/EU generics pricing is largely fixed under existing contracts/tenders) → EBITDA margin compression → potential earnings miss vs. consensus → stock-price reaction and elevated short-term volatility/beta around the event window → working-capital strain (cash tied up longer in transit inventory) → free-cash-flow pressure.
4. Industry position
Within Nifty Pharma, Dr. Reddy's sits closer to the "moderately exposed" end — it has meaningful API/PSAI exposure (more freight-and-crude sensitive than a pure-formulations player) but also a diversified, largely non-discretionary product base that limits demand-side damage. This is exactly what your Beta-vs-Nifty-Pharma calculation in the workbook is meant to quantify — if DRREDDY's beta versus the sector index is close to 1, its reaction was broadly sector-typical; if higher, it suggests idiosyncratic/company-specific sensitivity (e.g., heavier API exposure than peers).
5. Listed Company
Dr. Reddy's Laboratories Ltd. (NSE: DRREDDY) — this is the single-company deep dive; your workbook's Stock_Price_Impact, Volatility/Beta/Alpha and Scenario_Stress_Test tabs are the quantitative evidence for this node.
6. Risk-Mitigation Strategy (Dr. Reddy's specific)
Sourcing: qualify a second API/intermediate supplier outside the China–Red Sea corridor (e.g., domestic PLI-scheme-backed API units) to de-risk single-route dependency
Inventory: raise safety stock on Red-Sea-dependent SKUs to bridge the 10–14 day transit delay without production disruption
Logistics contracts: lock in freight rates via longer-tenure shipping agreements rather than the spot market, which is where the cost spike hit hardest
Currency/working-capital: since US/EU sales are USD/EUR-denominated, layer in forward hedges for the extended receivables cycle caused by longer shipping times
Pricing: where contracts allow (non-tender private markets), seek cost-escalation clauses; for regulated tenders, factor freight risk into the next bid cycle
Insurance: reassess marine war-risk cover on the specific routes used for API imports and formulation exports</t>
  </si>
  <si>
    <t>Portfolio risk-mitigation strategy</t>
  </si>
  <si>
    <t>1. Is the existing strategy sufficient to absorb the impact?</t>
  </si>
  <si>
    <t>Partially sufficient — adequate for a moderate, short-to-medium-term shock, but not structurally hedged against a prolonged or repeated Red Sea disruption.</t>
  </si>
  <si>
    <t>Reasoning:</t>
  </si>
  <si>
    <r>
      <rPr>
        <b/>
        <sz val="11"/>
        <color rgb="FF000000"/>
        <rFont val="Calibri"/>
        <family val="2"/>
        <scheme val="minor"/>
      </rPr>
      <t>What already works in Dr. Reddy's favour:</t>
    </r>
    <r>
      <rPr>
        <sz val="11"/>
        <color rgb="FF000000"/>
        <rFont val="Calibri"/>
        <family val="2"/>
        <scheme val="minor"/>
      </rPr>
      <t xml:space="preserve"> a diversified revenue base (US, Europe, Russia/CIS, India, PSAI/API exports) means no single geography or single supply lane can sink the company — this is a genuine, existing risk-diversification strength, not something that needs to be built from scratch.
</t>
    </r>
    <r>
      <rPr>
        <b/>
        <sz val="11"/>
        <color rgb="FF000000"/>
        <rFont val="Calibri"/>
        <family val="2"/>
        <scheme val="minor"/>
      </rPr>
      <t>What is NOT currently strong enough</t>
    </r>
    <r>
      <rPr>
        <sz val="11"/>
        <color rgb="FF000000"/>
        <rFont val="Calibri"/>
        <family val="2"/>
        <scheme val="minor"/>
      </rPr>
      <t>: the stress test shows a plausible ~4–5% EBITDA/PAT hit from a 20% crude shock transmitted via freight/packaging costs alone. That is a margin impact, not a survival-threatening one — so the balance sheet can absorb a single shock. But the company has no dedicated freight/logistics hedge, no explicit multi-sourcing mandate for crude-linked API inputs, and regulated-market pricing (US/EU generics tenders) cannot be renegotiated mid-cycle to pass through cost inflation. That means if the disruption becomes structural (which your Section 1 duration analysis flagged as a real possibility) rather than a one-off spike, the cumulative margin erosion compounds every quarter with no natural offset.</t>
    </r>
  </si>
  <si>
    <r>
      <t>Verdict</t>
    </r>
    <r>
      <rPr>
        <sz val="11"/>
        <color theme="1"/>
        <rFont val="Calibri"/>
        <family val="2"/>
        <scheme val="minor"/>
      </rPr>
      <t>: sufficient to absorb one bad quarter; not sufficient, as currently structured, to absorb a multi-year structural rerouting of Asia-Europe trade without a visible, repeated EBITDA drag.</t>
    </r>
  </si>
  <si>
    <t>Mitigation Steps Mapped to Risk Type — Dr. Reddy's Laboratories</t>
  </si>
  <si>
    <t>Risk Type</t>
  </si>
  <si>
    <t>Mitigation Step</t>
  </si>
  <si>
    <t>Supply-chain / sourcing risk</t>
  </si>
  <si>
    <t>Qualify a second API supplier outside the China–Red Sea corridor (e.g., domestic PLI-scheme-backed manufacturers)</t>
  </si>
  <si>
    <t>Inventory / transit-delay risk</t>
  </si>
  <si>
    <t>Raise safety stock on Red-Sea-dependent SKUs to bridge the 10–14 day rerouting delay</t>
  </si>
  <si>
    <t>Freight-cost / logistics risk</t>
  </si>
  <si>
    <t>Shift from spot-market freight booking to longer-tenure shipping contracts or freight-rate hedges</t>
  </si>
  <si>
    <t>Input-cost / commodity risk</t>
  </si>
  <si>
    <t>Long-term supply contracts with packaging/solvent vendors, with price-escalation caps</t>
  </si>
  <si>
    <t>Pricing / margin risk</t>
  </si>
  <si>
    <t>Build freight-cost-escalation clauses into future tender bids and private-market contracts</t>
  </si>
  <si>
    <t>Working-capital / cash-flow risk</t>
  </si>
  <si>
    <t>Tighten receivables cycle and/or arrange short-term working-capital facilities sized for the extended shipping calendar</t>
  </si>
  <si>
    <t>Currency risk</t>
  </si>
  <si>
    <t>Extend forward-hedging tenure to match the longer shipping-to-payment cycle</t>
  </si>
  <si>
    <t>Insurance / route risk</t>
  </si>
  <si>
    <t>Reassess marine war-risk cover specifically for the API-import and export lanes affected</t>
  </si>
  <si>
    <t>Concentration risk</t>
  </si>
  <si>
    <t>Accelerate diversification into less freight-dependent revenue streams (branded India formulations, biosimilars)</t>
  </si>
  <si>
    <r>
      <t>Aurbindo pharma:</t>
    </r>
    <r>
      <rPr>
        <sz val="14"/>
        <color rgb="FF000000"/>
        <rFont val="Calibri"/>
        <family val="2"/>
      </rPr>
      <t xml:space="preserve"> NSE historical data</t>
    </r>
  </si>
  <si>
    <r>
      <rPr>
        <b/>
        <sz val="11"/>
        <color rgb="FF000000"/>
        <rFont val="Calibri"/>
        <family val="2"/>
      </rPr>
      <t>Stress-test assumptions:</t>
    </r>
    <r>
      <rPr>
        <sz val="11"/>
        <color rgb="FF000000"/>
        <rFont val="Calibri"/>
        <family val="2"/>
      </rPr>
      <t xml:space="preserve"> 30% exposed revenue, 2% baseline freight cost as % of exposed revenue, +30% moderate freight shock, +100% severe freight shock, 25% tax rate. These are analytical assumptions and not Cipla-disclosed figures.</t>
    </r>
  </si>
  <si>
    <r>
      <t>Benchmark:</t>
    </r>
    <r>
      <rPr>
        <sz val="14"/>
        <color rgb="FF000000"/>
        <rFont val="Calibri"/>
        <family val="2"/>
      </rPr>
      <t xml:space="preserve"> </t>
    </r>
    <r>
      <rPr>
        <b/>
        <sz val="14"/>
        <color rgb="FF000000"/>
        <rFont val="Calibri"/>
        <family val="2"/>
      </rPr>
      <t>NIFTY 50</t>
    </r>
    <r>
      <rPr>
        <sz val="14"/>
        <color rgb="FF000000"/>
        <rFont val="Calibri"/>
        <family val="2"/>
      </rPr>
      <t xml:space="preserve"> historical data</t>
    </r>
  </si>
  <si>
    <r>
      <t>Frequency:</t>
    </r>
    <r>
      <rPr>
        <sz val="14"/>
        <color rgb="FF000000"/>
        <rFont val="Calibri"/>
        <family val="2"/>
      </rPr>
      <t xml:space="preserve"> Daily</t>
    </r>
  </si>
  <si>
    <r>
      <t>Period:</t>
    </r>
    <r>
      <rPr>
        <sz val="14"/>
        <color rgb="FF000000"/>
        <rFont val="Calibri"/>
        <family val="2"/>
      </rPr>
      <t xml:space="preserve"> </t>
    </r>
    <r>
      <rPr>
        <b/>
        <sz val="14"/>
        <color rgb="FF000000"/>
        <rFont val="Calibri"/>
        <family val="2"/>
      </rPr>
      <t>10-Nov-2022 to 27-Nov-2024</t>
    </r>
  </si>
  <si>
    <t xml:space="preserve">1 year </t>
  </si>
  <si>
    <t>6 Months</t>
  </si>
  <si>
    <t xml:space="preserve">3 Months </t>
  </si>
  <si>
    <t xml:space="preserve">1 Months </t>
  </si>
  <si>
    <t xml:space="preserve">Aurbindo Pharma </t>
  </si>
  <si>
    <t>Aurbindo Return</t>
  </si>
  <si>
    <t>Stress-test assumptions: 66% exposed revenue (Lupin's non-India export sales - North America, EMEA, Growth Markets), 2.5% baseline freight cost as % of exposed revenue, +30% moderate freight shock, +100% severe freight shock (same global freight-rate range observed in 2023-24), 20% tax rate.</t>
  </si>
  <si>
    <t>LUPIN LIMITED</t>
  </si>
  <si>
    <t>Lupin Return</t>
  </si>
  <si>
    <t>CLOSE</t>
  </si>
  <si>
    <t>EPS (₹)</t>
  </si>
  <si>
    <t>Implied Share Price (₹) [constant P/E]</t>
  </si>
  <si>
    <t>Current Market Price (₹)</t>
  </si>
  <si>
    <t>% Change in Share Price vs Base</t>
  </si>
  <si>
    <t>Shares Outstanding (Cr)</t>
  </si>
  <si>
    <t>Implied Market Cap (₹ Cr)</t>
  </si>
  <si>
    <t>Total</t>
  </si>
  <si>
    <t>Current EPS (₹)</t>
  </si>
  <si>
    <t>Current P/E (x)</t>
  </si>
  <si>
    <t>RISK MITIGATION STRATEGY (Section 4) — LUPIN</t>
  </si>
  <si>
    <t>What Lupin already does today (sourced from its Integrated Report 2024-25) vs. additional steps recommended, feeding directly into the Risk-o-Meter Before/After scores below.</t>
  </si>
  <si>
    <t>A) Current Mitigation (per Lupin Integrated Report 2024-25)</t>
  </si>
  <si>
    <t>• Currency risk: natural hedges + forex derivatives; treasury actively monitors exposure with "layered hedging strategies"</t>
  </si>
  <si>
    <t>• Governance: Board-level Risk Management Committee runs a "three lines of defense" Enterprise Risk Management framework, reviewed bi-annually</t>
  </si>
  <si>
    <t>• Supply chain: active import substitution strategy — reducing dependence on any single sourcing country (e.g., China) for key raw materials</t>
  </si>
  <si>
    <t>• Logistics: air-freight share cut from 34% (FY24) to 10% (FY25) of shipments — shifted to cheaper, more stable ocean freight</t>
  </si>
  <si>
    <t>B) Recommended Additional Steps</t>
  </si>
  <si>
    <t>• Lock in long-term fixed-price contracts for crude-linked raw materials (solvents, packaging) instead of relying only on FX hedges</t>
  </si>
  <si>
    <t>• Increase the % of USD revenue formally hedged, given renewed currency volatility</t>
  </si>
  <si>
    <t>• Accelerate the import-substitution program further/faster — heavy China-API dependence is still a flagged risk</t>
  </si>
  <si>
    <t>• Build a strategic buffer inventory of critical inputs ahead of known geopolitical flashpoints</t>
  </si>
  <si>
    <t>C) RISK-O-METER SCORING (1 = Low risk, 5 = Severe risk)</t>
  </si>
  <si>
    <t>Risk Factor</t>
  </si>
  <si>
    <t>Why this score</t>
  </si>
  <si>
    <t>Score – Before Mitigation</t>
  </si>
  <si>
    <t>Score – After Mitigation</t>
  </si>
  <si>
    <t>FX Exposure</t>
  </si>
  <si>
    <t>Partially hedged via natural hedges + forex derivatives (per current disclosure), but a meaningful slice of USD receivables/payables remains uncovered</t>
  </si>
  <si>
    <t>Import / Supply-Chain Dependency</t>
  </si>
  <si>
    <t>Import-substitution strategy is underway but not yet complete — still reliant on China-sourced intermediates for key APIs</t>
  </si>
  <si>
    <t>Freight / Cost Volatility</t>
  </si>
  <si>
    <t>Air-freight share already cut sharply (34%→10%), but crude-linked raw-material costs are still largely unhedged</t>
  </si>
  <si>
    <t>Beta / Valuation Sensitivity</t>
  </si>
  <si>
    <t>Market-driven (β=0.44 from the Risk_Metrics block, cell J12) — operational mitigation doesn't directly change this</t>
  </si>
  <si>
    <t>Average Score</t>
  </si>
  <si>
    <t>Risk Zone</t>
  </si>
  <si>
    <t>Scoring scale: 1.0–2.0 = Low · 2.0–3.0 = Moderate · 3.0–4.0 = High · 4.0–5.0 = Severe. These 4 factors and their weights are an analytical judgment call.</t>
  </si>
  <si>
    <t>BOARDROOM CRISIS — THE SURPRISE ELEMENT</t>
  </si>
  <si>
    <t>News: A new geopolitical escalation has caused crude oil to rise by 25%, the INR to depreciate by 3%, and the 10-year G-Sec yield to rise by 40 bps.</t>
  </si>
  <si>
    <t>Methodology: the crude/freight-cost leg is approximated using each company's own Moderate (~+30%) freight-cost stress scenario already built in its tab (freight and crude costs move together, so this keeps the estimate consistent with Section 3 rather than inventing a new model). The margin/PAT columns below capture this cost-side effect only. The FX and rate effects are layered in qualitatively (FX Effect column, and the Boardroom Call) based on each company's disclosed import/export mix (from the Section-2 classification) and its beta — they are not separately quantified here, since a 1-2 slide boardroom reaction is about judgment and direction, not a full second model.</t>
  </si>
  <si>
    <t>SECTION 1 — CURRENT vs. AFTER-SHOCK COMPARISON (cost-side effect only; see FX Effect column for the other leg)</t>
  </si>
  <si>
    <t>Current Price (₹)</t>
  </si>
  <si>
    <t>EBITDA Margin – Now</t>
  </si>
  <si>
    <t>EBITDA Margin – After Shock</t>
  </si>
  <si>
    <t>PAT Margin – Now</t>
  </si>
  <si>
    <t>PAT Margin – After Shock</t>
  </si>
  <si>
    <t>Implied Price – After Shock (₹)</t>
  </si>
  <si>
    <t>% Price Change</t>
  </si>
  <si>
    <t>FX Effect (qualitative)</t>
  </si>
  <si>
    <t>Boardroom Call</t>
  </si>
  <si>
    <t>Tailwind — large US/Israel (Taro) dollar revenue</t>
  </si>
  <si>
    <t>Hold/Buy — no hedge urgency</t>
  </si>
  <si>
    <t>Neutral — low import dependency, muted US exposure</t>
  </si>
  <si>
    <t>Hold — no urgent action</t>
  </si>
  <si>
    <t>Mild tailwind — moderate US-generics exposure</t>
  </si>
  <si>
    <t>Hold — monitor only</t>
  </si>
  <si>
    <t>Dr. Reddy</t>
  </si>
  <si>
    <t>Roughly neutral — natural hedge (imports API + exports formulations)</t>
  </si>
  <si>
    <t>Hold — hedge if disruption turns structural</t>
  </si>
  <si>
    <t>Partial tailwind — large US book, but tender pricing blocks pass-through</t>
  </si>
  <si>
    <t>Reduce/Hedge — hedge crude-linked cost via forwards</t>
  </si>
  <si>
    <t>Two-way exposure magnified by highest beta in the group</t>
  </si>
  <si>
    <t>Reduce — highest-priority name to trim/hedge first</t>
  </si>
  <si>
    <t>SECTION 2 — COMPANY-BY-COMPANY BOARDROOM READ ("Now → Shock → Then")</t>
  </si>
  <si>
    <t>Now</t>
  </si>
  <si>
    <t>Shock Transmission</t>
  </si>
  <si>
    <t>Then (New Position)</t>
  </si>
  <si>
    <t>Near-zero beta (0.03); strongest margins of the group.</t>
  </si>
  <si>
    <t>Taro (Israel/US) manufacturing bypasses Indian sea-freight, so the crude leg barely touches it; large dollar revenue means the 3% INR move is a straight tailwind.</t>
  </si>
  <si>
    <t>Barely dented — margins hold close to current levels.</t>
  </si>
  <si>
    <t>Low beta (0.31); &gt;45% domestic revenue.</t>
  </si>
  <si>
    <t>Low API import dependency keeps the cost leg mild; muted US exposure makes the FX move close to a wash.</t>
  </si>
  <si>
    <t>Marginal compression only (~10 bps on EBITDA margin).</t>
  </si>
  <si>
    <t>Moderate beta (0.55); diversified into specialty/wellness.</t>
  </si>
  <si>
    <t>Moderate US-generics exposure gives a small FX cushion; cost exposure is limited and already offset by diversification.</t>
  </si>
  <si>
    <t>Very mild compression.</t>
  </si>
  <si>
    <t>Beta 0.56; diversified geography (US/EU/Russia-CIS/India).</t>
  </si>
  <si>
    <t>Natural hedge: imports API (hurt by weak INR) AND exports formulations (helped by weak INR) — FX effect roughly cancels; still eats the cost hit on both legs.</t>
  </si>
  <si>
    <t>Mild margin compression, cushioned by the FX balance.</t>
  </si>
  <si>
    <t>Beta 0.44; lowest margins of the six (9.8% PAT margin); highest cost-exposed revenue base (66%).</t>
  </si>
  <si>
    <t>Large US export book gives some FX tailwind, but regulated/tender pricing means it cannot pass the cost increase through quickly.</t>
  </si>
  <si>
    <t>Clearest pressure in the group — EBITDA margin 20.0%→19.5%, implied price down ~4.0% to ≈₹1,926.</t>
  </si>
  <si>
    <t>Highest beta (0.73) — most sensitive to the rate-driven valuation squeeze too.</t>
  </si>
  <si>
    <t>"Heaviest combined exposure" — large API imports (hurt) AND large US exports (helped), but the highest beta squeezes valuation hardest on top.</t>
  </si>
  <si>
    <t>Weakest post-shock position of the six, on both margins and valuation sensitivity.</t>
  </si>
  <si>
    <r>
      <t>LUPIN:</t>
    </r>
    <r>
      <rPr>
        <sz val="11"/>
        <color rgb="FF000000"/>
        <rFont val="Calibri"/>
        <family val="2"/>
      </rPr>
      <t xml:space="preserve"> NSE historical 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</si>
</sst>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409]d\-mmm\-yy;@"/>
    <numFmt numFmtId="165" formatCode="#,##0.000"/>
    <numFmt numFmtId="166" formatCode="0.000%"/>
    <numFmt numFmtId="167" formatCode="0.0000%"/>
    <numFmt numFmtId="168" formatCode="0.000000"/>
    <numFmt numFmtId="169" formatCode="0.000"/>
    <numFmt numFmtId="170" formatCode="0.00000"/>
    <numFmt numFmtId="171" formatCode="0.000000000"/>
    <numFmt numFmtId="172" formatCode="#,##0.0000"/>
    <numFmt numFmtId="173" formatCode="0.0000"/>
    <numFmt numFmtId="174" formatCode="0.0000E+00"/>
    <numFmt numFmtId="175" formatCode="0.0%"/>
    <numFmt numFmtId="176" formatCode="0.0000000000"/>
  </numFmts>
  <fonts count="31">
    <font>
      <sz val="11"/>
      <color theme="1"/>
      <name val="Calibri"/>
      <family val="2"/>
      <scheme val="minor"/>
    </font>
    <font>
      <sz val="11"/>
      <color rgb="FF000000"/>
      <name val="Calibri"/>
      <family val="2"/>
    </font>
    <font>
      <b/>
      <sz val="11"/>
      <color theme="1"/>
      <name val="Calibri"/>
      <family val="2"/>
      <scheme val="minor"/>
    </font>
    <font>
      <b/>
      <sz val="11"/>
      <color rgb="FF000000"/>
      <name val="Calibri"/>
      <family val="2"/>
    </font>
    <font>
      <sz val="11"/>
      <color rgb="FF000000"/>
      <name val="Aptos Narrow"/>
      <family val="2"/>
    </font>
    <font>
      <b/>
      <sz val="11"/>
      <color rgb="FF000000"/>
      <name val="Calibri"/>
      <family val="2"/>
      <scheme val="minor"/>
    </font>
    <font>
      <sz val="11"/>
      <color rgb="FF000000"/>
      <name val="Calibri"/>
      <family val="2"/>
      <scheme val="minor"/>
    </font>
    <font>
      <b/>
      <sz val="10"/>
      <color theme="1"/>
      <name val="Calibri"/>
      <family val="2"/>
    </font>
    <font>
      <sz val="10"/>
      <color theme="1"/>
      <name val="Calibri"/>
      <family val="2"/>
    </font>
    <font>
      <b/>
      <sz val="11"/>
      <color rgb="FF000000"/>
      <name val="Aptos Narrow"/>
      <family val="2"/>
    </font>
    <font>
      <sz val="11"/>
      <color rgb="FF242424"/>
      <name val="Aptos Narrow"/>
      <family val="2"/>
    </font>
    <font>
      <sz val="9"/>
      <color rgb="FF000000"/>
      <name val="Calibri"/>
      <family val="2"/>
      <scheme val="minor"/>
    </font>
    <font>
      <sz val="9"/>
      <color rgb="FF000000"/>
      <name val="Calibri"/>
      <family val="2"/>
    </font>
    <font>
      <b/>
      <sz val="9"/>
      <color rgb="FF000000"/>
      <name val="Calibri"/>
      <family val="2"/>
    </font>
    <font>
      <b/>
      <sz val="13.5"/>
      <color theme="1"/>
      <name val="Calibri"/>
      <family val="2"/>
      <scheme val="minor"/>
    </font>
    <font>
      <b/>
      <sz val="16"/>
      <color theme="1"/>
      <name val="Calibri"/>
      <family val="2"/>
      <scheme val="minor"/>
    </font>
    <font>
      <b/>
      <sz val="10"/>
      <color rgb="FF0B0B0B"/>
      <name val="Anthropic-Mono"/>
      <charset val="1"/>
    </font>
    <font>
      <b/>
      <sz val="16"/>
      <color rgb="FF0B0B0B"/>
      <name val="Anthropic-Mono"/>
      <charset val="1"/>
    </font>
    <font>
      <b/>
      <sz val="12"/>
      <color theme="1"/>
      <name val="Calibri"/>
      <family val="2"/>
      <scheme val="minor"/>
    </font>
    <font>
      <b/>
      <sz val="14"/>
      <color rgb="FF000000"/>
      <name val="Calibri"/>
      <family val="2"/>
    </font>
    <font>
      <b/>
      <sz val="14"/>
      <color theme="1"/>
      <name val="Calibri"/>
      <family val="2"/>
      <scheme val="minor"/>
    </font>
    <font>
      <sz val="14"/>
      <color rgb="FF000000"/>
      <name val="Calibri"/>
      <family val="2"/>
    </font>
    <font>
      <sz val="14"/>
      <color theme="1"/>
      <name val="Calibri"/>
      <family val="2"/>
      <scheme val="minor"/>
    </font>
    <font>
      <b/>
      <sz val="14"/>
      <name val="Calibri"/>
      <family val="2"/>
    </font>
    <font>
      <b/>
      <sz val="11"/>
      <name val="Calibri"/>
      <family val="2"/>
    </font>
    <font>
      <sz val="11"/>
      <name val="Calibri"/>
      <family val="2"/>
    </font>
    <font>
      <b/>
      <sz val="11"/>
      <color rgb="FFFFFFFF"/>
      <name val="Calibri"/>
      <family val="2"/>
    </font>
    <font>
      <b/>
      <sz val="12"/>
      <name val="Calibri"/>
      <family val="2"/>
    </font>
    <font>
      <i/>
      <sz val="10"/>
      <color rgb="FF555555"/>
      <name val="Calibri"/>
      <family val="2"/>
    </font>
    <font>
      <i/>
      <sz val="10"/>
      <name val="Calibri"/>
      <family val="2"/>
    </font>
    <font>
      <sz val="10"/>
      <name val="Calibri"/>
      <family val="2"/>
    </font>
  </fonts>
  <fills count="12">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rgb="FFFFFFFF"/>
        <bgColor indexed="64"/>
      </patternFill>
    </fill>
    <fill>
      <patternFill patternType="solid">
        <fgColor theme="4" tint="0.39997558519241921"/>
        <bgColor indexed="64"/>
      </patternFill>
    </fill>
    <fill>
      <patternFill patternType="solid">
        <fgColor rgb="FF1F3864"/>
        <bgColor rgb="FF333399"/>
      </patternFill>
    </fill>
    <fill>
      <patternFill patternType="solid">
        <fgColor rgb="FFE2EFDA"/>
        <bgColor rgb="FFDEEBF7"/>
      </patternFill>
    </fill>
    <fill>
      <patternFill patternType="solid">
        <fgColor rgb="FFFFF2CC"/>
        <bgColor rgb="FFFBE5D6"/>
      </patternFill>
    </fill>
    <fill>
      <patternFill patternType="solid">
        <fgColor rgb="FFFCE4D6"/>
        <bgColor rgb="FFFBE5D6"/>
      </patternFill>
    </fill>
    <fill>
      <patternFill patternType="solid">
        <fgColor theme="4" tint="0.39997558519241921"/>
        <bgColor rgb="FF333399"/>
      </patternFill>
    </fill>
  </fills>
  <borders count="27">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50">
    <xf numFmtId="0" fontId="0" fillId="0" borderId="0" xfId="0"/>
    <xf numFmtId="0" fontId="1" fillId="0" borderId="0" xfId="0" applyFont="1"/>
    <xf numFmtId="15" fontId="1" fillId="0" borderId="0" xfId="0" applyNumberFormat="1" applyFont="1"/>
    <xf numFmtId="4" fontId="1" fillId="0" borderId="0" xfId="0" applyNumberFormat="1" applyFont="1"/>
    <xf numFmtId="0" fontId="2" fillId="0" borderId="0" xfId="0" applyFont="1"/>
    <xf numFmtId="0" fontId="3" fillId="0" borderId="0" xfId="0" applyFont="1"/>
    <xf numFmtId="14" fontId="4" fillId="0" borderId="0" xfId="0" applyNumberFormat="1" applyFont="1"/>
    <xf numFmtId="4" fontId="4" fillId="0" borderId="0" xfId="0" applyNumberFormat="1" applyFont="1"/>
    <xf numFmtId="164" fontId="4" fillId="0" borderId="0" xfId="0" applyNumberFormat="1" applyFont="1"/>
    <xf numFmtId="0" fontId="5" fillId="0" borderId="0" xfId="0" applyFont="1"/>
    <xf numFmtId="15" fontId="8" fillId="0" borderId="3" xfId="0" applyNumberFormat="1" applyFont="1" applyBorder="1"/>
    <xf numFmtId="15" fontId="8" fillId="0" borderId="4" xfId="0" applyNumberFormat="1" applyFont="1" applyBorder="1"/>
    <xf numFmtId="0" fontId="7" fillId="0" borderId="1" xfId="0" applyFont="1" applyBorder="1"/>
    <xf numFmtId="0" fontId="7" fillId="0" borderId="2" xfId="0" applyFont="1" applyBorder="1"/>
    <xf numFmtId="0" fontId="7" fillId="0" borderId="2" xfId="0" quotePrefix="1" applyFont="1" applyBorder="1"/>
    <xf numFmtId="0" fontId="9" fillId="0" borderId="0" xfId="0" applyFont="1"/>
    <xf numFmtId="10" fontId="0" fillId="0" borderId="0" xfId="0" applyNumberFormat="1"/>
    <xf numFmtId="10" fontId="1" fillId="0" borderId="0" xfId="0" applyNumberFormat="1" applyFont="1"/>
    <xf numFmtId="164" fontId="4" fillId="2" borderId="0" xfId="0" applyNumberFormat="1" applyFont="1" applyFill="1"/>
    <xf numFmtId="10" fontId="0" fillId="2" borderId="0" xfId="0" applyNumberFormat="1" applyFill="1"/>
    <xf numFmtId="0" fontId="1" fillId="2" borderId="0" xfId="0" applyFont="1" applyFill="1"/>
    <xf numFmtId="10" fontId="1" fillId="2" borderId="0" xfId="0" applyNumberFormat="1" applyFont="1" applyFill="1"/>
    <xf numFmtId="0" fontId="3" fillId="0" borderId="0" xfId="0" applyFont="1" applyAlignment="1">
      <alignment wrapText="1"/>
    </xf>
    <xf numFmtId="0" fontId="1" fillId="0" borderId="0" xfId="0" applyFont="1" applyAlignment="1">
      <alignment wrapText="1"/>
    </xf>
    <xf numFmtId="4" fontId="1" fillId="2" borderId="0" xfId="0" applyNumberFormat="1" applyFont="1" applyFill="1"/>
    <xf numFmtId="10" fontId="0" fillId="3" borderId="5" xfId="0" applyNumberFormat="1" applyFill="1" applyBorder="1"/>
    <xf numFmtId="10" fontId="1" fillId="3" borderId="5" xfId="0" applyNumberFormat="1" applyFont="1" applyFill="1" applyBorder="1"/>
    <xf numFmtId="0" fontId="3" fillId="0" borderId="5" xfId="0" applyFont="1" applyBorder="1" applyAlignment="1">
      <alignment wrapText="1"/>
    </xf>
    <xf numFmtId="0" fontId="1" fillId="0" borderId="5" xfId="0" applyFont="1" applyBorder="1" applyAlignment="1">
      <alignment wrapText="1"/>
    </xf>
    <xf numFmtId="15" fontId="1" fillId="0" borderId="5" xfId="0" applyNumberFormat="1" applyFont="1" applyBorder="1" applyAlignment="1">
      <alignment wrapText="1"/>
    </xf>
    <xf numFmtId="15" fontId="3" fillId="0" borderId="5" xfId="0" applyNumberFormat="1" applyFont="1" applyBorder="1" applyAlignment="1">
      <alignment wrapText="1"/>
    </xf>
    <xf numFmtId="166" fontId="1" fillId="3" borderId="5" xfId="0" applyNumberFormat="1" applyFont="1" applyFill="1" applyBorder="1"/>
    <xf numFmtId="9" fontId="0" fillId="0" borderId="0" xfId="0" applyNumberFormat="1"/>
    <xf numFmtId="0" fontId="0" fillId="0" borderId="0" xfId="0" quotePrefix="1"/>
    <xf numFmtId="165" fontId="1" fillId="0" borderId="0" xfId="0" applyNumberFormat="1" applyFont="1"/>
    <xf numFmtId="3" fontId="0" fillId="0" borderId="0" xfId="0" applyNumberFormat="1"/>
    <xf numFmtId="4" fontId="10" fillId="0" borderId="0" xfId="0" applyNumberFormat="1" applyFont="1"/>
    <xf numFmtId="15" fontId="1" fillId="0" borderId="0" xfId="0" applyNumberFormat="1" applyFont="1" applyAlignment="1">
      <alignment wrapText="1"/>
    </xf>
    <xf numFmtId="167" fontId="1" fillId="0" borderId="0" xfId="0" applyNumberFormat="1" applyFont="1" applyAlignment="1">
      <alignment wrapText="1"/>
    </xf>
    <xf numFmtId="15" fontId="3" fillId="0" borderId="0" xfId="0" applyNumberFormat="1" applyFont="1" applyAlignment="1">
      <alignment wrapText="1"/>
    </xf>
    <xf numFmtId="168" fontId="0" fillId="0" borderId="5" xfId="0" applyNumberFormat="1" applyBorder="1" applyAlignment="1">
      <alignment vertical="center"/>
    </xf>
    <xf numFmtId="10" fontId="0" fillId="0" borderId="5" xfId="0" applyNumberFormat="1" applyBorder="1" applyAlignment="1">
      <alignment vertical="center"/>
    </xf>
    <xf numFmtId="10" fontId="0" fillId="2" borderId="5" xfId="0" applyNumberFormat="1" applyFill="1" applyBorder="1" applyAlignment="1">
      <alignment vertical="center"/>
    </xf>
    <xf numFmtId="0" fontId="0" fillId="0" borderId="5" xfId="0" applyBorder="1" applyAlignment="1">
      <alignment vertical="center"/>
    </xf>
    <xf numFmtId="171" fontId="0" fillId="0" borderId="0" xfId="0" applyNumberFormat="1"/>
    <xf numFmtId="0" fontId="0" fillId="0" borderId="0" xfId="0" applyAlignment="1">
      <alignment horizontal="center"/>
    </xf>
    <xf numFmtId="173" fontId="4" fillId="0" borderId="0" xfId="0" applyNumberFormat="1" applyFont="1"/>
    <xf numFmtId="9" fontId="0" fillId="0" borderId="0" xfId="0" applyNumberFormat="1" applyAlignment="1">
      <alignment horizontal="center"/>
    </xf>
    <xf numFmtId="0" fontId="0" fillId="0" borderId="0" xfId="0" quotePrefix="1" applyAlignment="1">
      <alignment horizontal="center"/>
    </xf>
    <xf numFmtId="0" fontId="4" fillId="0" borderId="5" xfId="0" applyFont="1" applyBorder="1"/>
    <xf numFmtId="164" fontId="4" fillId="0" borderId="5" xfId="0" applyNumberFormat="1" applyFont="1" applyBorder="1"/>
    <xf numFmtId="4" fontId="4" fillId="0" borderId="5" xfId="0" applyNumberFormat="1" applyFont="1" applyBorder="1"/>
    <xf numFmtId="169" fontId="0" fillId="0" borderId="5" xfId="0" applyNumberFormat="1" applyBorder="1"/>
    <xf numFmtId="169" fontId="1" fillId="0" borderId="5" xfId="0" applyNumberFormat="1" applyFont="1" applyBorder="1"/>
    <xf numFmtId="173" fontId="0" fillId="0" borderId="5" xfId="0" applyNumberFormat="1" applyBorder="1"/>
    <xf numFmtId="169" fontId="4" fillId="0" borderId="5" xfId="0" applyNumberFormat="1" applyFont="1" applyBorder="1"/>
    <xf numFmtId="0" fontId="9" fillId="0" borderId="5" xfId="0" applyFont="1" applyBorder="1"/>
    <xf numFmtId="0" fontId="3" fillId="0" borderId="5" xfId="0" applyFont="1" applyBorder="1"/>
    <xf numFmtId="164" fontId="4" fillId="4" borderId="5" xfId="0" applyNumberFormat="1" applyFont="1" applyFill="1" applyBorder="1"/>
    <xf numFmtId="4" fontId="4" fillId="4" borderId="5" xfId="0" applyNumberFormat="1" applyFont="1" applyFill="1" applyBorder="1"/>
    <xf numFmtId="169" fontId="0" fillId="4" borderId="5" xfId="0" applyNumberFormat="1" applyFill="1" applyBorder="1"/>
    <xf numFmtId="169" fontId="1" fillId="4" borderId="5" xfId="0" applyNumberFormat="1" applyFont="1" applyFill="1" applyBorder="1"/>
    <xf numFmtId="173" fontId="0" fillId="4" borderId="5" xfId="0" applyNumberFormat="1" applyFill="1" applyBorder="1"/>
    <xf numFmtId="169" fontId="4" fillId="4" borderId="5" xfId="0" applyNumberFormat="1" applyFont="1" applyFill="1" applyBorder="1"/>
    <xf numFmtId="173" fontId="4" fillId="0" borderId="5" xfId="0" applyNumberFormat="1" applyFont="1" applyBorder="1"/>
    <xf numFmtId="173" fontId="0" fillId="0" borderId="7" xfId="0" applyNumberFormat="1" applyBorder="1"/>
    <xf numFmtId="173" fontId="0" fillId="4" borderId="7" xfId="0" applyNumberFormat="1" applyFill="1" applyBorder="1"/>
    <xf numFmtId="10" fontId="0" fillId="0" borderId="5" xfId="0" applyNumberFormat="1" applyBorder="1"/>
    <xf numFmtId="4" fontId="0" fillId="0" borderId="5" xfId="0" applyNumberFormat="1" applyBorder="1"/>
    <xf numFmtId="9" fontId="0" fillId="0" borderId="5" xfId="0" applyNumberFormat="1" applyBorder="1"/>
    <xf numFmtId="0" fontId="2" fillId="0" borderId="6" xfId="0" applyFont="1" applyBorder="1"/>
    <xf numFmtId="0" fontId="2" fillId="0" borderId="14" xfId="0" applyFont="1" applyBorder="1"/>
    <xf numFmtId="0" fontId="7" fillId="0" borderId="0" xfId="0" quotePrefix="1" applyFont="1" applyAlignment="1">
      <alignment wrapText="1"/>
    </xf>
    <xf numFmtId="15" fontId="8" fillId="0" borderId="0" xfId="0" applyNumberFormat="1" applyFont="1"/>
    <xf numFmtId="0" fontId="7" fillId="0" borderId="0" xfId="0" applyFont="1" applyAlignment="1">
      <alignment wrapText="1"/>
    </xf>
    <xf numFmtId="0" fontId="11" fillId="0" borderId="0" xfId="0" applyFont="1" applyAlignment="1">
      <alignment vertical="top" wrapText="1"/>
    </xf>
    <xf numFmtId="0" fontId="12" fillId="5" borderId="0" xfId="0" applyFont="1" applyFill="1"/>
    <xf numFmtId="0" fontId="13" fillId="0" borderId="0" xfId="0" applyFont="1"/>
    <xf numFmtId="0" fontId="14" fillId="0" borderId="0" xfId="0" applyFont="1" applyAlignment="1">
      <alignment readingOrder="1"/>
    </xf>
    <xf numFmtId="0" fontId="0" fillId="0" borderId="0" xfId="0" applyAlignment="1">
      <alignment readingOrder="1"/>
    </xf>
    <xf numFmtId="0" fontId="2" fillId="0" borderId="0" xfId="0" applyFont="1" applyAlignment="1">
      <alignment readingOrder="1"/>
    </xf>
    <xf numFmtId="0" fontId="15" fillId="0" borderId="0" xfId="0" applyFont="1"/>
    <xf numFmtId="0" fontId="16" fillId="0" borderId="0" xfId="0" applyFont="1"/>
    <xf numFmtId="0" fontId="17" fillId="5" borderId="0" xfId="0" applyFont="1" applyFill="1"/>
    <xf numFmtId="0" fontId="0" fillId="0" borderId="0" xfId="0" applyAlignment="1">
      <alignment vertical="top" wrapText="1" readingOrder="1"/>
    </xf>
    <xf numFmtId="4" fontId="2" fillId="0" borderId="0" xfId="0" applyNumberFormat="1" applyFont="1"/>
    <xf numFmtId="4" fontId="0" fillId="0" borderId="0" xfId="0" applyNumberFormat="1"/>
    <xf numFmtId="10" fontId="2" fillId="0" borderId="0" xfId="0" applyNumberFormat="1" applyFont="1"/>
    <xf numFmtId="10" fontId="0" fillId="0" borderId="0" xfId="0" applyNumberFormat="1" applyAlignment="1">
      <alignment horizontal="center"/>
    </xf>
    <xf numFmtId="169" fontId="0" fillId="0" borderId="0" xfId="0" applyNumberFormat="1" applyAlignment="1">
      <alignment horizontal="center"/>
    </xf>
    <xf numFmtId="0" fontId="1" fillId="0" borderId="5" xfId="0" applyFont="1" applyBorder="1" applyAlignment="1">
      <alignment horizontal="center" vertical="center"/>
    </xf>
    <xf numFmtId="168" fontId="1" fillId="0" borderId="0" xfId="0" applyNumberFormat="1" applyFont="1"/>
    <xf numFmtId="15" fontId="1" fillId="0" borderId="5" xfId="0" applyNumberFormat="1" applyFont="1" applyBorder="1" applyAlignment="1">
      <alignment vertical="center"/>
    </xf>
    <xf numFmtId="0" fontId="1" fillId="0" borderId="5" xfId="0" applyFont="1" applyBorder="1" applyAlignment="1">
      <alignment vertical="center"/>
    </xf>
    <xf numFmtId="168" fontId="1" fillId="0" borderId="5" xfId="0" applyNumberFormat="1" applyFont="1" applyBorder="1" applyAlignment="1">
      <alignment vertical="center"/>
    </xf>
    <xf numFmtId="4" fontId="1" fillId="0" borderId="5" xfId="0" applyNumberFormat="1" applyFont="1" applyBorder="1" applyAlignment="1">
      <alignment vertical="center"/>
    </xf>
    <xf numFmtId="4" fontId="1" fillId="2" borderId="5" xfId="0" applyNumberFormat="1" applyFont="1" applyFill="1" applyBorder="1" applyAlignment="1">
      <alignment vertical="center"/>
    </xf>
    <xf numFmtId="0" fontId="0" fillId="0" borderId="17" xfId="0" applyBorder="1"/>
    <xf numFmtId="0" fontId="2" fillId="6" borderId="17" xfId="0" applyFont="1" applyFill="1" applyBorder="1"/>
    <xf numFmtId="169" fontId="0" fillId="0" borderId="17" xfId="0" applyNumberFormat="1" applyBorder="1"/>
    <xf numFmtId="2" fontId="0" fillId="0" borderId="17" xfId="0" applyNumberFormat="1" applyBorder="1"/>
    <xf numFmtId="10" fontId="1" fillId="0" borderId="0" xfId="0" applyNumberFormat="1" applyFont="1" applyAlignment="1">
      <alignment wrapText="1"/>
    </xf>
    <xf numFmtId="15" fontId="1" fillId="0" borderId="0" xfId="0" applyNumberFormat="1" applyFont="1" applyAlignment="1">
      <alignment horizontal="center" wrapText="1"/>
    </xf>
    <xf numFmtId="15" fontId="3" fillId="0" borderId="0" xfId="0" applyNumberFormat="1" applyFont="1" applyAlignment="1">
      <alignment horizontal="center" wrapText="1"/>
    </xf>
    <xf numFmtId="0" fontId="1" fillId="0" borderId="0" xfId="0" applyFont="1" applyAlignment="1">
      <alignment horizontal="center" wrapText="1"/>
    </xf>
    <xf numFmtId="10" fontId="1" fillId="0" borderId="0" xfId="0" applyNumberFormat="1" applyFont="1" applyAlignment="1">
      <alignment horizontal="center" wrapText="1"/>
    </xf>
    <xf numFmtId="168" fontId="1" fillId="0" borderId="0" xfId="0" applyNumberFormat="1" applyFont="1" applyAlignment="1">
      <alignment horizontal="center"/>
    </xf>
    <xf numFmtId="168" fontId="0" fillId="0" borderId="5" xfId="0" applyNumberFormat="1" applyBorder="1" applyAlignment="1">
      <alignment horizontal="center" vertical="center"/>
    </xf>
    <xf numFmtId="173" fontId="0" fillId="0" borderId="17" xfId="0" applyNumberFormat="1" applyBorder="1"/>
    <xf numFmtId="174" fontId="0" fillId="0" borderId="17" xfId="0" applyNumberFormat="1" applyBorder="1"/>
    <xf numFmtId="15" fontId="1" fillId="0" borderId="17" xfId="0" applyNumberFormat="1" applyFont="1" applyBorder="1" applyAlignment="1">
      <alignment wrapText="1"/>
    </xf>
    <xf numFmtId="0" fontId="2" fillId="0" borderId="17" xfId="0" applyFont="1" applyBorder="1"/>
    <xf numFmtId="173" fontId="2" fillId="0" borderId="17" xfId="0" applyNumberFormat="1" applyFont="1" applyBorder="1"/>
    <xf numFmtId="174" fontId="0" fillId="0" borderId="18" xfId="0" applyNumberFormat="1" applyBorder="1"/>
    <xf numFmtId="173" fontId="0" fillId="0" borderId="18" xfId="0" applyNumberFormat="1" applyBorder="1"/>
    <xf numFmtId="0" fontId="2" fillId="0" borderId="0" xfId="0" applyFont="1" applyAlignment="1">
      <alignment wrapText="1"/>
    </xf>
    <xf numFmtId="0" fontId="0" fillId="0" borderId="0" xfId="0" applyAlignment="1">
      <alignment horizontal="center" wrapText="1"/>
    </xf>
    <xf numFmtId="0" fontId="0" fillId="0" borderId="18" xfId="0" applyBorder="1"/>
    <xf numFmtId="169" fontId="1" fillId="0" borderId="0" xfId="0" applyNumberFormat="1" applyFont="1"/>
    <xf numFmtId="172" fontId="1" fillId="0" borderId="0" xfId="0" applyNumberFormat="1" applyFont="1"/>
    <xf numFmtId="14" fontId="1" fillId="0" borderId="0" xfId="0" applyNumberFormat="1" applyFont="1"/>
    <xf numFmtId="0" fontId="3" fillId="0" borderId="6" xfId="0" applyFont="1" applyBorder="1" applyAlignment="1">
      <alignment wrapText="1"/>
    </xf>
    <xf numFmtId="15" fontId="1" fillId="0" borderId="7" xfId="0" applyNumberFormat="1" applyFont="1" applyBorder="1" applyAlignment="1">
      <alignment wrapText="1"/>
    </xf>
    <xf numFmtId="167" fontId="1" fillId="0" borderId="5" xfId="0" applyNumberFormat="1" applyFont="1" applyBorder="1" applyAlignment="1">
      <alignment wrapText="1"/>
    </xf>
    <xf numFmtId="15" fontId="3" fillId="0" borderId="7" xfId="0" applyNumberFormat="1" applyFont="1" applyBorder="1" applyAlignment="1">
      <alignment wrapText="1"/>
    </xf>
    <xf numFmtId="170" fontId="1" fillId="0" borderId="0" xfId="0" applyNumberFormat="1" applyFont="1"/>
    <xf numFmtId="15" fontId="1" fillId="0" borderId="17" xfId="0" applyNumberFormat="1" applyFont="1" applyBorder="1"/>
    <xf numFmtId="0" fontId="0" fillId="0" borderId="0" xfId="0" applyAlignment="1">
      <alignment vertical="top" wrapText="1"/>
    </xf>
    <xf numFmtId="0" fontId="6" fillId="0" borderId="0" xfId="0" applyFont="1" applyAlignment="1">
      <alignment vertical="top" wrapText="1"/>
    </xf>
    <xf numFmtId="0" fontId="2" fillId="0" borderId="15" xfId="0" applyFont="1" applyBorder="1" applyAlignment="1">
      <alignment wrapText="1"/>
    </xf>
    <xf numFmtId="175" fontId="0" fillId="0" borderId="5" xfId="0" applyNumberFormat="1" applyBorder="1"/>
    <xf numFmtId="0" fontId="2" fillId="0" borderId="0" xfId="0" applyFont="1" applyAlignment="1">
      <alignment horizontal="center" vertical="top" wrapText="1"/>
    </xf>
    <xf numFmtId="0" fontId="1" fillId="0" borderId="0" xfId="0" applyFont="1" applyAlignment="1">
      <alignment horizontal="center"/>
    </xf>
    <xf numFmtId="0" fontId="1" fillId="0" borderId="5" xfId="0" applyFont="1" applyBorder="1"/>
    <xf numFmtId="15" fontId="1" fillId="0" borderId="5" xfId="0" applyNumberFormat="1" applyFont="1" applyBorder="1"/>
    <xf numFmtId="4" fontId="1" fillId="0" borderId="5" xfId="0" applyNumberFormat="1" applyFont="1" applyBorder="1"/>
    <xf numFmtId="4" fontId="1" fillId="2" borderId="5" xfId="0" applyNumberFormat="1" applyFont="1" applyFill="1" applyBorder="1"/>
    <xf numFmtId="10" fontId="0" fillId="2" borderId="5" xfId="0" applyNumberFormat="1" applyFill="1" applyBorder="1"/>
    <xf numFmtId="176" fontId="1" fillId="0" borderId="0" xfId="0" applyNumberFormat="1" applyFont="1"/>
    <xf numFmtId="0" fontId="2" fillId="6" borderId="5" xfId="0" applyFont="1" applyFill="1" applyBorder="1"/>
    <xf numFmtId="2" fontId="0" fillId="0" borderId="5" xfId="0" applyNumberFormat="1" applyBorder="1"/>
    <xf numFmtId="0" fontId="2" fillId="0" borderId="0" xfId="0" applyFont="1" applyAlignment="1">
      <alignment vertical="center" wrapText="1"/>
    </xf>
    <xf numFmtId="0" fontId="2" fillId="0" borderId="0" xfId="0" applyFont="1" applyAlignment="1">
      <alignment vertical="top" wrapText="1"/>
    </xf>
    <xf numFmtId="0" fontId="15" fillId="0" borderId="0" xfId="0" applyFont="1" applyAlignment="1">
      <alignment vertical="center" wrapText="1"/>
    </xf>
    <xf numFmtId="0" fontId="19" fillId="6" borderId="0" xfId="0" applyFont="1" applyFill="1" applyAlignment="1">
      <alignment wrapText="1"/>
    </xf>
    <xf numFmtId="0" fontId="19" fillId="6" borderId="5" xfId="0" applyFont="1" applyFill="1" applyBorder="1" applyAlignment="1">
      <alignment wrapText="1"/>
    </xf>
    <xf numFmtId="0" fontId="20" fillId="6" borderId="0" xfId="0" applyFont="1" applyFill="1"/>
    <xf numFmtId="0" fontId="20" fillId="6" borderId="5" xfId="0" applyFont="1" applyFill="1" applyBorder="1"/>
    <xf numFmtId="0" fontId="19" fillId="6" borderId="5" xfId="0" applyFont="1" applyFill="1" applyBorder="1" applyAlignment="1">
      <alignment horizontal="center"/>
    </xf>
    <xf numFmtId="0" fontId="19" fillId="6" borderId="5" xfId="0" applyFont="1" applyFill="1" applyBorder="1"/>
    <xf numFmtId="0" fontId="19" fillId="0" borderId="0" xfId="0" applyFont="1"/>
    <xf numFmtId="0" fontId="21" fillId="0" borderId="0" xfId="0" applyFont="1"/>
    <xf numFmtId="0" fontId="19" fillId="6" borderId="0" xfId="0" applyFont="1" applyFill="1"/>
    <xf numFmtId="0" fontId="22" fillId="6" borderId="0" xfId="0" applyFont="1" applyFill="1"/>
    <xf numFmtId="0" fontId="0" fillId="0" borderId="5" xfId="0" applyBorder="1"/>
    <xf numFmtId="0" fontId="2" fillId="0" borderId="5" xfId="0" applyFont="1" applyBorder="1"/>
    <xf numFmtId="0" fontId="23" fillId="0" borderId="0" xfId="0" applyFont="1"/>
    <xf numFmtId="0" fontId="24" fillId="0" borderId="0" xfId="0" applyFont="1"/>
    <xf numFmtId="0" fontId="26" fillId="7" borderId="1" xfId="0" applyFont="1" applyFill="1" applyBorder="1" applyAlignment="1">
      <alignment horizontal="center" vertical="center" wrapText="1"/>
    </xf>
    <xf numFmtId="0" fontId="25" fillId="8" borderId="1" xfId="0" applyFont="1" applyFill="1" applyBorder="1"/>
    <xf numFmtId="2" fontId="25" fillId="8" borderId="1" xfId="0" applyNumberFormat="1" applyFont="1" applyFill="1" applyBorder="1"/>
    <xf numFmtId="4" fontId="25" fillId="8" borderId="1" xfId="0" applyNumberFormat="1" applyFont="1" applyFill="1" applyBorder="1"/>
    <xf numFmtId="175" fontId="25" fillId="8" borderId="1" xfId="0" applyNumberFormat="1" applyFont="1" applyFill="1" applyBorder="1"/>
    <xf numFmtId="0" fontId="25" fillId="8" borderId="1" xfId="0" applyFont="1" applyFill="1" applyBorder="1" applyAlignment="1">
      <alignment vertical="top" wrapText="1"/>
    </xf>
    <xf numFmtId="0" fontId="25" fillId="9" borderId="1" xfId="0" applyFont="1" applyFill="1" applyBorder="1"/>
    <xf numFmtId="2" fontId="25" fillId="9" borderId="1" xfId="0" applyNumberFormat="1" applyFont="1" applyFill="1" applyBorder="1"/>
    <xf numFmtId="4" fontId="25" fillId="9" borderId="1" xfId="0" applyNumberFormat="1" applyFont="1" applyFill="1" applyBorder="1"/>
    <xf numFmtId="175" fontId="25" fillId="9" borderId="1" xfId="0" applyNumberFormat="1" applyFont="1" applyFill="1" applyBorder="1"/>
    <xf numFmtId="0" fontId="25" fillId="9" borderId="1" xfId="0" applyFont="1" applyFill="1" applyBorder="1" applyAlignment="1">
      <alignment vertical="top" wrapText="1"/>
    </xf>
    <xf numFmtId="0" fontId="25" fillId="10" borderId="1" xfId="0" applyFont="1" applyFill="1" applyBorder="1"/>
    <xf numFmtId="2" fontId="25" fillId="10" borderId="1" xfId="0" applyNumberFormat="1" applyFont="1" applyFill="1" applyBorder="1"/>
    <xf numFmtId="4" fontId="25" fillId="10" borderId="1" xfId="0" applyNumberFormat="1" applyFont="1" applyFill="1" applyBorder="1"/>
    <xf numFmtId="175" fontId="25" fillId="10" borderId="1" xfId="0" applyNumberFormat="1" applyFont="1" applyFill="1" applyBorder="1"/>
    <xf numFmtId="0" fontId="25" fillId="10" borderId="1" xfId="0" applyFont="1" applyFill="1" applyBorder="1" applyAlignment="1">
      <alignment vertical="top" wrapText="1"/>
    </xf>
    <xf numFmtId="0" fontId="26" fillId="7" borderId="1" xfId="0" applyFont="1" applyFill="1" applyBorder="1" applyAlignment="1">
      <alignment vertical="center" wrapText="1"/>
    </xf>
    <xf numFmtId="0" fontId="24" fillId="0" borderId="1" xfId="0" applyFont="1" applyBorder="1"/>
    <xf numFmtId="0" fontId="25" fillId="0" borderId="1" xfId="0" applyFont="1" applyBorder="1" applyAlignment="1">
      <alignment vertical="top" wrapText="1"/>
    </xf>
    <xf numFmtId="0" fontId="27" fillId="0" borderId="0" xfId="0" applyFont="1"/>
    <xf numFmtId="0" fontId="28" fillId="0" borderId="0" xfId="0" applyFont="1" applyAlignment="1">
      <alignment vertical="top" wrapText="1"/>
    </xf>
    <xf numFmtId="0" fontId="2" fillId="0" borderId="18" xfId="0" applyFont="1" applyBorder="1"/>
    <xf numFmtId="1" fontId="25" fillId="0" borderId="17" xfId="0" applyNumberFormat="1" applyFont="1" applyBorder="1" applyAlignment="1">
      <alignment horizontal="center"/>
    </xf>
    <xf numFmtId="0" fontId="24" fillId="0" borderId="17" xfId="0" applyFont="1" applyBorder="1"/>
    <xf numFmtId="2" fontId="24" fillId="0" borderId="17" xfId="0" applyNumberFormat="1" applyFont="1" applyBorder="1" applyAlignment="1">
      <alignment horizontal="center"/>
    </xf>
    <xf numFmtId="0" fontId="24" fillId="0" borderId="17" xfId="0" applyFont="1" applyBorder="1" applyAlignment="1">
      <alignment horizontal="center"/>
    </xf>
    <xf numFmtId="0" fontId="24" fillId="11" borderId="17" xfId="0" applyFont="1" applyFill="1" applyBorder="1" applyAlignment="1">
      <alignment horizontal="center" vertical="center" wrapText="1"/>
    </xf>
    <xf numFmtId="0" fontId="25" fillId="0" borderId="17" xfId="0" applyFont="1" applyBorder="1" applyAlignment="1">
      <alignment vertical="top" wrapText="1"/>
    </xf>
    <xf numFmtId="0" fontId="25" fillId="0" borderId="0" xfId="0" applyFont="1" applyAlignment="1">
      <alignment vertical="top" wrapText="1"/>
    </xf>
    <xf numFmtId="0" fontId="24" fillId="11" borderId="17" xfId="0" applyFont="1" applyFill="1" applyBorder="1" applyAlignment="1">
      <alignment vertical="center" wrapText="1"/>
    </xf>
    <xf numFmtId="0" fontId="2" fillId="0" borderId="0" xfId="0" applyFont="1" applyAlignment="1">
      <alignment horizontal="left" vertical="top" wrapText="1" readingOrder="1"/>
    </xf>
    <xf numFmtId="0" fontId="2" fillId="0" borderId="0" xfId="0" applyFont="1" applyAlignment="1">
      <alignment horizontal="center"/>
    </xf>
    <xf numFmtId="0" fontId="20" fillId="6" borderId="0" xfId="0" applyFont="1" applyFill="1" applyAlignment="1">
      <alignment horizontal="center"/>
    </xf>
    <xf numFmtId="0" fontId="5" fillId="0" borderId="0" xfId="0" applyFont="1" applyAlignment="1">
      <alignment wrapText="1"/>
    </xf>
    <xf numFmtId="0" fontId="25" fillId="0" borderId="0" xfId="0" applyFont="1" applyAlignment="1">
      <alignment horizontal="left" vertical="top" wrapText="1"/>
    </xf>
    <xf numFmtId="0" fontId="0" fillId="0" borderId="0" xfId="0" applyAlignment="1">
      <alignment horizontal="left" vertical="top" wrapText="1" readingOrder="1"/>
    </xf>
    <xf numFmtId="0" fontId="0" fillId="0" borderId="5" xfId="0" applyBorder="1"/>
    <xf numFmtId="0" fontId="2" fillId="0" borderId="0" xfId="0" applyFont="1" applyAlignment="1">
      <alignment horizontal="left" vertical="top" wrapText="1" readingOrder="1"/>
    </xf>
    <xf numFmtId="0" fontId="2" fillId="0" borderId="5" xfId="0" applyFont="1" applyBorder="1" applyAlignment="1">
      <alignment horizontal="center"/>
    </xf>
    <xf numFmtId="0" fontId="3" fillId="0" borderId="21" xfId="0" applyFont="1" applyBorder="1" applyAlignment="1">
      <alignment horizontal="center"/>
    </xf>
    <xf numFmtId="0" fontId="3" fillId="0" borderId="22" xfId="0" applyFont="1" applyBorder="1" applyAlignment="1">
      <alignment horizontal="center"/>
    </xf>
    <xf numFmtId="0" fontId="2" fillId="0" borderId="21" xfId="0" applyFont="1" applyBorder="1" applyAlignment="1">
      <alignment horizontal="center"/>
    </xf>
    <xf numFmtId="0" fontId="2" fillId="0" borderId="23" xfId="0" applyFont="1" applyBorder="1" applyAlignment="1">
      <alignment horizontal="center"/>
    </xf>
    <xf numFmtId="0" fontId="5" fillId="0" borderId="0" xfId="0" applyFont="1" applyAlignment="1">
      <alignment horizontal="center" wrapText="1"/>
    </xf>
    <xf numFmtId="0" fontId="2" fillId="0" borderId="0" xfId="0" applyFont="1" applyAlignment="1">
      <alignment horizontal="center" wrapText="1"/>
    </xf>
    <xf numFmtId="0" fontId="3" fillId="0" borderId="0" xfId="0" applyFont="1" applyAlignment="1">
      <alignment horizontal="left"/>
    </xf>
    <xf numFmtId="0" fontId="1" fillId="0" borderId="0" xfId="0" applyFont="1" applyAlignment="1">
      <alignment horizontal="left"/>
    </xf>
    <xf numFmtId="0" fontId="2" fillId="0" borderId="24" xfId="0" applyFont="1" applyBorder="1" applyAlignment="1">
      <alignment horizontal="center"/>
    </xf>
    <xf numFmtId="0" fontId="2" fillId="0" borderId="25" xfId="0" applyFont="1" applyBorder="1" applyAlignment="1">
      <alignment horizontal="center"/>
    </xf>
    <xf numFmtId="0" fontId="3" fillId="0" borderId="5" xfId="0" applyFont="1" applyBorder="1" applyAlignment="1">
      <alignment horizontal="center"/>
    </xf>
    <xf numFmtId="0" fontId="2" fillId="0" borderId="0" xfId="0" applyFont="1" applyAlignment="1">
      <alignment horizontal="center"/>
    </xf>
    <xf numFmtId="0" fontId="0" fillId="0" borderId="0" xfId="0" applyAlignment="1">
      <alignment horizontal="left" wrapText="1"/>
    </xf>
    <xf numFmtId="0" fontId="2" fillId="0" borderId="0" xfId="0" applyFont="1" applyAlignment="1">
      <alignment horizontal="left"/>
    </xf>
    <xf numFmtId="0" fontId="0" fillId="0" borderId="0" xfId="0" applyAlignment="1">
      <alignment horizontal="left"/>
    </xf>
    <xf numFmtId="0" fontId="2" fillId="0" borderId="5" xfId="0" applyFont="1" applyBorder="1"/>
    <xf numFmtId="0" fontId="3" fillId="0" borderId="0" xfId="0" applyFont="1" applyAlignment="1">
      <alignment horizontal="center"/>
    </xf>
    <xf numFmtId="0" fontId="2" fillId="0" borderId="6" xfId="0" applyFont="1" applyBorder="1" applyAlignment="1">
      <alignment horizontal="center"/>
    </xf>
    <xf numFmtId="0" fontId="5" fillId="0" borderId="0" xfId="0" applyFont="1" applyAlignment="1">
      <alignment horizontal="left" vertical="top" wrapText="1"/>
    </xf>
    <xf numFmtId="0" fontId="0" fillId="0" borderId="0" xfId="0" applyAlignment="1">
      <alignment horizontal="center" vertical="top" wrapText="1"/>
    </xf>
    <xf numFmtId="0" fontId="0" fillId="0" borderId="8" xfId="0" applyBorder="1" applyAlignment="1">
      <alignment horizontal="left" vertical="top" wrapText="1"/>
    </xf>
    <xf numFmtId="0" fontId="0" fillId="0" borderId="9" xfId="0" applyBorder="1" applyAlignment="1">
      <alignment horizontal="left" vertical="top"/>
    </xf>
    <xf numFmtId="0" fontId="0" fillId="0" borderId="10"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6"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0" fillId="0" borderId="13" xfId="0" applyBorder="1" applyAlignment="1">
      <alignment horizontal="left" vertical="top"/>
    </xf>
    <xf numFmtId="0" fontId="2" fillId="0" borderId="19" xfId="0" applyFont="1" applyBorder="1" applyAlignment="1">
      <alignment horizontal="center" wrapText="1"/>
    </xf>
    <xf numFmtId="0" fontId="2" fillId="0" borderId="20" xfId="0" applyFont="1" applyBorder="1" applyAlignment="1">
      <alignment horizontal="center" wrapText="1"/>
    </xf>
    <xf numFmtId="0" fontId="5" fillId="0" borderId="15" xfId="0" applyFont="1" applyBorder="1" applyAlignment="1">
      <alignment horizontal="center" wrapText="1"/>
    </xf>
    <xf numFmtId="0" fontId="2" fillId="0" borderId="9" xfId="0" applyFont="1" applyBorder="1" applyAlignment="1">
      <alignment horizontal="center" wrapText="1"/>
    </xf>
    <xf numFmtId="0" fontId="2" fillId="0" borderId="10" xfId="0" applyFont="1" applyBorder="1" applyAlignment="1">
      <alignment horizontal="center" wrapText="1"/>
    </xf>
    <xf numFmtId="0" fontId="2" fillId="0" borderId="11" xfId="0" applyFont="1" applyBorder="1" applyAlignment="1">
      <alignment horizontal="center" wrapText="1"/>
    </xf>
    <xf numFmtId="0" fontId="2" fillId="0" borderId="12" xfId="0" applyFont="1" applyBorder="1" applyAlignment="1">
      <alignment horizontal="center" wrapText="1"/>
    </xf>
    <xf numFmtId="0" fontId="2" fillId="0" borderId="13" xfId="0" applyFont="1" applyBorder="1" applyAlignment="1">
      <alignment horizontal="center" wrapText="1"/>
    </xf>
    <xf numFmtId="0" fontId="3" fillId="0" borderId="0" xfId="0" applyFont="1" applyAlignment="1">
      <alignment horizontal="center" wrapText="1"/>
    </xf>
    <xf numFmtId="0" fontId="19" fillId="6" borderId="0" xfId="0" applyFont="1" applyFill="1" applyAlignment="1">
      <alignment horizontal="center"/>
    </xf>
    <xf numFmtId="0" fontId="20" fillId="6" borderId="0" xfId="0" applyFont="1" applyFill="1" applyAlignment="1">
      <alignment horizontal="center"/>
    </xf>
    <xf numFmtId="0" fontId="2" fillId="0" borderId="17" xfId="0" applyFont="1" applyBorder="1" applyAlignment="1">
      <alignment horizontal="center" wrapText="1"/>
    </xf>
    <xf numFmtId="0" fontId="30" fillId="0" borderId="0" xfId="0" applyFont="1" applyAlignment="1">
      <alignment horizontal="left" vertical="top" wrapText="1"/>
    </xf>
    <xf numFmtId="0" fontId="25" fillId="0" borderId="26" xfId="0" applyFont="1" applyBorder="1" applyAlignment="1">
      <alignment vertical="top" wrapText="1"/>
    </xf>
    <xf numFmtId="0" fontId="25" fillId="0" borderId="17" xfId="0" applyFont="1" applyBorder="1" applyAlignment="1">
      <alignment vertical="top" wrapText="1"/>
    </xf>
    <xf numFmtId="0" fontId="25" fillId="0" borderId="19" xfId="0" applyFont="1" applyBorder="1" applyAlignment="1">
      <alignment vertical="top" wrapText="1"/>
    </xf>
    <xf numFmtId="0" fontId="25" fillId="0" borderId="0" xfId="0" applyFont="1" applyAlignment="1">
      <alignment vertical="top" wrapText="1"/>
    </xf>
    <xf numFmtId="0" fontId="24" fillId="11" borderId="26" xfId="0" applyFont="1" applyFill="1" applyBorder="1" applyAlignment="1">
      <alignment vertical="center" wrapText="1"/>
    </xf>
    <xf numFmtId="0" fontId="24" fillId="11" borderId="17" xfId="0" applyFont="1" applyFill="1" applyBorder="1" applyAlignment="1">
      <alignment vertical="center" wrapText="1"/>
    </xf>
    <xf numFmtId="0" fontId="24" fillId="11" borderId="19" xfId="0" applyFont="1" applyFill="1" applyBorder="1" applyAlignment="1">
      <alignment vertical="center" wrapText="1"/>
    </xf>
    <xf numFmtId="0" fontId="29" fillId="0" borderId="0" xfId="0" applyFont="1" applyAlignment="1">
      <alignment vertical="top" wrapText="1"/>
    </xf>
    <xf numFmtId="0" fontId="18" fillId="0" borderId="0" xfId="0" applyFont="1" applyAlignment="1">
      <alignment horizontal="center"/>
    </xf>
    <xf numFmtId="0" fontId="2" fillId="0" borderId="17" xfId="0" applyFont="1" applyBorder="1" applyAlignment="1">
      <alignment horizontal="center"/>
    </xf>
    <xf numFmtId="0" fontId="27"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23</xdr:row>
      <xdr:rowOff>123825</xdr:rowOff>
    </xdr:from>
    <xdr:to>
      <xdr:col>2</xdr:col>
      <xdr:colOff>1038225</xdr:colOff>
      <xdr:row>45</xdr:row>
      <xdr:rowOff>152400</xdr:rowOff>
    </xdr:to>
    <xdr:pic>
      <xdr:nvPicPr>
        <xdr:cNvPr id="3" name="Picture 1">
          <a:extLst>
            <a:ext uri="{FF2B5EF4-FFF2-40B4-BE49-F238E27FC236}">
              <a16:creationId xmlns:a16="http://schemas.microsoft.com/office/drawing/2014/main" id="{BD2AB807-5F85-243D-F171-A965C790EEA1}"/>
            </a:ext>
          </a:extLst>
        </xdr:cNvPr>
        <xdr:cNvPicPr>
          <a:picLocks noChangeAspect="1"/>
        </xdr:cNvPicPr>
      </xdr:nvPicPr>
      <xdr:blipFill>
        <a:blip xmlns:r="http://schemas.openxmlformats.org/officeDocument/2006/relationships" r:embed="rId1"/>
        <a:stretch>
          <a:fillRect/>
        </a:stretch>
      </xdr:blipFill>
      <xdr:spPr>
        <a:xfrm>
          <a:off x="0" y="4514850"/>
          <a:ext cx="4133850" cy="4219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E06A9-FA64-4B6F-91B6-49F657ABE44C}">
  <dimension ref="A1:T79"/>
  <sheetViews>
    <sheetView workbookViewId="0">
      <selection activeCell="A96" sqref="A96"/>
    </sheetView>
  </sheetViews>
  <sheetFormatPr defaultRowHeight="15"/>
  <cols>
    <col min="1" max="1" width="25.28515625" customWidth="1"/>
    <col min="2" max="2" width="21.140625" customWidth="1"/>
    <col min="3" max="3" width="23.5703125" customWidth="1"/>
    <col min="4" max="4" width="22.85546875" customWidth="1"/>
  </cols>
  <sheetData>
    <row r="1" spans="1:20" ht="21">
      <c r="A1" s="81" t="s">
        <v>0</v>
      </c>
    </row>
    <row r="3" spans="1:20" ht="15" customHeight="1">
      <c r="A3" s="78" t="s">
        <v>1</v>
      </c>
      <c r="B3" s="75"/>
      <c r="C3" s="75"/>
      <c r="D3" s="75"/>
      <c r="E3" s="75"/>
      <c r="F3" s="75"/>
      <c r="G3" s="75"/>
      <c r="H3" s="75"/>
      <c r="I3" s="75"/>
      <c r="J3" s="75"/>
      <c r="K3" s="75"/>
      <c r="L3" s="75"/>
      <c r="M3" s="75"/>
      <c r="N3" s="75"/>
      <c r="O3" s="75"/>
      <c r="P3" s="75"/>
      <c r="Q3" s="75"/>
      <c r="R3" s="75"/>
      <c r="S3" s="75"/>
      <c r="T3" s="75"/>
    </row>
    <row r="4" spans="1:20" ht="15" customHeight="1">
      <c r="A4" s="193" t="s">
        <v>2</v>
      </c>
      <c r="B4" s="193"/>
      <c r="C4" s="193"/>
      <c r="D4" s="193"/>
      <c r="E4" s="193"/>
      <c r="F4" s="193"/>
      <c r="G4" s="193"/>
      <c r="H4" s="193"/>
      <c r="I4" s="193"/>
      <c r="J4" s="193"/>
      <c r="K4" s="193"/>
      <c r="L4" s="193"/>
      <c r="M4" s="193"/>
      <c r="N4" s="193"/>
      <c r="O4" s="193"/>
      <c r="P4" s="193"/>
      <c r="Q4" s="193"/>
      <c r="R4" s="193"/>
      <c r="S4" s="75"/>
      <c r="T4" s="75"/>
    </row>
    <row r="5" spans="1:20">
      <c r="A5" s="193"/>
      <c r="B5" s="193"/>
      <c r="C5" s="193"/>
      <c r="D5" s="193"/>
      <c r="E5" s="193"/>
      <c r="F5" s="193"/>
      <c r="G5" s="193"/>
      <c r="H5" s="193"/>
      <c r="I5" s="193"/>
      <c r="J5" s="193"/>
      <c r="K5" s="193"/>
      <c r="L5" s="193"/>
      <c r="M5" s="193"/>
      <c r="N5" s="193"/>
      <c r="O5" s="193"/>
      <c r="P5" s="193"/>
      <c r="Q5" s="193"/>
      <c r="R5" s="193"/>
      <c r="S5" s="75"/>
      <c r="T5" s="75"/>
    </row>
    <row r="6" spans="1:20">
      <c r="A6" s="193"/>
      <c r="B6" s="193"/>
      <c r="C6" s="193"/>
      <c r="D6" s="193"/>
      <c r="E6" s="193"/>
      <c r="F6" s="193"/>
      <c r="G6" s="193"/>
      <c r="H6" s="193"/>
      <c r="I6" s="193"/>
      <c r="J6" s="193"/>
      <c r="K6" s="193"/>
      <c r="L6" s="193"/>
      <c r="M6" s="193"/>
      <c r="N6" s="193"/>
      <c r="O6" s="193"/>
      <c r="P6" s="193"/>
      <c r="Q6" s="193"/>
      <c r="R6" s="193"/>
      <c r="S6" s="75"/>
      <c r="T6" s="75"/>
    </row>
    <row r="7" spans="1:20">
      <c r="A7" s="84"/>
      <c r="B7" s="84"/>
      <c r="C7" s="84"/>
      <c r="D7" s="84"/>
      <c r="E7" s="84"/>
      <c r="F7" s="84"/>
      <c r="G7" s="84"/>
      <c r="H7" s="84"/>
      <c r="I7" s="84"/>
      <c r="J7" s="84"/>
      <c r="K7" s="84"/>
      <c r="L7" s="84"/>
      <c r="M7" s="84"/>
      <c r="N7" s="84"/>
      <c r="O7" s="84"/>
      <c r="P7" s="84"/>
      <c r="Q7" s="84"/>
      <c r="R7" s="84"/>
      <c r="S7" s="75"/>
      <c r="T7" s="75"/>
    </row>
    <row r="8" spans="1:20" ht="18">
      <c r="A8" s="78" t="s">
        <v>3</v>
      </c>
      <c r="B8" s="75"/>
      <c r="C8" s="75"/>
      <c r="D8" s="75"/>
      <c r="E8" s="75"/>
      <c r="F8" s="75"/>
      <c r="G8" s="75"/>
      <c r="H8" s="75"/>
      <c r="I8" s="75"/>
      <c r="J8" s="75"/>
      <c r="K8" s="75"/>
      <c r="L8" s="75"/>
      <c r="M8" s="75"/>
      <c r="N8" s="75"/>
      <c r="O8" s="75"/>
      <c r="P8" s="75"/>
      <c r="Q8" s="75"/>
      <c r="R8" s="75"/>
      <c r="S8" s="75"/>
      <c r="T8" s="75"/>
    </row>
    <row r="9" spans="1:20">
      <c r="A9" s="193" t="s">
        <v>4</v>
      </c>
      <c r="B9" s="193"/>
      <c r="C9" s="193"/>
      <c r="D9" s="193"/>
      <c r="E9" s="193"/>
      <c r="F9" s="193"/>
      <c r="G9" s="193"/>
      <c r="H9" s="193"/>
      <c r="I9" s="193"/>
      <c r="J9" s="193"/>
      <c r="K9" s="193"/>
      <c r="L9" s="193"/>
      <c r="M9" s="193"/>
      <c r="N9" s="193"/>
      <c r="O9" s="193"/>
      <c r="P9" s="193"/>
      <c r="Q9" s="193"/>
      <c r="R9" s="193"/>
      <c r="S9" s="75"/>
      <c r="T9" s="75"/>
    </row>
    <row r="10" spans="1:20">
      <c r="A10" s="193"/>
      <c r="B10" s="193"/>
      <c r="C10" s="193"/>
      <c r="D10" s="193"/>
      <c r="E10" s="193"/>
      <c r="F10" s="193"/>
      <c r="G10" s="193"/>
      <c r="H10" s="193"/>
      <c r="I10" s="193"/>
      <c r="J10" s="193"/>
      <c r="K10" s="193"/>
      <c r="L10" s="193"/>
      <c r="M10" s="193"/>
      <c r="N10" s="193"/>
      <c r="O10" s="193"/>
      <c r="P10" s="193"/>
      <c r="Q10" s="193"/>
      <c r="R10" s="193"/>
      <c r="S10" s="75"/>
      <c r="T10" s="75"/>
    </row>
    <row r="11" spans="1:20">
      <c r="A11" s="193"/>
      <c r="B11" s="193"/>
      <c r="C11" s="193"/>
      <c r="D11" s="193"/>
      <c r="E11" s="193"/>
      <c r="F11" s="193"/>
      <c r="G11" s="193"/>
      <c r="H11" s="193"/>
      <c r="I11" s="193"/>
      <c r="J11" s="193"/>
      <c r="K11" s="193"/>
      <c r="L11" s="193"/>
      <c r="M11" s="193"/>
      <c r="N11" s="193"/>
      <c r="O11" s="193"/>
      <c r="P11" s="193"/>
      <c r="Q11" s="193"/>
      <c r="R11" s="193"/>
      <c r="S11" s="75"/>
      <c r="T11" s="75"/>
    </row>
    <row r="12" spans="1:20">
      <c r="A12" s="193"/>
      <c r="B12" s="193"/>
      <c r="C12" s="193"/>
      <c r="D12" s="193"/>
      <c r="E12" s="193"/>
      <c r="F12" s="193"/>
      <c r="G12" s="193"/>
      <c r="H12" s="193"/>
      <c r="I12" s="193"/>
      <c r="J12" s="193"/>
      <c r="K12" s="193"/>
      <c r="L12" s="193"/>
      <c r="M12" s="193"/>
      <c r="N12" s="193"/>
      <c r="O12" s="193"/>
      <c r="P12" s="193"/>
      <c r="Q12" s="193"/>
      <c r="R12" s="193"/>
      <c r="S12" s="75"/>
      <c r="T12" s="75"/>
    </row>
    <row r="13" spans="1:20">
      <c r="A13" s="77"/>
      <c r="B13" s="75"/>
      <c r="C13" s="75"/>
      <c r="D13" s="75"/>
      <c r="E13" s="75"/>
      <c r="F13" s="75"/>
      <c r="G13" s="75"/>
      <c r="H13" s="75"/>
      <c r="I13" s="75"/>
      <c r="J13" s="75"/>
      <c r="K13" s="75"/>
      <c r="L13" s="75"/>
      <c r="M13" s="75"/>
      <c r="N13" s="75"/>
      <c r="O13" s="75"/>
      <c r="P13" s="75"/>
      <c r="Q13" s="75"/>
      <c r="R13" s="75"/>
      <c r="S13" s="75"/>
      <c r="T13" s="75"/>
    </row>
    <row r="14" spans="1:20" ht="18">
      <c r="A14" s="78" t="s">
        <v>5</v>
      </c>
      <c r="B14" s="75"/>
      <c r="C14" s="75"/>
      <c r="D14" s="75"/>
      <c r="E14" s="75"/>
      <c r="F14" s="75"/>
      <c r="G14" s="75"/>
      <c r="H14" s="75"/>
      <c r="I14" s="75"/>
      <c r="J14" s="75"/>
      <c r="K14" s="75"/>
      <c r="L14" s="75"/>
      <c r="M14" s="75"/>
      <c r="N14" s="75"/>
      <c r="O14" s="75"/>
      <c r="P14" s="75"/>
      <c r="Q14" s="75"/>
      <c r="R14" s="75"/>
      <c r="S14" s="75"/>
      <c r="T14" s="75"/>
    </row>
    <row r="15" spans="1:20">
      <c r="A15" s="4" t="s">
        <v>6</v>
      </c>
      <c r="B15" s="75"/>
      <c r="C15" s="75"/>
      <c r="D15" s="75"/>
      <c r="E15" s="75"/>
      <c r="F15" s="75"/>
      <c r="G15" s="75"/>
      <c r="H15" s="75"/>
      <c r="I15" s="75"/>
      <c r="J15" s="75"/>
      <c r="K15" s="75"/>
      <c r="L15" s="75"/>
      <c r="M15" s="75"/>
      <c r="N15" s="75"/>
      <c r="O15" s="75"/>
      <c r="P15" s="75"/>
      <c r="Q15" s="75"/>
      <c r="R15" s="75"/>
      <c r="S15" s="75"/>
      <c r="T15" s="75"/>
    </row>
    <row r="16" spans="1:20">
      <c r="A16" s="4" t="s">
        <v>7</v>
      </c>
      <c r="B16" s="75"/>
      <c r="C16" s="75"/>
      <c r="D16" s="75"/>
      <c r="E16" s="75"/>
      <c r="F16" s="75"/>
      <c r="G16" s="75"/>
      <c r="H16" s="75"/>
      <c r="I16" s="75"/>
      <c r="J16" s="75"/>
      <c r="K16" s="75"/>
      <c r="L16" s="75"/>
      <c r="M16" s="75"/>
      <c r="N16" s="75"/>
      <c r="O16" s="75"/>
      <c r="P16" s="75"/>
      <c r="Q16" s="75"/>
      <c r="R16" s="75"/>
      <c r="S16" s="75"/>
      <c r="T16" s="75"/>
    </row>
    <row r="17" spans="1:20">
      <c r="A17" s="4" t="s">
        <v>8</v>
      </c>
      <c r="B17" s="75"/>
      <c r="C17" s="75"/>
      <c r="D17" s="75"/>
      <c r="E17" s="75"/>
      <c r="F17" s="75"/>
      <c r="G17" s="75"/>
      <c r="H17" s="75"/>
      <c r="I17" s="75"/>
      <c r="J17" s="75"/>
      <c r="K17" s="75"/>
      <c r="L17" s="75"/>
      <c r="M17" s="75"/>
      <c r="N17" s="75"/>
      <c r="O17" s="75"/>
      <c r="P17" s="75"/>
      <c r="Q17" s="75"/>
      <c r="R17" s="75"/>
      <c r="S17" s="75"/>
      <c r="T17" s="75"/>
    </row>
    <row r="18" spans="1:20">
      <c r="A18" s="4" t="s">
        <v>9</v>
      </c>
      <c r="B18" s="75"/>
      <c r="C18" s="75"/>
      <c r="D18" s="75"/>
      <c r="E18" s="75"/>
      <c r="F18" s="75"/>
      <c r="G18" s="75"/>
      <c r="H18" s="75"/>
      <c r="I18" s="75"/>
      <c r="J18" s="75"/>
      <c r="K18" s="75"/>
      <c r="L18" s="75"/>
      <c r="M18" s="75"/>
      <c r="N18" s="75"/>
      <c r="O18" s="75"/>
      <c r="P18" s="75"/>
      <c r="Q18" s="75"/>
      <c r="R18" s="75"/>
      <c r="S18" s="75"/>
      <c r="T18" s="75"/>
    </row>
    <row r="19" spans="1:20">
      <c r="A19" s="4" t="s">
        <v>10</v>
      </c>
      <c r="B19" s="75"/>
      <c r="C19" s="75"/>
      <c r="D19" s="75"/>
      <c r="E19" s="75"/>
      <c r="F19" s="75"/>
      <c r="G19" s="75"/>
      <c r="H19" s="75"/>
      <c r="I19" s="75"/>
      <c r="J19" s="75"/>
      <c r="K19" s="75"/>
      <c r="L19" s="75"/>
      <c r="M19" s="75"/>
      <c r="N19" s="75"/>
      <c r="O19" s="75"/>
      <c r="P19" s="75"/>
      <c r="Q19" s="75"/>
      <c r="R19" s="75"/>
      <c r="S19" s="75"/>
      <c r="T19" s="75"/>
    </row>
    <row r="20" spans="1:20">
      <c r="A20" s="4" t="s">
        <v>11</v>
      </c>
      <c r="B20" s="75"/>
      <c r="C20" s="75"/>
      <c r="D20" s="75"/>
      <c r="E20" s="75"/>
      <c r="F20" s="75"/>
      <c r="G20" s="75"/>
      <c r="H20" s="75"/>
      <c r="I20" s="75"/>
      <c r="J20" s="75"/>
      <c r="K20" s="75"/>
      <c r="L20" s="75"/>
      <c r="M20" s="75"/>
      <c r="N20" s="75"/>
      <c r="O20" s="75"/>
      <c r="P20" s="75"/>
      <c r="Q20" s="75"/>
      <c r="R20" s="75"/>
      <c r="S20" s="75"/>
      <c r="T20" s="75"/>
    </row>
    <row r="21" spans="1:20">
      <c r="A21" s="4"/>
      <c r="B21" s="75"/>
      <c r="C21" s="75"/>
      <c r="D21" s="75"/>
      <c r="E21" s="75"/>
      <c r="F21" s="75"/>
      <c r="G21" s="75"/>
      <c r="H21" s="75"/>
      <c r="I21" s="75"/>
      <c r="J21" s="75"/>
      <c r="K21" s="75"/>
      <c r="L21" s="75"/>
      <c r="M21" s="75"/>
      <c r="N21" s="75"/>
      <c r="O21" s="75"/>
      <c r="P21" s="75"/>
      <c r="Q21" s="75"/>
      <c r="R21" s="75"/>
      <c r="S21" s="75"/>
      <c r="T21" s="75"/>
    </row>
    <row r="22" spans="1:20">
      <c r="B22" s="75"/>
      <c r="C22" s="75"/>
      <c r="D22" s="75"/>
      <c r="E22" s="75"/>
      <c r="F22" s="75"/>
      <c r="G22" s="75"/>
      <c r="H22" s="75"/>
      <c r="I22" s="75"/>
      <c r="J22" s="75"/>
      <c r="K22" s="75"/>
      <c r="L22" s="75"/>
      <c r="M22" s="75"/>
      <c r="N22" s="75"/>
      <c r="O22" s="75"/>
      <c r="P22" s="75"/>
      <c r="Q22" s="75"/>
      <c r="R22" s="75"/>
      <c r="S22" s="75"/>
      <c r="T22" s="75"/>
    </row>
    <row r="23" spans="1:20">
      <c r="A23" s="5" t="s">
        <v>12</v>
      </c>
      <c r="T23" s="75"/>
    </row>
    <row r="24" spans="1:20">
      <c r="T24" s="75"/>
    </row>
    <row r="25" spans="1:20">
      <c r="A25" s="76"/>
      <c r="T25" s="75"/>
    </row>
    <row r="26" spans="1:20">
      <c r="A26" s="76"/>
      <c r="T26" s="75"/>
    </row>
    <row r="27" spans="1:20">
      <c r="T27" s="75"/>
    </row>
    <row r="28" spans="1:20">
      <c r="A28" s="76"/>
      <c r="T28" s="75"/>
    </row>
    <row r="29" spans="1:20">
      <c r="A29" s="76"/>
      <c r="T29" s="75"/>
    </row>
    <row r="30" spans="1:20">
      <c r="T30" s="75"/>
    </row>
    <row r="31" spans="1:20">
      <c r="A31" s="76"/>
      <c r="T31" s="75"/>
    </row>
    <row r="32" spans="1:20">
      <c r="A32" s="76"/>
      <c r="T32" s="75"/>
    </row>
    <row r="33" spans="1:20">
      <c r="T33" s="75"/>
    </row>
    <row r="34" spans="1:20">
      <c r="A34" s="76"/>
      <c r="T34" s="75"/>
    </row>
    <row r="35" spans="1:20">
      <c r="T35" s="75"/>
    </row>
    <row r="36" spans="1:20">
      <c r="A36" s="76"/>
      <c r="T36" s="75"/>
    </row>
    <row r="37" spans="1:20">
      <c r="A37" s="76"/>
      <c r="T37" s="75"/>
    </row>
    <row r="38" spans="1:20">
      <c r="A38" s="76"/>
      <c r="T38" s="75"/>
    </row>
    <row r="39" spans="1:20">
      <c r="A39" s="76"/>
      <c r="T39" s="75"/>
    </row>
    <row r="40" spans="1:20">
      <c r="A40" s="76"/>
      <c r="T40" s="75"/>
    </row>
    <row r="41" spans="1:20">
      <c r="A41" s="76"/>
      <c r="T41" s="75"/>
    </row>
    <row r="42" spans="1:20">
      <c r="T42" s="75"/>
    </row>
    <row r="43" spans="1:20">
      <c r="T43" s="75"/>
    </row>
    <row r="44" spans="1:20">
      <c r="T44" s="75"/>
    </row>
    <row r="45" spans="1:20">
      <c r="T45" s="75"/>
    </row>
    <row r="50" spans="1:19" ht="20.25">
      <c r="A50" s="83" t="s">
        <v>13</v>
      </c>
    </row>
    <row r="51" spans="1:19">
      <c r="A51" t="s">
        <v>14</v>
      </c>
    </row>
    <row r="52" spans="1:19">
      <c r="A52" t="s">
        <v>15</v>
      </c>
    </row>
    <row r="53" spans="1:19" ht="20.25">
      <c r="A53" s="83"/>
    </row>
    <row r="54" spans="1:19" ht="20.25">
      <c r="A54" s="83"/>
    </row>
    <row r="56" spans="1:19">
      <c r="A56" s="195" t="s">
        <v>16</v>
      </c>
      <c r="B56" s="195"/>
      <c r="C56" s="195"/>
      <c r="D56" s="195"/>
      <c r="E56" s="195"/>
      <c r="F56" s="195"/>
      <c r="G56" s="195"/>
      <c r="H56" s="195"/>
      <c r="I56" s="195"/>
      <c r="J56" s="195"/>
      <c r="K56" s="195"/>
      <c r="L56" s="195"/>
      <c r="M56" s="195"/>
      <c r="N56" s="195"/>
      <c r="O56" s="195"/>
      <c r="P56" s="195"/>
      <c r="Q56" s="195"/>
      <c r="R56" s="195"/>
      <c r="S56" s="195"/>
    </row>
    <row r="57" spans="1:19">
      <c r="A57" s="195"/>
      <c r="B57" s="195"/>
      <c r="C57" s="195"/>
      <c r="D57" s="195"/>
      <c r="E57" s="195"/>
      <c r="F57" s="195"/>
      <c r="G57" s="195"/>
      <c r="H57" s="195"/>
      <c r="I57" s="195"/>
      <c r="J57" s="195"/>
      <c r="K57" s="195"/>
      <c r="L57" s="195"/>
      <c r="M57" s="195"/>
      <c r="N57" s="195"/>
      <c r="O57" s="195"/>
      <c r="P57" s="195"/>
      <c r="Q57" s="195"/>
      <c r="R57" s="195"/>
      <c r="S57" s="195"/>
    </row>
    <row r="58" spans="1:19">
      <c r="A58" s="195"/>
      <c r="B58" s="195"/>
      <c r="C58" s="195"/>
      <c r="D58" s="195"/>
      <c r="E58" s="195"/>
      <c r="F58" s="195"/>
      <c r="G58" s="195"/>
      <c r="H58" s="195"/>
      <c r="I58" s="195"/>
      <c r="J58" s="195"/>
      <c r="K58" s="195"/>
      <c r="L58" s="195"/>
      <c r="M58" s="195"/>
      <c r="N58" s="195"/>
      <c r="O58" s="195"/>
      <c r="P58" s="195"/>
      <c r="Q58" s="195"/>
      <c r="R58" s="195"/>
      <c r="S58" s="195"/>
    </row>
    <row r="59" spans="1:19">
      <c r="A59" s="188"/>
      <c r="B59" s="188"/>
      <c r="C59" s="188"/>
      <c r="D59" s="188"/>
      <c r="E59" s="188"/>
      <c r="F59" s="188"/>
      <c r="G59" s="188"/>
      <c r="H59" s="188"/>
      <c r="I59" s="188"/>
      <c r="J59" s="188"/>
      <c r="K59" s="188"/>
      <c r="L59" s="188"/>
      <c r="M59" s="188"/>
      <c r="N59" s="188"/>
      <c r="O59" s="188"/>
      <c r="P59" s="188"/>
      <c r="Q59" s="188"/>
      <c r="R59" s="188"/>
      <c r="S59" s="188"/>
    </row>
    <row r="60" spans="1:19">
      <c r="A60" t="s">
        <v>17</v>
      </c>
    </row>
    <row r="61" spans="1:19">
      <c r="A61" s="155" t="s">
        <v>18</v>
      </c>
      <c r="B61" s="155" t="s">
        <v>19</v>
      </c>
      <c r="C61" s="196" t="s">
        <v>20</v>
      </c>
      <c r="D61" s="196"/>
      <c r="E61" s="196"/>
      <c r="F61" s="196"/>
      <c r="G61" s="196"/>
      <c r="H61" s="196"/>
      <c r="I61" s="196"/>
      <c r="J61" s="196"/>
      <c r="K61" s="196"/>
      <c r="L61" s="196"/>
      <c r="M61" s="196"/>
      <c r="N61" s="196"/>
    </row>
    <row r="62" spans="1:19">
      <c r="A62" s="154" t="s">
        <v>21</v>
      </c>
      <c r="B62" s="154" t="s">
        <v>22</v>
      </c>
      <c r="C62" s="194" t="s">
        <v>23</v>
      </c>
      <c r="D62" s="194"/>
      <c r="E62" s="194"/>
      <c r="F62" s="194"/>
      <c r="G62" s="194"/>
      <c r="H62" s="194"/>
      <c r="I62" s="194"/>
      <c r="J62" s="194"/>
      <c r="K62" s="194"/>
      <c r="L62" s="194"/>
      <c r="M62" s="194"/>
      <c r="N62" s="194"/>
    </row>
    <row r="63" spans="1:19">
      <c r="A63" s="154" t="s">
        <v>24</v>
      </c>
      <c r="B63" s="154" t="s">
        <v>22</v>
      </c>
      <c r="C63" s="194" t="s">
        <v>25</v>
      </c>
      <c r="D63" s="194"/>
      <c r="E63" s="194"/>
      <c r="F63" s="194"/>
      <c r="G63" s="194"/>
      <c r="H63" s="194"/>
      <c r="I63" s="194"/>
      <c r="J63" s="194"/>
      <c r="K63" s="194"/>
      <c r="L63" s="194"/>
      <c r="M63" s="194"/>
      <c r="N63" s="194"/>
    </row>
    <row r="64" spans="1:19">
      <c r="A64" s="154" t="s">
        <v>26</v>
      </c>
      <c r="B64" s="154" t="s">
        <v>27</v>
      </c>
      <c r="C64" s="194" t="s">
        <v>28</v>
      </c>
      <c r="D64" s="194"/>
      <c r="E64" s="194"/>
      <c r="F64" s="194"/>
      <c r="G64" s="194"/>
      <c r="H64" s="194"/>
      <c r="I64" s="194"/>
      <c r="J64" s="194"/>
      <c r="K64" s="194"/>
      <c r="L64" s="194"/>
      <c r="M64" s="194"/>
      <c r="N64" s="194"/>
    </row>
    <row r="65" spans="1:14">
      <c r="A65" s="154" t="s">
        <v>29</v>
      </c>
      <c r="B65" s="154" t="s">
        <v>27</v>
      </c>
      <c r="C65" s="194" t="s">
        <v>30</v>
      </c>
      <c r="D65" s="194"/>
      <c r="E65" s="194"/>
      <c r="F65" s="194"/>
      <c r="G65" s="194"/>
      <c r="H65" s="194"/>
      <c r="I65" s="194"/>
      <c r="J65" s="194"/>
      <c r="K65" s="194"/>
      <c r="L65" s="194"/>
      <c r="M65" s="194"/>
      <c r="N65" s="194"/>
    </row>
    <row r="66" spans="1:14">
      <c r="A66" s="154" t="s">
        <v>31</v>
      </c>
      <c r="B66" s="154" t="s">
        <v>32</v>
      </c>
      <c r="C66" s="194" t="s">
        <v>33</v>
      </c>
      <c r="D66" s="194"/>
      <c r="E66" s="194"/>
      <c r="F66" s="194"/>
      <c r="G66" s="194"/>
      <c r="H66" s="194"/>
      <c r="I66" s="194"/>
      <c r="J66" s="194"/>
      <c r="K66" s="194"/>
      <c r="L66" s="194"/>
      <c r="M66" s="194"/>
      <c r="N66" s="194"/>
    </row>
    <row r="67" spans="1:14">
      <c r="A67" s="154" t="s">
        <v>34</v>
      </c>
      <c r="B67" s="154" t="s">
        <v>32</v>
      </c>
      <c r="C67" s="194" t="s">
        <v>35</v>
      </c>
      <c r="D67" s="194"/>
      <c r="E67" s="194"/>
      <c r="F67" s="194"/>
      <c r="G67" s="194"/>
      <c r="H67" s="194"/>
      <c r="I67" s="194"/>
      <c r="J67" s="194"/>
      <c r="K67" s="194"/>
      <c r="L67" s="194"/>
      <c r="M67" s="194"/>
      <c r="N67" s="194"/>
    </row>
    <row r="69" spans="1:14">
      <c r="A69" s="4" t="s">
        <v>18</v>
      </c>
      <c r="B69" s="4" t="s">
        <v>36</v>
      </c>
      <c r="C69" s="4" t="s">
        <v>37</v>
      </c>
      <c r="D69" s="4" t="s">
        <v>38</v>
      </c>
      <c r="E69" s="4" t="s">
        <v>39</v>
      </c>
    </row>
    <row r="70" spans="1:14">
      <c r="A70" t="s">
        <v>21</v>
      </c>
      <c r="B70" t="s">
        <v>40</v>
      </c>
      <c r="C70" t="s">
        <v>40</v>
      </c>
      <c r="D70" t="s">
        <v>40</v>
      </c>
      <c r="E70" t="s">
        <v>41</v>
      </c>
    </row>
    <row r="71" spans="1:14">
      <c r="A71" t="s">
        <v>42</v>
      </c>
      <c r="B71" t="s">
        <v>40</v>
      </c>
      <c r="C71" t="s">
        <v>40</v>
      </c>
      <c r="D71" s="4" t="s">
        <v>43</v>
      </c>
      <c r="E71" t="s">
        <v>44</v>
      </c>
    </row>
    <row r="72" spans="1:14">
      <c r="A72" t="s">
        <v>45</v>
      </c>
      <c r="B72" t="s">
        <v>40</v>
      </c>
      <c r="C72" t="s">
        <v>40</v>
      </c>
      <c r="D72" t="s">
        <v>40</v>
      </c>
      <c r="E72" t="s">
        <v>41</v>
      </c>
    </row>
    <row r="73" spans="1:14">
      <c r="A73" s="4" t="s">
        <v>46</v>
      </c>
      <c r="B73" s="4" t="s">
        <v>40</v>
      </c>
      <c r="C73" s="4" t="s">
        <v>40</v>
      </c>
      <c r="D73" s="4" t="s">
        <v>40</v>
      </c>
      <c r="E73" t="s">
        <v>41</v>
      </c>
    </row>
    <row r="74" spans="1:14">
      <c r="A74" t="s">
        <v>31</v>
      </c>
      <c r="B74" t="s">
        <v>40</v>
      </c>
      <c r="C74" t="s">
        <v>40</v>
      </c>
      <c r="D74" t="s">
        <v>47</v>
      </c>
      <c r="E74" t="s">
        <v>48</v>
      </c>
    </row>
    <row r="75" spans="1:14">
      <c r="A75" t="s">
        <v>49</v>
      </c>
      <c r="B75" t="s">
        <v>40</v>
      </c>
      <c r="C75" t="s">
        <v>40</v>
      </c>
      <c r="D75" t="s">
        <v>47</v>
      </c>
      <c r="E75" t="s">
        <v>48</v>
      </c>
    </row>
    <row r="79" spans="1:14" ht="15" customHeight="1"/>
  </sheetData>
  <mergeCells count="10">
    <mergeCell ref="C66:N66"/>
    <mergeCell ref="C67:N67"/>
    <mergeCell ref="A9:R12"/>
    <mergeCell ref="A56:S58"/>
    <mergeCell ref="C61:N61"/>
    <mergeCell ref="A4:R6"/>
    <mergeCell ref="C62:N62"/>
    <mergeCell ref="C63:N63"/>
    <mergeCell ref="C64:N64"/>
    <mergeCell ref="C65:N6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791AE-CDEE-45C7-B031-E2C9C6318654}">
  <dimension ref="A1:AZ517"/>
  <sheetViews>
    <sheetView topLeftCell="C1" workbookViewId="0">
      <selection activeCell="P26" sqref="P26"/>
    </sheetView>
  </sheetViews>
  <sheetFormatPr defaultRowHeight="15"/>
  <cols>
    <col min="1" max="1" width="13.140625" customWidth="1"/>
    <col min="2" max="2" width="8" bestFit="1" customWidth="1"/>
    <col min="3" max="3" width="12.7109375" bestFit="1" customWidth="1"/>
    <col min="4" max="4" width="9" bestFit="1" customWidth="1"/>
    <col min="5" max="5" width="12.7109375" bestFit="1" customWidth="1"/>
    <col min="6" max="6" width="9" bestFit="1" customWidth="1"/>
    <col min="9" max="9" width="25.42578125" bestFit="1" customWidth="1"/>
    <col min="10" max="10" width="11.5703125" bestFit="1" customWidth="1"/>
    <col min="11" max="11" width="17.140625" customWidth="1"/>
    <col min="15" max="15" width="12.28515625" bestFit="1" customWidth="1"/>
    <col min="16" max="16" width="9.7109375" bestFit="1" customWidth="1"/>
    <col min="17" max="17" width="11.28515625" bestFit="1" customWidth="1"/>
    <col min="18" max="18" width="11.85546875" bestFit="1" customWidth="1"/>
    <col min="19" max="19" width="14.85546875" bestFit="1" customWidth="1"/>
    <col min="20" max="20" width="15.5703125" bestFit="1" customWidth="1"/>
    <col min="23" max="23" width="9.85546875" bestFit="1" customWidth="1"/>
    <col min="24" max="24" width="18.140625" bestFit="1" customWidth="1"/>
    <col min="25" max="25" width="12.7109375" bestFit="1" customWidth="1"/>
    <col min="27" max="27" width="9.85546875" bestFit="1" customWidth="1"/>
    <col min="28" max="28" width="8" bestFit="1" customWidth="1"/>
    <col min="29" max="29" width="12.7109375" bestFit="1" customWidth="1"/>
    <col min="31" max="31" width="9.7109375" bestFit="1" customWidth="1"/>
    <col min="32" max="32" width="8" bestFit="1" customWidth="1"/>
    <col min="33" max="33" width="12.7109375" bestFit="1" customWidth="1"/>
    <col min="35" max="35" width="9.7109375" bestFit="1" customWidth="1"/>
    <col min="36" max="36" width="8" bestFit="1" customWidth="1"/>
    <col min="37" max="37" width="12.7109375" bestFit="1" customWidth="1"/>
    <col min="42" max="42" width="29.28515625" bestFit="1" customWidth="1"/>
    <col min="43" max="43" width="9" bestFit="1" customWidth="1"/>
    <col min="48" max="48" width="21.5703125" bestFit="1" customWidth="1"/>
    <col min="49" max="49" width="7" bestFit="1" customWidth="1"/>
    <col min="50" max="50" width="15.7109375" bestFit="1" customWidth="1"/>
    <col min="51" max="51" width="14" bestFit="1" customWidth="1"/>
  </cols>
  <sheetData>
    <row r="1" spans="1:52">
      <c r="A1" s="1"/>
      <c r="B1" s="1"/>
      <c r="C1" s="1"/>
      <c r="D1" s="1"/>
      <c r="E1" s="1"/>
      <c r="F1" s="1"/>
      <c r="G1" s="1"/>
      <c r="H1" s="1"/>
      <c r="I1" s="1" t="s">
        <v>50</v>
      </c>
      <c r="J1" s="1"/>
      <c r="K1" s="1"/>
      <c r="L1" s="1"/>
      <c r="M1" s="1"/>
      <c r="N1" s="1"/>
      <c r="O1" s="1" t="s">
        <v>51</v>
      </c>
      <c r="P1" s="1"/>
      <c r="Q1" s="1"/>
      <c r="R1" s="1"/>
      <c r="S1" s="1"/>
      <c r="T1" s="1"/>
      <c r="U1" s="1"/>
      <c r="V1" s="1"/>
      <c r="W1" s="1"/>
      <c r="X1" s="1"/>
      <c r="Y1" s="1"/>
      <c r="Z1" s="1"/>
      <c r="AA1" s="1"/>
      <c r="AB1" s="1"/>
      <c r="AC1" s="1"/>
      <c r="AD1" s="1"/>
      <c r="AE1" s="1"/>
      <c r="AF1" s="1"/>
      <c r="AG1" s="1"/>
      <c r="AH1" s="1"/>
      <c r="AI1" s="1"/>
      <c r="AJ1" s="1"/>
      <c r="AK1" s="1"/>
    </row>
    <row r="2" spans="1:52">
      <c r="A2" s="5" t="s">
        <v>52</v>
      </c>
      <c r="B2" s="5"/>
      <c r="C2" s="1"/>
      <c r="D2" s="1"/>
      <c r="E2" s="1"/>
      <c r="F2" s="1"/>
      <c r="G2" s="1"/>
      <c r="H2" s="1"/>
      <c r="I2" s="5" t="s">
        <v>53</v>
      </c>
      <c r="J2" s="1"/>
      <c r="K2" s="1"/>
      <c r="L2" s="1"/>
      <c r="M2" s="1"/>
      <c r="N2" s="1"/>
      <c r="O2" s="1" t="s">
        <v>54</v>
      </c>
      <c r="P2" s="1"/>
      <c r="Q2" s="1"/>
      <c r="R2" s="1"/>
      <c r="S2" s="1"/>
      <c r="T2" s="1"/>
      <c r="U2" s="1"/>
      <c r="V2" s="1"/>
      <c r="W2" s="1"/>
      <c r="X2" s="1" t="s">
        <v>55</v>
      </c>
      <c r="Y2" s="1"/>
      <c r="Z2" s="1"/>
      <c r="AA2" s="1"/>
      <c r="AB2" s="1"/>
      <c r="AC2" s="1"/>
      <c r="AD2" s="1"/>
      <c r="AE2" s="1"/>
      <c r="AF2" s="1"/>
      <c r="AG2" s="1"/>
      <c r="AH2" s="1"/>
      <c r="AI2" s="1"/>
      <c r="AJ2" s="1"/>
      <c r="AK2" s="1"/>
      <c r="AP2" t="s">
        <v>56</v>
      </c>
    </row>
    <row r="3" spans="1:52">
      <c r="A3" s="5" t="s">
        <v>57</v>
      </c>
      <c r="B3" s="5"/>
      <c r="C3" s="5"/>
      <c r="D3" s="1"/>
      <c r="E3" s="1"/>
      <c r="F3" s="1"/>
      <c r="G3" s="1"/>
      <c r="H3" s="1"/>
      <c r="I3" s="1" t="s">
        <v>58</v>
      </c>
      <c r="J3" s="1"/>
      <c r="K3" s="1"/>
      <c r="L3" s="1"/>
      <c r="M3" s="1"/>
      <c r="N3" s="1"/>
      <c r="O3" s="203" t="s">
        <v>59</v>
      </c>
      <c r="P3" s="203"/>
      <c r="Q3" s="203"/>
      <c r="R3" s="203"/>
      <c r="S3" s="203"/>
      <c r="T3" s="1"/>
      <c r="U3" s="1"/>
      <c r="V3" s="1"/>
      <c r="W3" s="1"/>
      <c r="X3" s="1"/>
      <c r="Y3" s="1"/>
      <c r="Z3" s="1"/>
      <c r="AA3" s="1"/>
      <c r="AB3" s="1"/>
      <c r="AC3" s="1"/>
      <c r="AD3" s="1"/>
      <c r="AE3" s="1"/>
      <c r="AF3" s="1"/>
      <c r="AG3" s="1"/>
      <c r="AH3" s="1"/>
      <c r="AI3" s="1"/>
      <c r="AJ3" s="1"/>
      <c r="AK3" s="1"/>
      <c r="AP3" s="201" t="s">
        <v>60</v>
      </c>
      <c r="AQ3" s="202"/>
      <c r="AR3" s="202"/>
      <c r="AS3" s="202"/>
      <c r="AT3" s="202"/>
      <c r="AU3" s="202"/>
      <c r="AV3" s="202"/>
      <c r="AW3" s="202"/>
      <c r="AX3" s="202"/>
      <c r="AY3" s="202"/>
      <c r="AZ3" s="202"/>
    </row>
    <row r="4" spans="1:52">
      <c r="A4" s="5" t="s">
        <v>61</v>
      </c>
      <c r="B4" s="1"/>
      <c r="C4" s="1"/>
      <c r="D4" s="1"/>
      <c r="E4" s="1"/>
      <c r="F4" s="1"/>
      <c r="G4" s="1"/>
      <c r="H4" s="1"/>
      <c r="I4" s="1"/>
      <c r="J4" s="1"/>
      <c r="K4" s="1"/>
      <c r="L4" s="1"/>
      <c r="M4" s="1"/>
      <c r="N4" s="1"/>
      <c r="O4" s="204" t="s">
        <v>62</v>
      </c>
      <c r="P4" s="204"/>
      <c r="Q4" s="204"/>
      <c r="R4" s="204"/>
      <c r="S4" s="1"/>
      <c r="T4" s="1"/>
      <c r="U4" s="1"/>
      <c r="V4" s="1"/>
      <c r="W4" s="1" t="s">
        <v>63</v>
      </c>
      <c r="X4" s="1"/>
      <c r="Y4" s="1"/>
      <c r="Z4" s="1"/>
      <c r="AA4" s="1" t="s">
        <v>64</v>
      </c>
      <c r="AB4" s="1"/>
      <c r="AC4" s="1"/>
      <c r="AD4" s="1"/>
      <c r="AE4" s="1" t="s">
        <v>65</v>
      </c>
      <c r="AF4" s="1"/>
      <c r="AG4" s="1"/>
      <c r="AH4" s="1"/>
      <c r="AI4" s="1" t="s">
        <v>66</v>
      </c>
      <c r="AJ4" s="1"/>
      <c r="AK4" s="1"/>
      <c r="AP4" s="202"/>
      <c r="AQ4" s="202"/>
      <c r="AR4" s="202"/>
      <c r="AS4" s="202"/>
      <c r="AT4" s="202"/>
      <c r="AU4" s="202"/>
      <c r="AV4" s="202"/>
      <c r="AW4" s="202"/>
      <c r="AX4" s="202"/>
      <c r="AY4" s="202"/>
      <c r="AZ4" s="202"/>
    </row>
    <row r="5" spans="1:52">
      <c r="A5" s="5" t="s">
        <v>67</v>
      </c>
      <c r="B5" s="5"/>
      <c r="C5" s="5"/>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spans="1:52">
      <c r="A6" s="1"/>
      <c r="B6" s="1"/>
      <c r="C6" s="1"/>
      <c r="D6" s="1"/>
      <c r="E6" s="1"/>
      <c r="F6" s="1"/>
      <c r="G6" s="1"/>
      <c r="H6" s="1"/>
      <c r="I6" s="1"/>
      <c r="J6" s="1"/>
      <c r="K6" s="1"/>
      <c r="L6" s="1"/>
      <c r="M6" s="1"/>
      <c r="N6" s="1"/>
      <c r="O6" s="5"/>
      <c r="P6" s="1"/>
      <c r="Q6" s="1"/>
      <c r="R6" s="1"/>
      <c r="S6" s="1"/>
      <c r="T6" s="1"/>
      <c r="U6" s="1"/>
      <c r="V6" s="1"/>
      <c r="W6" s="1"/>
      <c r="X6" s="1"/>
      <c r="Y6" s="1"/>
      <c r="Z6" s="1"/>
      <c r="AA6" s="1"/>
      <c r="AB6" s="1"/>
      <c r="AC6" s="1"/>
      <c r="AD6" s="1"/>
      <c r="AE6" s="1"/>
      <c r="AF6" s="1"/>
      <c r="AG6" s="1"/>
      <c r="AH6" s="1"/>
      <c r="AI6" s="1"/>
      <c r="AJ6" s="1"/>
      <c r="AK6" s="1"/>
      <c r="AP6" s="4"/>
      <c r="AQ6" s="4"/>
      <c r="AV6" t="s">
        <v>68</v>
      </c>
    </row>
    <row r="7" spans="1:52" s="4" customFormat="1" ht="18.75" customHeight="1">
      <c r="B7" s="197" t="s">
        <v>69</v>
      </c>
      <c r="C7" s="198"/>
      <c r="D7" s="197" t="s">
        <v>70</v>
      </c>
      <c r="E7" s="198"/>
      <c r="F7" s="199" t="s">
        <v>71</v>
      </c>
      <c r="G7" s="200"/>
      <c r="H7" s="5"/>
      <c r="I7" s="22" t="s">
        <v>72</v>
      </c>
      <c r="J7" s="22" t="s">
        <v>21</v>
      </c>
      <c r="K7" s="22" t="s">
        <v>73</v>
      </c>
      <c r="L7" s="5"/>
      <c r="M7" s="5"/>
      <c r="N7" s="5"/>
      <c r="O7" s="22" t="s">
        <v>74</v>
      </c>
      <c r="P7" s="22" t="s">
        <v>75</v>
      </c>
      <c r="Q7" s="22" t="s">
        <v>76</v>
      </c>
      <c r="R7" s="22" t="s">
        <v>77</v>
      </c>
      <c r="S7" s="22" t="s">
        <v>78</v>
      </c>
      <c r="T7" s="22" t="s">
        <v>79</v>
      </c>
      <c r="U7" s="5"/>
      <c r="V7" s="5"/>
      <c r="W7" s="5" t="s">
        <v>80</v>
      </c>
      <c r="X7" s="5" t="s">
        <v>81</v>
      </c>
      <c r="Y7" s="5" t="s">
        <v>82</v>
      </c>
      <c r="Z7" s="5"/>
      <c r="AA7" s="5" t="s">
        <v>80</v>
      </c>
      <c r="AB7" s="5" t="s">
        <v>81</v>
      </c>
      <c r="AC7" s="5" t="s">
        <v>82</v>
      </c>
      <c r="AD7" s="5"/>
      <c r="AE7" s="5" t="s">
        <v>80</v>
      </c>
      <c r="AF7" s="5" t="s">
        <v>81</v>
      </c>
      <c r="AG7" s="5" t="s">
        <v>82</v>
      </c>
      <c r="AH7" s="5"/>
      <c r="AI7" s="5" t="s">
        <v>80</v>
      </c>
      <c r="AJ7" s="5" t="s">
        <v>83</v>
      </c>
      <c r="AK7" s="5" t="s">
        <v>84</v>
      </c>
      <c r="AP7" s="4" t="s">
        <v>85</v>
      </c>
      <c r="AQ7" s="4" t="s">
        <v>86</v>
      </c>
      <c r="AV7" s="4" t="s">
        <v>87</v>
      </c>
      <c r="AW7" s="4" t="s">
        <v>88</v>
      </c>
      <c r="AX7" s="4" t="s">
        <v>89</v>
      </c>
      <c r="AY7" s="4" t="s">
        <v>90</v>
      </c>
    </row>
    <row r="8" spans="1:52">
      <c r="A8" s="133" t="s">
        <v>80</v>
      </c>
      <c r="B8" s="133" t="s">
        <v>91</v>
      </c>
      <c r="C8" s="133" t="s">
        <v>84</v>
      </c>
      <c r="D8" s="133" t="s">
        <v>91</v>
      </c>
      <c r="E8" s="133" t="s">
        <v>84</v>
      </c>
      <c r="F8" s="57" t="s">
        <v>91</v>
      </c>
      <c r="G8" s="155" t="str">
        <f>E8</f>
        <v>RETURNS</v>
      </c>
      <c r="H8" s="1"/>
      <c r="I8" s="23" t="s">
        <v>92</v>
      </c>
      <c r="J8" s="23">
        <f>_xlfn.STDEV.S(C9:C516)</f>
        <v>1.499102373237916E-2</v>
      </c>
      <c r="K8" s="23">
        <f>_xlfn.STDEV.S(E9:E516)</f>
        <v>7.5563839934265874E-3</v>
      </c>
      <c r="L8" s="1"/>
      <c r="M8" s="1"/>
      <c r="N8" s="1"/>
      <c r="O8" s="23" t="s">
        <v>93</v>
      </c>
      <c r="P8" s="37">
        <v>45243</v>
      </c>
      <c r="Q8" s="1">
        <v>-3.2000000000000003E-4</v>
      </c>
      <c r="R8" s="118">
        <v>4.7990000000000003E-3</v>
      </c>
      <c r="S8" s="23">
        <f>$J$13+($J$12*R8)</f>
        <v>1.9829504546574599E-3</v>
      </c>
      <c r="T8" s="38">
        <f>Q8-S8</f>
        <v>-2.3029504546574599E-3</v>
      </c>
      <c r="U8" s="1"/>
      <c r="V8" s="1"/>
      <c r="W8" s="2">
        <v>45623</v>
      </c>
      <c r="X8" s="3">
        <f>B9</f>
        <v>1495.65</v>
      </c>
      <c r="Y8" s="1">
        <f>X8/X9-1</f>
        <v>-9.018036072143687E-4</v>
      </c>
      <c r="Z8" s="1"/>
      <c r="AA8" s="2">
        <v>45433</v>
      </c>
      <c r="AB8" s="3">
        <f t="shared" ref="AB8:AB39" si="0">B139</f>
        <v>1443</v>
      </c>
      <c r="AC8" s="1">
        <f>AB8/AB9-1</f>
        <v>2.8510334996436182E-2</v>
      </c>
      <c r="AD8" s="1"/>
      <c r="AE8" s="2">
        <v>45342</v>
      </c>
      <c r="AF8" s="3">
        <f t="shared" ref="AF8:AF39" si="1">B198</f>
        <v>1450</v>
      </c>
      <c r="AG8" s="1">
        <f>AF8/AF9-1</f>
        <v>-1.4510483569510901E-2</v>
      </c>
      <c r="AH8" s="1"/>
      <c r="AI8" s="2">
        <v>45280</v>
      </c>
      <c r="AJ8" s="3">
        <f t="shared" ref="AJ8:AJ29" si="2">B240</f>
        <v>1238</v>
      </c>
      <c r="AK8" s="1">
        <f>AJ8/AJ9-1</f>
        <v>-1.612903225806428E-3</v>
      </c>
      <c r="AP8" t="s">
        <v>94</v>
      </c>
      <c r="AQ8">
        <v>25774</v>
      </c>
      <c r="AV8" t="s">
        <v>95</v>
      </c>
      <c r="AW8" s="32">
        <v>0</v>
      </c>
      <c r="AX8" s="32">
        <v>0.3</v>
      </c>
      <c r="AY8" s="32">
        <v>1</v>
      </c>
    </row>
    <row r="9" spans="1:52" ht="21" customHeight="1">
      <c r="A9" s="134">
        <v>45623</v>
      </c>
      <c r="B9" s="135">
        <v>1495.65</v>
      </c>
      <c r="C9" s="133">
        <f>B9/B10-1</f>
        <v>-9.018036072143687E-4</v>
      </c>
      <c r="D9" s="133">
        <v>24274.9</v>
      </c>
      <c r="E9" s="133">
        <f>D9/D10-1</f>
        <v>3.3230692926078387E-3</v>
      </c>
      <c r="F9" s="135">
        <v>21828.6</v>
      </c>
      <c r="G9" s="67">
        <f t="shared" ref="G9:G72" si="3">F10/F9-1</f>
        <v>6.0997956808956921E-3</v>
      </c>
      <c r="H9" s="1"/>
      <c r="I9" s="23" t="s">
        <v>96</v>
      </c>
      <c r="J9" s="23">
        <f>J8*SQRT(252)</f>
        <v>0.23797512416485533</v>
      </c>
      <c r="K9" s="23">
        <f t="shared" ref="K9" si="4">K8*SQRT(252)</f>
        <v>0.11995387714509528</v>
      </c>
      <c r="L9" s="23"/>
      <c r="M9" s="1"/>
      <c r="N9" s="1"/>
      <c r="O9" s="23" t="s">
        <v>97</v>
      </c>
      <c r="P9" s="37">
        <v>45244</v>
      </c>
      <c r="Q9" s="1">
        <v>-8.4999999999999995E-4</v>
      </c>
      <c r="R9" s="1">
        <v>5.3499999999999997E-3</v>
      </c>
      <c r="S9" s="23">
        <f t="shared" ref="S9:S18" si="5">$J$13+($J$12*R9)</f>
        <v>2.1555706452663251E-3</v>
      </c>
      <c r="T9" s="38">
        <f t="shared" ref="T9:T18" si="6">Q9-S9</f>
        <v>-3.0055706452663251E-3</v>
      </c>
      <c r="U9" s="1"/>
      <c r="V9" s="1"/>
      <c r="W9" s="2">
        <v>45622</v>
      </c>
      <c r="X9" s="3">
        <v>1497</v>
      </c>
      <c r="Y9" s="1">
        <f t="shared" ref="Y9:Y72" si="7">X9/X10-1</f>
        <v>-6.9322365584265633E-3</v>
      </c>
      <c r="Z9" s="1"/>
      <c r="AA9" s="2">
        <v>45430</v>
      </c>
      <c r="AB9" s="3">
        <f t="shared" si="0"/>
        <v>1403</v>
      </c>
      <c r="AC9" s="1">
        <f t="shared" ref="AC9:AC72" si="8">AB9/AB10-1</f>
        <v>3.5765379113019691E-3</v>
      </c>
      <c r="AD9" s="1"/>
      <c r="AE9" s="2">
        <v>45341</v>
      </c>
      <c r="AF9" s="3">
        <f t="shared" si="1"/>
        <v>1471.35</v>
      </c>
      <c r="AG9" s="1">
        <f t="shared" ref="AG9:AG70" si="9">AF9/AF10-1</f>
        <v>2.1061762664815964E-2</v>
      </c>
      <c r="AH9" s="1"/>
      <c r="AI9" s="2">
        <v>45279</v>
      </c>
      <c r="AJ9" s="3">
        <f t="shared" si="2"/>
        <v>1240</v>
      </c>
      <c r="AK9" s="1">
        <f t="shared" ref="AK9:AK28" si="10">AJ9/AJ10-1</f>
        <v>2.0576131687242816E-2</v>
      </c>
      <c r="AP9" t="s">
        <v>98</v>
      </c>
      <c r="AQ9" s="32">
        <v>0.26</v>
      </c>
      <c r="AV9" t="s">
        <v>99</v>
      </c>
      <c r="AW9">
        <v>0</v>
      </c>
      <c r="AX9">
        <f>AX8*$AQ$12</f>
        <v>40.207439999999998</v>
      </c>
      <c r="AY9">
        <f t="shared" ref="AY9" si="11">AY8*$AQ$12</f>
        <v>134.0248</v>
      </c>
    </row>
    <row r="10" spans="1:52">
      <c r="A10" s="134">
        <v>45622</v>
      </c>
      <c r="B10" s="135">
        <v>1497</v>
      </c>
      <c r="C10" s="133">
        <f t="shared" ref="C10:C73" si="12">B10/B11-1</f>
        <v>-6.9322365584265633E-3</v>
      </c>
      <c r="D10" s="133">
        <v>24194.5</v>
      </c>
      <c r="E10" s="133">
        <f t="shared" ref="E10:E73" si="13">D10/D11-1</f>
        <v>-1.1312077087264338E-3</v>
      </c>
      <c r="F10" s="135">
        <v>21961.75</v>
      </c>
      <c r="G10" s="67">
        <f t="shared" si="3"/>
        <v>9.8034081983449095E-3</v>
      </c>
      <c r="H10" s="1"/>
      <c r="I10" s="23"/>
      <c r="J10" s="23"/>
      <c r="K10" s="23"/>
      <c r="L10" s="1"/>
      <c r="M10" s="1"/>
      <c r="N10" s="1"/>
      <c r="O10" s="23" t="s">
        <v>100</v>
      </c>
      <c r="P10" s="37">
        <v>45245</v>
      </c>
      <c r="Q10" s="1">
        <v>-1.01E-3</v>
      </c>
      <c r="R10" s="1">
        <v>-3.6999999999999999E-4</v>
      </c>
      <c r="S10" s="23">
        <f t="shared" si="5"/>
        <v>3.6357882987120694E-4</v>
      </c>
      <c r="T10" s="38">
        <f t="shared" si="6"/>
        <v>-1.373578829871207E-3</v>
      </c>
      <c r="U10" s="1"/>
      <c r="V10" s="1"/>
      <c r="W10" s="2">
        <v>45621</v>
      </c>
      <c r="X10" s="3">
        <v>1507.45</v>
      </c>
      <c r="Y10" s="1">
        <f t="shared" si="7"/>
        <v>1.4946978623127549E-2</v>
      </c>
      <c r="Z10" s="1"/>
      <c r="AA10" s="2">
        <v>45429</v>
      </c>
      <c r="AB10" s="3">
        <f t="shared" si="0"/>
        <v>1398</v>
      </c>
      <c r="AC10" s="1">
        <f t="shared" si="8"/>
        <v>-1.5943406187308717E-2</v>
      </c>
      <c r="AD10" s="1"/>
      <c r="AE10" s="2">
        <v>45338</v>
      </c>
      <c r="AF10" s="3">
        <f t="shared" si="1"/>
        <v>1441</v>
      </c>
      <c r="AG10" s="1">
        <f t="shared" si="9"/>
        <v>1.1263553107126567E-2</v>
      </c>
      <c r="AH10" s="1"/>
      <c r="AI10" s="2">
        <v>45278</v>
      </c>
      <c r="AJ10" s="3">
        <f t="shared" si="2"/>
        <v>1215</v>
      </c>
      <c r="AK10" s="1">
        <f t="shared" si="10"/>
        <v>8.1732564411067798E-3</v>
      </c>
      <c r="AP10" t="s">
        <v>101</v>
      </c>
      <c r="AQ10" s="33">
        <f>AQ8*AQ9</f>
        <v>6701.24</v>
      </c>
      <c r="AV10" t="s">
        <v>102</v>
      </c>
      <c r="AW10">
        <v>6291</v>
      </c>
      <c r="AX10">
        <f>$AQ$13-AX9</f>
        <v>6250.7925599999999</v>
      </c>
      <c r="AY10">
        <f>$AQ$13-AY9</f>
        <v>6156.9751999999999</v>
      </c>
    </row>
    <row r="11" spans="1:52">
      <c r="A11" s="134">
        <v>45621</v>
      </c>
      <c r="B11" s="135">
        <v>1507.45</v>
      </c>
      <c r="C11" s="133">
        <f t="shared" si="12"/>
        <v>1.4946978623127549E-2</v>
      </c>
      <c r="D11" s="133">
        <v>24221.9</v>
      </c>
      <c r="E11" s="133">
        <f t="shared" si="13"/>
        <v>1.3161279528176584E-2</v>
      </c>
      <c r="F11" s="135">
        <v>22177.05</v>
      </c>
      <c r="G11" s="67">
        <f t="shared" si="3"/>
        <v>-9.694706915482465E-3</v>
      </c>
      <c r="H11" s="1"/>
      <c r="I11" s="23"/>
      <c r="J11" s="23"/>
      <c r="K11" s="23"/>
      <c r="L11" s="1"/>
      <c r="M11" s="1"/>
      <c r="N11" s="1"/>
      <c r="O11" s="23" t="s">
        <v>103</v>
      </c>
      <c r="P11" s="37">
        <v>45246</v>
      </c>
      <c r="Q11" s="1">
        <v>-3.5100000000000001E-3</v>
      </c>
      <c r="R11" s="1">
        <v>-5.0000000000000001E-4</v>
      </c>
      <c r="S11" s="23">
        <f t="shared" si="5"/>
        <v>3.2285174315768153E-4</v>
      </c>
      <c r="T11" s="38">
        <f t="shared" si="6"/>
        <v>-3.8328517431576816E-3</v>
      </c>
      <c r="U11" s="1"/>
      <c r="V11" s="1"/>
      <c r="W11" s="2">
        <v>45618</v>
      </c>
      <c r="X11" s="3">
        <v>1485.25</v>
      </c>
      <c r="Y11" s="1">
        <f t="shared" si="7"/>
        <v>1.6598220396988328E-2</v>
      </c>
      <c r="Z11" s="1"/>
      <c r="AA11" s="2">
        <v>45428</v>
      </c>
      <c r="AB11" s="3">
        <f t="shared" si="0"/>
        <v>1420.65</v>
      </c>
      <c r="AC11" s="1">
        <f t="shared" si="8"/>
        <v>1.077908217716117E-2</v>
      </c>
      <c r="AD11" s="1"/>
      <c r="AE11" s="2">
        <v>45337</v>
      </c>
      <c r="AF11" s="3">
        <f t="shared" si="1"/>
        <v>1424.95</v>
      </c>
      <c r="AG11" s="1">
        <f t="shared" si="9"/>
        <v>1.0537777933892212E-3</v>
      </c>
      <c r="AH11" s="1"/>
      <c r="AI11" s="2">
        <v>45275</v>
      </c>
      <c r="AJ11" s="3">
        <f t="shared" si="2"/>
        <v>1205.1500000000001</v>
      </c>
      <c r="AK11" s="1">
        <f t="shared" si="10"/>
        <v>1.2448132780096266E-4</v>
      </c>
      <c r="AP11" t="s">
        <v>104</v>
      </c>
      <c r="AQ11" s="32">
        <v>0.02</v>
      </c>
      <c r="AV11" t="s">
        <v>105</v>
      </c>
      <c r="AW11" s="16">
        <v>0.24399999999999999</v>
      </c>
      <c r="AX11">
        <f>AX10/$AQ$8</f>
        <v>0.24252318460464034</v>
      </c>
      <c r="AY11">
        <f t="shared" ref="AY11" si="14">AY10/$AQ$8</f>
        <v>0.23888318460464034</v>
      </c>
    </row>
    <row r="12" spans="1:52">
      <c r="A12" s="134">
        <v>45618</v>
      </c>
      <c r="B12" s="135">
        <v>1485.25</v>
      </c>
      <c r="C12" s="133">
        <f t="shared" si="12"/>
        <v>1.6598220396988328E-2</v>
      </c>
      <c r="D12" s="133">
        <v>23907.25</v>
      </c>
      <c r="E12" s="133">
        <f t="shared" si="13"/>
        <v>2.3869481239748191E-2</v>
      </c>
      <c r="F12" s="135">
        <v>21962.05</v>
      </c>
      <c r="G12" s="67">
        <f t="shared" si="3"/>
        <v>-1.0106069333236212E-2</v>
      </c>
      <c r="H12" s="1"/>
      <c r="I12" s="23" t="s">
        <v>106</v>
      </c>
      <c r="J12" s="23">
        <f>SLOPE(C9:C516,E9:E516)</f>
        <v>0.31328528241173398</v>
      </c>
      <c r="K12" s="23"/>
      <c r="L12" s="1"/>
      <c r="M12" s="1"/>
      <c r="N12" s="1"/>
      <c r="O12" s="23" t="s">
        <v>107</v>
      </c>
      <c r="P12" s="37">
        <v>45247</v>
      </c>
      <c r="Q12" s="1">
        <v>1.0160000000000001E-2</v>
      </c>
      <c r="R12" s="1">
        <v>1.438E-3</v>
      </c>
      <c r="S12" s="23">
        <f t="shared" si="5"/>
        <v>9.2999862047162202E-4</v>
      </c>
      <c r="T12" s="38">
        <f t="shared" si="6"/>
        <v>9.230001379528379E-3</v>
      </c>
      <c r="U12" s="1"/>
      <c r="V12" s="1"/>
      <c r="W12" s="2">
        <v>45617</v>
      </c>
      <c r="X12" s="3">
        <v>1461</v>
      </c>
      <c r="Y12" s="1">
        <f t="shared" si="7"/>
        <v>-6.1224489795917991E-3</v>
      </c>
      <c r="Z12" s="1"/>
      <c r="AA12" s="2">
        <v>45427</v>
      </c>
      <c r="AB12" s="3">
        <f t="shared" si="0"/>
        <v>1405.5</v>
      </c>
      <c r="AC12" s="1">
        <f t="shared" si="8"/>
        <v>3.4825504343984681E-2</v>
      </c>
      <c r="AD12" s="1"/>
      <c r="AE12" s="2">
        <v>45336</v>
      </c>
      <c r="AF12" s="3">
        <f t="shared" si="1"/>
        <v>1423.45</v>
      </c>
      <c r="AG12" s="1">
        <f t="shared" si="9"/>
        <v>-2.0472061657032747E-2</v>
      </c>
      <c r="AH12" s="1"/>
      <c r="AI12" s="2">
        <v>45274</v>
      </c>
      <c r="AJ12" s="3">
        <f t="shared" si="2"/>
        <v>1205</v>
      </c>
      <c r="AK12" s="1">
        <f t="shared" si="10"/>
        <v>-6.5952184666117075E-3</v>
      </c>
      <c r="AP12" t="s">
        <v>108</v>
      </c>
      <c r="AQ12" s="33">
        <f>AQ10*AQ11</f>
        <v>134.0248</v>
      </c>
      <c r="AV12" t="s">
        <v>109</v>
      </c>
      <c r="AW12">
        <v>4122</v>
      </c>
      <c r="AX12">
        <f>$AQ$14-(AX9*(1-$AQ$16))</f>
        <v>4091.8444199999999</v>
      </c>
      <c r="AY12">
        <f>$AQ$14-(AY9*(1-$AQ$16))</f>
        <v>4021.4814000000001</v>
      </c>
    </row>
    <row r="13" spans="1:52">
      <c r="A13" s="134">
        <v>45617</v>
      </c>
      <c r="B13" s="135">
        <v>1461</v>
      </c>
      <c r="C13" s="133">
        <f t="shared" si="12"/>
        <v>-6.1224489795917991E-3</v>
      </c>
      <c r="D13" s="133">
        <v>23349.9</v>
      </c>
      <c r="E13" s="133">
        <f t="shared" si="13"/>
        <v>-7.1688245423814356E-3</v>
      </c>
      <c r="F13" s="135">
        <v>21740.1</v>
      </c>
      <c r="G13" s="67">
        <f t="shared" si="3"/>
        <v>1.3224410191305935E-3</v>
      </c>
      <c r="H13" s="1"/>
      <c r="I13" s="23" t="s">
        <v>110</v>
      </c>
      <c r="J13" s="23">
        <f>INTERCEPT(C9:C516,E9:E516)</f>
        <v>4.7949438436354854E-4</v>
      </c>
      <c r="K13" s="23"/>
      <c r="L13" s="1"/>
      <c r="M13" s="1"/>
      <c r="N13" s="1"/>
      <c r="O13" s="22" t="s">
        <v>111</v>
      </c>
      <c r="P13" s="39">
        <v>45250</v>
      </c>
      <c r="Q13" s="1">
        <v>4.4000000000000002E-4</v>
      </c>
      <c r="R13" s="1">
        <v>4.5389999999999996E-3</v>
      </c>
      <c r="S13" s="23">
        <f t="shared" si="5"/>
        <v>1.9014962812304091E-3</v>
      </c>
      <c r="T13" s="38">
        <f t="shared" si="6"/>
        <v>-1.461496281230409E-3</v>
      </c>
      <c r="U13" s="1"/>
      <c r="V13" s="1"/>
      <c r="W13" s="2">
        <v>45615</v>
      </c>
      <c r="X13" s="3">
        <v>1470</v>
      </c>
      <c r="Y13" s="1">
        <f t="shared" si="7"/>
        <v>4.098360655737654E-3</v>
      </c>
      <c r="Z13" s="1"/>
      <c r="AA13" s="2">
        <v>45426</v>
      </c>
      <c r="AB13" s="3">
        <f t="shared" si="0"/>
        <v>1358.2</v>
      </c>
      <c r="AC13" s="1">
        <f t="shared" si="8"/>
        <v>-4.4194229415904229E-2</v>
      </c>
      <c r="AD13" s="1"/>
      <c r="AE13" s="2">
        <v>45335</v>
      </c>
      <c r="AF13" s="3">
        <f t="shared" si="1"/>
        <v>1453.2</v>
      </c>
      <c r="AG13" s="1">
        <f t="shared" si="9"/>
        <v>1.6223776223776243E-2</v>
      </c>
      <c r="AH13" s="1"/>
      <c r="AI13" s="2">
        <v>45273</v>
      </c>
      <c r="AJ13" s="3">
        <f t="shared" si="2"/>
        <v>1213</v>
      </c>
      <c r="AK13" s="1">
        <f t="shared" si="10"/>
        <v>1.2520868113522488E-2</v>
      </c>
      <c r="AP13" t="s">
        <v>112</v>
      </c>
      <c r="AQ13">
        <v>6291</v>
      </c>
      <c r="AV13" t="s">
        <v>113</v>
      </c>
      <c r="AW13" s="16">
        <v>0.16</v>
      </c>
      <c r="AX13">
        <f>AX12/$AQ$8</f>
        <v>0.1587586102273609</v>
      </c>
      <c r="AY13">
        <f t="shared" ref="AY13" si="15">AY12/$AQ$8</f>
        <v>0.15602861022736092</v>
      </c>
    </row>
    <row r="14" spans="1:52">
      <c r="A14" s="134">
        <v>45615</v>
      </c>
      <c r="B14" s="135">
        <v>1470</v>
      </c>
      <c r="C14" s="133">
        <f t="shared" si="12"/>
        <v>4.098360655737654E-3</v>
      </c>
      <c r="D14" s="133">
        <v>23518.5</v>
      </c>
      <c r="E14" s="133">
        <f t="shared" si="13"/>
        <v>2.758614808687776E-3</v>
      </c>
      <c r="F14" s="135">
        <v>21768.85</v>
      </c>
      <c r="G14" s="67">
        <f t="shared" si="3"/>
        <v>-1.0322088672575558E-2</v>
      </c>
      <c r="H14" s="1"/>
      <c r="I14" s="1"/>
      <c r="J14" s="1"/>
      <c r="K14" s="1"/>
      <c r="L14" s="1"/>
      <c r="M14" s="1"/>
      <c r="N14" s="1"/>
      <c r="O14" s="23" t="s">
        <v>114</v>
      </c>
      <c r="P14" s="37">
        <v>45251</v>
      </c>
      <c r="Q14" s="1">
        <v>4.1999999999999997E-3</v>
      </c>
      <c r="R14" s="1">
        <v>-1.92E-3</v>
      </c>
      <c r="S14" s="23">
        <f t="shared" si="5"/>
        <v>-1.220133578669807E-4</v>
      </c>
      <c r="T14" s="38">
        <f t="shared" si="6"/>
        <v>4.3220133578669804E-3</v>
      </c>
      <c r="U14" s="1"/>
      <c r="V14" s="1"/>
      <c r="W14" s="2">
        <v>45614</v>
      </c>
      <c r="X14" s="3">
        <v>1464</v>
      </c>
      <c r="Y14" s="1">
        <f t="shared" si="7"/>
        <v>-2.4845134217011844E-2</v>
      </c>
      <c r="Z14" s="1"/>
      <c r="AA14" s="2">
        <v>45425</v>
      </c>
      <c r="AB14" s="3">
        <f t="shared" si="0"/>
        <v>1421</v>
      </c>
      <c r="AC14" s="1">
        <f t="shared" si="8"/>
        <v>6.0447761194029948E-2</v>
      </c>
      <c r="AD14" s="1"/>
      <c r="AE14" s="2">
        <v>45334</v>
      </c>
      <c r="AF14" s="3">
        <f t="shared" si="1"/>
        <v>1430</v>
      </c>
      <c r="AG14" s="1">
        <f t="shared" si="9"/>
        <v>-8.3217753120665705E-3</v>
      </c>
      <c r="AH14" s="1"/>
      <c r="AI14" s="2">
        <v>45272</v>
      </c>
      <c r="AJ14" s="3">
        <f t="shared" si="2"/>
        <v>1198</v>
      </c>
      <c r="AK14" s="1">
        <f t="shared" si="10"/>
        <v>-4.983388704318914E-3</v>
      </c>
      <c r="AP14" t="s">
        <v>115</v>
      </c>
      <c r="AQ14">
        <v>4122</v>
      </c>
      <c r="AV14" t="s">
        <v>116</v>
      </c>
      <c r="AW14">
        <v>4134</v>
      </c>
      <c r="AX14">
        <f>AQ15-AX9</f>
        <v>4093.7925599999999</v>
      </c>
      <c r="AY14">
        <f>AQ15-AY9</f>
        <v>3999.9751999999999</v>
      </c>
    </row>
    <row r="15" spans="1:52">
      <c r="A15" s="134">
        <v>45614</v>
      </c>
      <c r="B15" s="135">
        <v>1464</v>
      </c>
      <c r="C15" s="133">
        <f>B15/B16-1</f>
        <v>-2.4845134217011844E-2</v>
      </c>
      <c r="D15" s="133">
        <v>23453.8</v>
      </c>
      <c r="E15" s="133">
        <f>D15/D16-1</f>
        <v>-3.3527814487925856E-3</v>
      </c>
      <c r="F15" s="135">
        <v>21544.15</v>
      </c>
      <c r="G15" s="67">
        <f t="shared" si="3"/>
        <v>9.6476305632851034E-3</v>
      </c>
      <c r="H15" s="1"/>
      <c r="I15" s="1"/>
      <c r="J15" s="1"/>
      <c r="K15" s="1"/>
      <c r="L15" s="1"/>
      <c r="M15" s="1"/>
      <c r="N15" s="1"/>
      <c r="O15" s="23" t="s">
        <v>117</v>
      </c>
      <c r="P15" s="37">
        <v>45252</v>
      </c>
      <c r="Q15" s="1">
        <v>1.507E-2</v>
      </c>
      <c r="R15" s="1">
        <v>-1.6900000000000001E-3</v>
      </c>
      <c r="S15" s="23">
        <f t="shared" si="5"/>
        <v>-4.9957742912281873E-5</v>
      </c>
      <c r="T15" s="38">
        <f t="shared" si="6"/>
        <v>1.5119957742912282E-2</v>
      </c>
      <c r="U15" s="1"/>
      <c r="V15" s="1"/>
      <c r="W15" s="2">
        <v>45610</v>
      </c>
      <c r="X15" s="3">
        <v>1501.3</v>
      </c>
      <c r="Y15" s="1">
        <f>X15/X16-1</f>
        <v>-2.9884446805684695E-3</v>
      </c>
      <c r="Z15" s="1"/>
      <c r="AA15" s="2">
        <v>45422</v>
      </c>
      <c r="AB15" s="3">
        <f t="shared" si="0"/>
        <v>1340</v>
      </c>
      <c r="AC15" s="1">
        <f>AB15/AB16-1</f>
        <v>-1.8925943551634461E-2</v>
      </c>
      <c r="AD15" s="1"/>
      <c r="AE15" s="2">
        <v>45331</v>
      </c>
      <c r="AF15" s="3">
        <f t="shared" si="1"/>
        <v>1442</v>
      </c>
      <c r="AG15" s="1">
        <f>AF15/AF16-1</f>
        <v>1.2427157200028072E-2</v>
      </c>
      <c r="AH15" s="1"/>
      <c r="AI15" s="2">
        <v>45271</v>
      </c>
      <c r="AJ15" s="3">
        <f t="shared" si="2"/>
        <v>1204</v>
      </c>
      <c r="AK15" s="1">
        <f>AJ15/AJ16-1</f>
        <v>-1.2305168170631653E-2</v>
      </c>
      <c r="AP15" t="s">
        <v>118</v>
      </c>
      <c r="AQ15">
        <v>4134</v>
      </c>
    </row>
    <row r="16" spans="1:52">
      <c r="A16" s="134">
        <v>45610</v>
      </c>
      <c r="B16" s="135">
        <v>1501.3</v>
      </c>
      <c r="C16" s="133">
        <f t="shared" si="12"/>
        <v>-2.9884446805684695E-3</v>
      </c>
      <c r="D16" s="133">
        <v>23532.7</v>
      </c>
      <c r="E16" s="133">
        <f t="shared" si="13"/>
        <v>-1.1184661520731165E-3</v>
      </c>
      <c r="F16" s="135">
        <v>21752</v>
      </c>
      <c r="G16" s="67">
        <f t="shared" si="3"/>
        <v>2.6342405296064797E-3</v>
      </c>
      <c r="H16" s="1"/>
      <c r="I16" s="1"/>
      <c r="J16" s="1"/>
      <c r="K16" s="1"/>
      <c r="L16" s="1"/>
      <c r="M16" s="1"/>
      <c r="N16" s="1"/>
      <c r="O16" s="23" t="s">
        <v>119</v>
      </c>
      <c r="P16" s="37">
        <v>45253</v>
      </c>
      <c r="Q16" s="1">
        <v>-7.7380000000000004E-2</v>
      </c>
      <c r="R16" s="1">
        <v>4.5620000000000001E-3</v>
      </c>
      <c r="S16" s="23">
        <f t="shared" si="5"/>
        <v>1.9087018427258789E-3</v>
      </c>
      <c r="T16" s="38">
        <f t="shared" si="6"/>
        <v>-7.9288701842725878E-2</v>
      </c>
      <c r="U16" s="1"/>
      <c r="V16" s="1"/>
      <c r="W16" s="2">
        <v>45609</v>
      </c>
      <c r="X16" s="3">
        <v>1505.8</v>
      </c>
      <c r="Y16" s="1">
        <f t="shared" si="7"/>
        <v>-1.2104313596850935E-2</v>
      </c>
      <c r="Z16" s="1"/>
      <c r="AA16" s="2">
        <v>45421</v>
      </c>
      <c r="AB16" s="3">
        <f t="shared" si="0"/>
        <v>1365.85</v>
      </c>
      <c r="AC16" s="1">
        <f t="shared" si="8"/>
        <v>-1.4467133270798849E-2</v>
      </c>
      <c r="AD16" s="1"/>
      <c r="AE16" s="2">
        <v>45330</v>
      </c>
      <c r="AF16" s="3">
        <f t="shared" si="1"/>
        <v>1424.3</v>
      </c>
      <c r="AG16" s="1">
        <f t="shared" si="9"/>
        <v>-9.5271210013908592E-3</v>
      </c>
      <c r="AH16" s="1"/>
      <c r="AI16" s="2">
        <v>45268</v>
      </c>
      <c r="AJ16" s="3">
        <f t="shared" si="2"/>
        <v>1219</v>
      </c>
      <c r="AK16" s="1">
        <f t="shared" si="10"/>
        <v>-4.0442828546918275E-3</v>
      </c>
      <c r="AP16" t="s">
        <v>120</v>
      </c>
      <c r="AQ16" s="32">
        <v>0.25</v>
      </c>
      <c r="AV16" s="4"/>
      <c r="AW16" s="4"/>
      <c r="AX16" s="4"/>
      <c r="AY16" s="4"/>
    </row>
    <row r="17" spans="1:51" ht="15" customHeight="1">
      <c r="A17" s="134">
        <v>45609</v>
      </c>
      <c r="B17" s="135">
        <v>1505.8</v>
      </c>
      <c r="C17" s="133">
        <f t="shared" si="12"/>
        <v>-1.2104313596850935E-2</v>
      </c>
      <c r="D17" s="133">
        <v>23559.05</v>
      </c>
      <c r="E17" s="133">
        <f t="shared" si="13"/>
        <v>-1.3582627300494754E-2</v>
      </c>
      <c r="F17" s="135">
        <v>21809.3</v>
      </c>
      <c r="G17" s="67">
        <f t="shared" si="3"/>
        <v>1.5695139229594757E-2</v>
      </c>
      <c r="H17" s="1"/>
      <c r="I17" s="205" t="s">
        <v>121</v>
      </c>
      <c r="J17" s="206"/>
      <c r="K17" s="1"/>
      <c r="L17" s="1"/>
      <c r="M17" s="1"/>
      <c r="N17" s="1"/>
      <c r="O17" s="23" t="s">
        <v>122</v>
      </c>
      <c r="P17" s="37">
        <v>45254</v>
      </c>
      <c r="Q17" s="1">
        <v>1.8610000000000002E-2</v>
      </c>
      <c r="R17" s="1">
        <v>1.1927E-2</v>
      </c>
      <c r="S17" s="23">
        <f t="shared" si="5"/>
        <v>4.2160479476882999E-3</v>
      </c>
      <c r="T17" s="38">
        <f t="shared" si="6"/>
        <v>1.4393952052311702E-2</v>
      </c>
      <c r="U17" s="1"/>
      <c r="V17" s="1"/>
      <c r="W17" s="2">
        <v>45608</v>
      </c>
      <c r="X17" s="3">
        <v>1524.25</v>
      </c>
      <c r="Y17" s="1">
        <f t="shared" si="7"/>
        <v>-1.6454266817228613E-2</v>
      </c>
      <c r="Z17" s="1"/>
      <c r="AA17" s="2">
        <v>45420</v>
      </c>
      <c r="AB17" s="3">
        <f t="shared" si="0"/>
        <v>1385.9</v>
      </c>
      <c r="AC17" s="1">
        <f t="shared" si="8"/>
        <v>-2.9496402877696726E-3</v>
      </c>
      <c r="AD17" s="1"/>
      <c r="AE17" s="2">
        <v>45329</v>
      </c>
      <c r="AF17" s="3">
        <f t="shared" si="1"/>
        <v>1438</v>
      </c>
      <c r="AG17" s="1">
        <f t="shared" si="9"/>
        <v>9.8314606741574107E-3</v>
      </c>
      <c r="AH17" s="1"/>
      <c r="AI17" s="2">
        <v>45267</v>
      </c>
      <c r="AJ17" s="3">
        <f t="shared" si="2"/>
        <v>1223.95</v>
      </c>
      <c r="AK17" s="1">
        <f t="shared" si="10"/>
        <v>1.4043082021541142E-2</v>
      </c>
      <c r="AW17" s="35"/>
      <c r="AX17" s="35"/>
      <c r="AY17" s="35"/>
    </row>
    <row r="18" spans="1:51">
      <c r="A18" s="134">
        <v>45608</v>
      </c>
      <c r="B18" s="135">
        <v>1524.25</v>
      </c>
      <c r="C18" s="133">
        <f t="shared" si="12"/>
        <v>-1.6454266817228613E-2</v>
      </c>
      <c r="D18" s="133">
        <v>23883.45</v>
      </c>
      <c r="E18" s="133">
        <f t="shared" si="13"/>
        <v>-1.0680866399075395E-2</v>
      </c>
      <c r="F18" s="135">
        <v>22151.599999999999</v>
      </c>
      <c r="G18" s="67">
        <f t="shared" si="3"/>
        <v>8.6968887123277661E-3</v>
      </c>
      <c r="H18" s="1"/>
      <c r="I18" s="98" t="s">
        <v>72</v>
      </c>
      <c r="J18" s="98" t="s">
        <v>123</v>
      </c>
      <c r="K18" s="1"/>
      <c r="L18" s="1"/>
      <c r="M18" s="1"/>
      <c r="N18" s="1"/>
      <c r="O18" s="23" t="s">
        <v>124</v>
      </c>
      <c r="P18" s="37">
        <v>45258</v>
      </c>
      <c r="Q18" s="1">
        <v>-3.9699999999999996E-3</v>
      </c>
      <c r="R18" s="1">
        <v>-4.1999999999999997E-3</v>
      </c>
      <c r="S18" s="23">
        <f t="shared" si="5"/>
        <v>-8.3630380176573393E-4</v>
      </c>
      <c r="T18" s="38">
        <f t="shared" si="6"/>
        <v>-3.1336961982342659E-3</v>
      </c>
      <c r="U18" s="1"/>
      <c r="V18" s="1"/>
      <c r="W18" s="2">
        <v>45607</v>
      </c>
      <c r="X18" s="3">
        <v>1549.75</v>
      </c>
      <c r="Y18" s="1">
        <f t="shared" si="7"/>
        <v>-2.5651504196661512E-2</v>
      </c>
      <c r="Z18" s="1"/>
      <c r="AA18" s="2">
        <v>45419</v>
      </c>
      <c r="AB18" s="3">
        <f t="shared" si="0"/>
        <v>1390</v>
      </c>
      <c r="AC18" s="1">
        <f t="shared" si="8"/>
        <v>-2.3876404494381998E-2</v>
      </c>
      <c r="AD18" s="1"/>
      <c r="AE18" s="2">
        <v>45328</v>
      </c>
      <c r="AF18" s="3">
        <f t="shared" si="1"/>
        <v>1424</v>
      </c>
      <c r="AG18" s="1">
        <f t="shared" si="9"/>
        <v>-5.8642837196314357E-3</v>
      </c>
      <c r="AH18" s="1"/>
      <c r="AI18" s="2">
        <v>45266</v>
      </c>
      <c r="AJ18" s="3">
        <f t="shared" si="2"/>
        <v>1207</v>
      </c>
      <c r="AK18" s="1">
        <f t="shared" si="10"/>
        <v>-1.1870650839132191E-2</v>
      </c>
    </row>
    <row r="19" spans="1:51">
      <c r="A19" s="134">
        <v>45607</v>
      </c>
      <c r="B19" s="135">
        <v>1549.75</v>
      </c>
      <c r="C19" s="133">
        <f t="shared" si="12"/>
        <v>-2.5651504196661512E-2</v>
      </c>
      <c r="D19" s="133">
        <v>24141.3</v>
      </c>
      <c r="E19" s="133">
        <f t="shared" si="13"/>
        <v>-2.8573558277644739E-4</v>
      </c>
      <c r="F19" s="135">
        <v>22344.25</v>
      </c>
      <c r="G19" s="67">
        <f t="shared" si="3"/>
        <v>8.8613401658144131E-3</v>
      </c>
      <c r="H19" s="1"/>
      <c r="I19" s="97" t="s">
        <v>92</v>
      </c>
      <c r="J19" s="97">
        <f>_xlfn.STDEV.S(Q8:Q18)</f>
        <v>2.5645499162089382E-2</v>
      </c>
      <c r="K19" s="1"/>
      <c r="L19" s="1"/>
      <c r="M19" s="1"/>
      <c r="N19" s="1"/>
      <c r="O19" s="23" t="s">
        <v>125</v>
      </c>
      <c r="P19" s="1"/>
      <c r="Q19" s="1"/>
      <c r="R19" s="1"/>
      <c r="S19" s="23"/>
      <c r="T19" s="38">
        <f>SUM(T8:T18)</f>
        <v>-5.1332921462523884E-2</v>
      </c>
      <c r="U19" s="1"/>
      <c r="V19" s="1"/>
      <c r="W19" s="2">
        <v>45604</v>
      </c>
      <c r="X19" s="3">
        <v>1590.55</v>
      </c>
      <c r="Y19" s="1">
        <f t="shared" si="7"/>
        <v>4.9281314168376777E-3</v>
      </c>
      <c r="Z19" s="1"/>
      <c r="AA19" s="2">
        <v>45418</v>
      </c>
      <c r="AB19" s="3">
        <f t="shared" si="0"/>
        <v>1424</v>
      </c>
      <c r="AC19" s="1">
        <f t="shared" si="8"/>
        <v>-8.4198708953131529E-4</v>
      </c>
      <c r="AD19" s="1"/>
      <c r="AE19" s="2">
        <v>45327</v>
      </c>
      <c r="AF19" s="3">
        <f t="shared" si="1"/>
        <v>1432.4</v>
      </c>
      <c r="AG19" s="1">
        <f t="shared" si="9"/>
        <v>2.9762760603882166E-2</v>
      </c>
      <c r="AH19" s="1"/>
      <c r="AI19" s="2">
        <v>45265</v>
      </c>
      <c r="AJ19" s="3">
        <f t="shared" si="2"/>
        <v>1221.5</v>
      </c>
      <c r="AK19" s="1">
        <f t="shared" si="10"/>
        <v>2.4620434961017956E-3</v>
      </c>
      <c r="AP19" s="4" t="s">
        <v>126</v>
      </c>
    </row>
    <row r="20" spans="1:51">
      <c r="A20" s="134">
        <v>45604</v>
      </c>
      <c r="B20" s="135">
        <v>1590.55</v>
      </c>
      <c r="C20" s="133">
        <f t="shared" si="12"/>
        <v>4.9281314168376777E-3</v>
      </c>
      <c r="D20" s="133">
        <v>24148.2</v>
      </c>
      <c r="E20" s="133">
        <f t="shared" si="13"/>
        <v>-2.1136931363857636E-3</v>
      </c>
      <c r="F20" s="135">
        <v>22542.25</v>
      </c>
      <c r="G20" s="67">
        <f t="shared" si="3"/>
        <v>-6.7872550433067946E-4</v>
      </c>
      <c r="H20" s="1"/>
      <c r="I20" s="97" t="s">
        <v>96</v>
      </c>
      <c r="J20" s="97">
        <f>J19*SQRT(252)</f>
        <v>0.40710967818602306</v>
      </c>
      <c r="K20" s="1"/>
      <c r="L20" s="1"/>
      <c r="M20" s="1"/>
      <c r="N20" s="1"/>
      <c r="O20" s="23"/>
      <c r="P20" s="1"/>
      <c r="Q20" s="1"/>
      <c r="R20" s="1"/>
      <c r="S20" s="1"/>
      <c r="T20" s="1"/>
      <c r="U20" s="1"/>
      <c r="V20" s="1"/>
      <c r="W20" s="2">
        <v>45603</v>
      </c>
      <c r="X20" s="3">
        <v>1582.75</v>
      </c>
      <c r="Y20" s="1">
        <f t="shared" si="7"/>
        <v>-8.3020050125313105E-3</v>
      </c>
      <c r="Z20" s="1"/>
      <c r="AA20" s="2">
        <v>45415</v>
      </c>
      <c r="AB20" s="3">
        <f t="shared" si="0"/>
        <v>1425.2</v>
      </c>
      <c r="AC20" s="1">
        <f t="shared" si="8"/>
        <v>2.9556650246305161E-3</v>
      </c>
      <c r="AD20" s="1"/>
      <c r="AE20" s="2">
        <v>45324</v>
      </c>
      <c r="AF20" s="3">
        <f t="shared" si="1"/>
        <v>1391</v>
      </c>
      <c r="AG20" s="1">
        <f t="shared" si="9"/>
        <v>5.1304284991688931E-3</v>
      </c>
      <c r="AH20" s="1"/>
      <c r="AI20" s="2">
        <v>45264</v>
      </c>
      <c r="AJ20" s="3">
        <f t="shared" si="2"/>
        <v>1218.5</v>
      </c>
      <c r="AK20" s="1">
        <f t="shared" si="10"/>
        <v>1.1287243754668275E-2</v>
      </c>
      <c r="AP20" s="4" t="s">
        <v>127</v>
      </c>
    </row>
    <row r="21" spans="1:51" ht="15" customHeight="1">
      <c r="A21" s="134">
        <v>45603</v>
      </c>
      <c r="B21" s="135">
        <v>1582.75</v>
      </c>
      <c r="C21" s="133">
        <f t="shared" si="12"/>
        <v>-8.3020050125313105E-3</v>
      </c>
      <c r="D21" s="133">
        <v>24199.35</v>
      </c>
      <c r="E21" s="133">
        <f t="shared" si="13"/>
        <v>-1.1627978214388546E-2</v>
      </c>
      <c r="F21" s="135">
        <v>22526.95</v>
      </c>
      <c r="G21" s="67">
        <f t="shared" si="3"/>
        <v>1.7463527019858427E-2</v>
      </c>
      <c r="H21" s="1"/>
      <c r="I21" s="97" t="s">
        <v>128</v>
      </c>
      <c r="J21" s="97">
        <f>J20/J9</f>
        <v>1.710723671706128</v>
      </c>
      <c r="L21" s="1"/>
      <c r="M21" s="1"/>
      <c r="N21" s="1"/>
      <c r="O21" s="1"/>
      <c r="P21" s="1"/>
      <c r="Q21" s="1"/>
      <c r="R21" s="1"/>
      <c r="S21" s="1"/>
      <c r="T21" s="1"/>
      <c r="U21" s="1"/>
      <c r="V21" s="1"/>
      <c r="W21" s="2">
        <v>45602</v>
      </c>
      <c r="X21" s="3">
        <v>1596</v>
      </c>
      <c r="Y21" s="1">
        <f t="shared" si="7"/>
        <v>-5.2356020942408987E-3</v>
      </c>
      <c r="Z21" s="1"/>
      <c r="AA21" s="2">
        <v>45414</v>
      </c>
      <c r="AB21" s="3">
        <f t="shared" si="0"/>
        <v>1421</v>
      </c>
      <c r="AC21" s="1">
        <f t="shared" si="8"/>
        <v>1.4601406590268207E-2</v>
      </c>
      <c r="AD21" s="1"/>
      <c r="AE21" s="2">
        <v>45323</v>
      </c>
      <c r="AF21" s="3">
        <f t="shared" si="1"/>
        <v>1383.9</v>
      </c>
      <c r="AG21" s="1">
        <f t="shared" si="9"/>
        <v>2.3594674556213002E-2</v>
      </c>
      <c r="AH21" s="1"/>
      <c r="AI21" s="2">
        <v>45261</v>
      </c>
      <c r="AJ21" s="3">
        <f t="shared" si="2"/>
        <v>1204.9000000000001</v>
      </c>
      <c r="AK21" s="1">
        <f t="shared" si="10"/>
        <v>-7.0869386073341145E-3</v>
      </c>
    </row>
    <row r="22" spans="1:51">
      <c r="A22" s="134">
        <v>45602</v>
      </c>
      <c r="B22" s="135">
        <v>1596</v>
      </c>
      <c r="C22" s="133">
        <f t="shared" si="12"/>
        <v>-5.2356020942408987E-3</v>
      </c>
      <c r="D22" s="133">
        <v>24484.05</v>
      </c>
      <c r="E22" s="133">
        <f t="shared" si="13"/>
        <v>1.1181871120417242E-2</v>
      </c>
      <c r="F22" s="135">
        <v>22920.35</v>
      </c>
      <c r="G22" s="67">
        <f t="shared" si="3"/>
        <v>-1.1304364898441666E-2</v>
      </c>
      <c r="H22" s="1"/>
      <c r="L22" s="1"/>
      <c r="M22" s="1"/>
      <c r="N22" s="1"/>
      <c r="O22" s="1"/>
      <c r="P22" s="1"/>
      <c r="Q22" s="1"/>
      <c r="R22" s="1"/>
      <c r="S22" s="1"/>
      <c r="T22" s="1"/>
      <c r="U22" s="1"/>
      <c r="V22" s="1"/>
      <c r="W22" s="2">
        <v>45601</v>
      </c>
      <c r="X22" s="3">
        <v>1604.4</v>
      </c>
      <c r="Y22" s="1">
        <f t="shared" si="7"/>
        <v>1.2878787878787934E-2</v>
      </c>
      <c r="Z22" s="1"/>
      <c r="AA22" s="2">
        <v>45412</v>
      </c>
      <c r="AB22" s="3">
        <f t="shared" si="0"/>
        <v>1400.55</v>
      </c>
      <c r="AC22" s="1">
        <f t="shared" si="8"/>
        <v>-7.3709203019243219E-3</v>
      </c>
      <c r="AD22" s="1"/>
      <c r="AE22" s="2">
        <v>45322</v>
      </c>
      <c r="AF22" s="3">
        <f t="shared" si="1"/>
        <v>1352</v>
      </c>
      <c r="AG22" s="1">
        <f t="shared" si="9"/>
        <v>2.5796661608497695E-2</v>
      </c>
      <c r="AH22" s="1"/>
      <c r="AI22" s="2">
        <v>45260</v>
      </c>
      <c r="AJ22" s="3">
        <f t="shared" si="2"/>
        <v>1213.5</v>
      </c>
      <c r="AK22" s="1">
        <f t="shared" si="10"/>
        <v>1.0323869786029505E-2</v>
      </c>
    </row>
    <row r="23" spans="1:51">
      <c r="A23" s="134">
        <v>45601</v>
      </c>
      <c r="B23" s="135">
        <v>1604.4</v>
      </c>
      <c r="C23" s="133">
        <f t="shared" si="12"/>
        <v>1.2878787878787934E-2</v>
      </c>
      <c r="D23" s="133">
        <v>24213.3</v>
      </c>
      <c r="E23" s="133">
        <f t="shared" si="13"/>
        <v>9.0830098331551312E-3</v>
      </c>
      <c r="F23" s="135">
        <v>22661.25</v>
      </c>
      <c r="G23" s="67">
        <f t="shared" si="3"/>
        <v>-1.0127420155552347E-3</v>
      </c>
      <c r="H23" s="1"/>
      <c r="L23" s="1"/>
      <c r="M23" s="1"/>
      <c r="N23" s="1"/>
      <c r="O23" s="1"/>
      <c r="P23" s="1"/>
      <c r="Q23" s="1"/>
      <c r="R23" s="1"/>
      <c r="S23" s="1"/>
      <c r="T23" s="1"/>
      <c r="U23" s="1"/>
      <c r="V23" s="1"/>
      <c r="W23" s="2">
        <v>45600</v>
      </c>
      <c r="X23" s="3">
        <v>1584</v>
      </c>
      <c r="Y23" s="1">
        <f t="shared" si="7"/>
        <v>1.538461538461533E-2</v>
      </c>
      <c r="Z23" s="1"/>
      <c r="AA23" s="2">
        <v>45411</v>
      </c>
      <c r="AB23" s="3">
        <f t="shared" si="0"/>
        <v>1410.95</v>
      </c>
      <c r="AC23" s="1">
        <f t="shared" si="8"/>
        <v>-1.450813871196055E-3</v>
      </c>
      <c r="AD23" s="1"/>
      <c r="AE23" s="2">
        <v>45321</v>
      </c>
      <c r="AF23" s="3">
        <f t="shared" si="1"/>
        <v>1318</v>
      </c>
      <c r="AG23" s="1">
        <f t="shared" si="9"/>
        <v>-1.7554321493794434E-2</v>
      </c>
      <c r="AH23" s="1"/>
      <c r="AI23" s="2">
        <v>45259</v>
      </c>
      <c r="AJ23" s="3">
        <f t="shared" si="2"/>
        <v>1201.0999999999999</v>
      </c>
      <c r="AK23" s="1">
        <f t="shared" si="10"/>
        <v>8.0570709190095346E-3</v>
      </c>
      <c r="AP23" s="4"/>
      <c r="AQ23" s="36"/>
    </row>
    <row r="24" spans="1:51">
      <c r="A24" s="134">
        <v>45600</v>
      </c>
      <c r="B24" s="135">
        <v>1584</v>
      </c>
      <c r="C24" s="133">
        <f t="shared" si="12"/>
        <v>1.538461538461533E-2</v>
      </c>
      <c r="D24" s="133">
        <v>23995.35</v>
      </c>
      <c r="E24" s="133">
        <f t="shared" si="13"/>
        <v>-1.2713773460306443E-2</v>
      </c>
      <c r="F24" s="135">
        <v>22638.3</v>
      </c>
      <c r="G24" s="67">
        <f t="shared" si="3"/>
        <v>7.4585989230639971E-3</v>
      </c>
      <c r="H24" s="1"/>
      <c r="I24" s="202" t="s">
        <v>129</v>
      </c>
      <c r="J24" s="202"/>
      <c r="K24" s="202"/>
      <c r="L24" s="1"/>
      <c r="M24" s="1"/>
      <c r="N24" s="1"/>
      <c r="O24" s="1"/>
      <c r="P24" s="1"/>
      <c r="Q24" s="1"/>
      <c r="R24" s="1"/>
      <c r="S24" s="1"/>
      <c r="T24" s="1"/>
      <c r="U24" s="1"/>
      <c r="V24" s="1"/>
      <c r="W24" s="2">
        <v>45597</v>
      </c>
      <c r="X24" s="3">
        <v>1560</v>
      </c>
      <c r="Y24" s="1">
        <f t="shared" si="7"/>
        <v>4.5074050225371032E-3</v>
      </c>
      <c r="Z24" s="1"/>
      <c r="AA24" s="2">
        <v>45408</v>
      </c>
      <c r="AB24" s="3">
        <f t="shared" si="0"/>
        <v>1413</v>
      </c>
      <c r="AC24" s="1">
        <f t="shared" si="8"/>
        <v>9.2857142857143415E-3</v>
      </c>
      <c r="AD24" s="1"/>
      <c r="AE24" s="2">
        <v>45320</v>
      </c>
      <c r="AF24" s="3">
        <f t="shared" si="1"/>
        <v>1341.55</v>
      </c>
      <c r="AG24" s="1">
        <f t="shared" si="9"/>
        <v>-2.4185336048879846E-2</v>
      </c>
      <c r="AH24" s="1"/>
      <c r="AI24" s="2">
        <v>45258</v>
      </c>
      <c r="AJ24" s="3">
        <f t="shared" si="2"/>
        <v>1191.5</v>
      </c>
      <c r="AK24" s="1">
        <f t="shared" si="10"/>
        <v>-3.9707419017763756E-3</v>
      </c>
    </row>
    <row r="25" spans="1:51">
      <c r="A25" s="134">
        <v>45597</v>
      </c>
      <c r="B25" s="135">
        <v>1560</v>
      </c>
      <c r="C25" s="133">
        <f t="shared" si="12"/>
        <v>4.5074050225371032E-3</v>
      </c>
      <c r="D25" s="133">
        <v>24304.35</v>
      </c>
      <c r="E25" s="133">
        <f t="shared" si="13"/>
        <v>4.0900048956118429E-3</v>
      </c>
      <c r="F25" s="135">
        <v>22807.15</v>
      </c>
      <c r="G25" s="67">
        <f t="shared" si="3"/>
        <v>-3.1393663829106799E-3</v>
      </c>
      <c r="H25" s="1"/>
      <c r="I25" s="202"/>
      <c r="J25" s="202"/>
      <c r="K25" s="202"/>
      <c r="L25" s="1"/>
      <c r="M25" s="1"/>
      <c r="N25" s="1"/>
      <c r="O25" s="1"/>
      <c r="P25" s="1"/>
      <c r="Q25" s="1"/>
      <c r="R25" s="1"/>
      <c r="S25" s="1"/>
      <c r="T25" s="1"/>
      <c r="U25" s="1"/>
      <c r="V25" s="1"/>
      <c r="W25" s="2">
        <v>45596</v>
      </c>
      <c r="X25" s="3">
        <v>1553</v>
      </c>
      <c r="Y25" s="1">
        <f t="shared" si="7"/>
        <v>9.5204513399153701E-2</v>
      </c>
      <c r="Z25" s="1"/>
      <c r="AA25" s="2">
        <v>45407</v>
      </c>
      <c r="AB25" s="3">
        <f t="shared" si="0"/>
        <v>1400</v>
      </c>
      <c r="AC25" s="1">
        <f t="shared" si="8"/>
        <v>3.5727045373357136E-4</v>
      </c>
      <c r="AD25" s="1"/>
      <c r="AE25" s="2">
        <v>45316</v>
      </c>
      <c r="AF25" s="3">
        <f t="shared" si="1"/>
        <v>1374.8</v>
      </c>
      <c r="AG25" s="1">
        <f t="shared" si="9"/>
        <v>-2.7447651386530825E-2</v>
      </c>
      <c r="AH25" s="1"/>
      <c r="AI25" s="2">
        <v>45254</v>
      </c>
      <c r="AJ25" s="3">
        <f t="shared" si="2"/>
        <v>1196.25</v>
      </c>
      <c r="AK25" s="1">
        <f t="shared" si="10"/>
        <v>1.8605245231607448E-2</v>
      </c>
    </row>
    <row r="26" spans="1:51">
      <c r="A26" s="134">
        <v>45596</v>
      </c>
      <c r="B26" s="135">
        <v>1553</v>
      </c>
      <c r="C26" s="133">
        <f t="shared" si="12"/>
        <v>9.5204513399153701E-2</v>
      </c>
      <c r="D26" s="133">
        <v>24205.35</v>
      </c>
      <c r="E26" s="133">
        <f t="shared" si="13"/>
        <v>-5.5667735514577377E-3</v>
      </c>
      <c r="F26" s="135">
        <v>22735.55</v>
      </c>
      <c r="G26" s="67">
        <f t="shared" si="3"/>
        <v>-1.5860623560899012E-2</v>
      </c>
      <c r="H26" s="1"/>
      <c r="I26" s="139" t="s">
        <v>130</v>
      </c>
      <c r="J26" s="139" t="s">
        <v>91</v>
      </c>
      <c r="K26" s="139" t="s">
        <v>131</v>
      </c>
      <c r="L26" s="1"/>
      <c r="M26" s="1"/>
      <c r="N26" s="1"/>
      <c r="O26" s="1"/>
      <c r="P26" s="1"/>
      <c r="Q26" s="1"/>
      <c r="R26" s="1"/>
      <c r="S26" s="1"/>
      <c r="T26" s="1"/>
      <c r="U26" s="1"/>
      <c r="V26" s="1"/>
      <c r="W26" s="2">
        <v>45595</v>
      </c>
      <c r="X26" s="3">
        <v>1418</v>
      </c>
      <c r="Y26" s="1">
        <f t="shared" si="7"/>
        <v>-4.1244083840432766E-2</v>
      </c>
      <c r="Z26" s="1"/>
      <c r="AA26" s="2">
        <v>45406</v>
      </c>
      <c r="AB26" s="3">
        <f t="shared" si="0"/>
        <v>1399.5</v>
      </c>
      <c r="AC26" s="1">
        <f t="shared" si="8"/>
        <v>3.7819799777530694E-2</v>
      </c>
      <c r="AD26" s="1"/>
      <c r="AE26" s="2">
        <v>45315</v>
      </c>
      <c r="AF26" s="3">
        <f t="shared" si="1"/>
        <v>1413.6</v>
      </c>
      <c r="AG26" s="1">
        <f t="shared" si="9"/>
        <v>4.0129265954045312E-3</v>
      </c>
      <c r="AH26" s="1"/>
      <c r="AI26" s="2">
        <v>45253</v>
      </c>
      <c r="AJ26" s="3">
        <f t="shared" si="2"/>
        <v>1174.4000000000001</v>
      </c>
      <c r="AK26" s="1">
        <f t="shared" si="10"/>
        <v>-7.7382355251787271E-2</v>
      </c>
    </row>
    <row r="27" spans="1:51">
      <c r="A27" s="134">
        <v>45595</v>
      </c>
      <c r="B27" s="135">
        <v>1418</v>
      </c>
      <c r="C27" s="133">
        <f t="shared" si="12"/>
        <v>-4.1244083840432766E-2</v>
      </c>
      <c r="D27" s="133">
        <v>24340.85</v>
      </c>
      <c r="E27" s="133">
        <f t="shared" si="13"/>
        <v>-5.1498251716097787E-3</v>
      </c>
      <c r="F27" s="135">
        <v>22374.95</v>
      </c>
      <c r="G27" s="67">
        <f t="shared" si="3"/>
        <v>1.012069300713514E-2</v>
      </c>
      <c r="H27" s="1"/>
      <c r="I27" s="154" t="s">
        <v>132</v>
      </c>
      <c r="J27" s="140">
        <f>B262</f>
        <v>1248.2</v>
      </c>
      <c r="K27" s="154" t="s">
        <v>133</v>
      </c>
      <c r="L27" s="1"/>
      <c r="M27" s="1"/>
      <c r="N27" s="1"/>
      <c r="O27" s="1"/>
      <c r="P27" s="1"/>
      <c r="Q27" s="1"/>
      <c r="R27" s="1"/>
      <c r="S27" s="1"/>
      <c r="T27" s="1"/>
      <c r="U27" s="1"/>
      <c r="V27" s="1"/>
      <c r="W27" s="2">
        <v>45594</v>
      </c>
      <c r="X27" s="3">
        <v>1479</v>
      </c>
      <c r="Y27" s="1">
        <f t="shared" si="7"/>
        <v>-1.8645079954880184E-2</v>
      </c>
      <c r="Z27" s="1"/>
      <c r="AA27" s="2">
        <v>45405</v>
      </c>
      <c r="AB27" s="3">
        <f t="shared" si="0"/>
        <v>1348.5</v>
      </c>
      <c r="AC27" s="1">
        <f t="shared" si="8"/>
        <v>-7.7262693156733286E-3</v>
      </c>
      <c r="AD27" s="1"/>
      <c r="AE27" s="2">
        <v>45314</v>
      </c>
      <c r="AF27" s="3">
        <f t="shared" si="1"/>
        <v>1407.95</v>
      </c>
      <c r="AG27" s="1">
        <f t="shared" si="9"/>
        <v>7.2315308453922311E-2</v>
      </c>
      <c r="AH27" s="1"/>
      <c r="AI27" s="2">
        <v>45252</v>
      </c>
      <c r="AJ27" s="3">
        <f t="shared" si="2"/>
        <v>1272.9000000000001</v>
      </c>
      <c r="AK27" s="1">
        <f t="shared" si="10"/>
        <v>1.5071770334928347E-2</v>
      </c>
    </row>
    <row r="28" spans="1:51">
      <c r="A28" s="134">
        <v>45594</v>
      </c>
      <c r="B28" s="135">
        <v>1479</v>
      </c>
      <c r="C28" s="133">
        <f t="shared" si="12"/>
        <v>-1.8645079954880184E-2</v>
      </c>
      <c r="D28" s="133">
        <v>24466.85</v>
      </c>
      <c r="E28" s="133">
        <f t="shared" si="13"/>
        <v>5.2466910307056303E-3</v>
      </c>
      <c r="F28" s="135">
        <v>22601.4</v>
      </c>
      <c r="G28" s="67">
        <f t="shared" si="3"/>
        <v>1.1320095215340498E-2</v>
      </c>
      <c r="H28" s="1"/>
      <c r="I28" s="154" t="s">
        <v>134</v>
      </c>
      <c r="J28" s="140">
        <f>B260</f>
        <v>1254</v>
      </c>
      <c r="K28" s="154" t="s">
        <v>133</v>
      </c>
      <c r="L28" s="1"/>
      <c r="M28" s="1"/>
      <c r="N28" s="1"/>
      <c r="O28" s="1"/>
      <c r="P28" s="1"/>
      <c r="Q28" s="1"/>
      <c r="R28" s="1"/>
      <c r="S28" s="1"/>
      <c r="T28" s="1"/>
      <c r="U28" s="1"/>
      <c r="V28" s="1"/>
      <c r="W28" s="2">
        <v>45593</v>
      </c>
      <c r="X28" s="3">
        <v>1507.1</v>
      </c>
      <c r="Y28" s="1">
        <f t="shared" si="7"/>
        <v>1.3755759593717221E-2</v>
      </c>
      <c r="Z28" s="1"/>
      <c r="AA28" s="2">
        <v>45404</v>
      </c>
      <c r="AB28" s="3">
        <f t="shared" si="0"/>
        <v>1359</v>
      </c>
      <c r="AC28" s="1">
        <f t="shared" si="8"/>
        <v>8.9086859688196629E-3</v>
      </c>
      <c r="AD28" s="1"/>
      <c r="AE28" s="2">
        <v>45311</v>
      </c>
      <c r="AF28" s="3">
        <f t="shared" si="1"/>
        <v>1313</v>
      </c>
      <c r="AG28" s="1">
        <f t="shared" si="9"/>
        <v>-1.0550113036925435E-2</v>
      </c>
      <c r="AH28" s="1"/>
      <c r="AI28" s="2">
        <v>45251</v>
      </c>
      <c r="AJ28" s="3">
        <f t="shared" si="2"/>
        <v>1254</v>
      </c>
      <c r="AK28" s="1">
        <f t="shared" si="10"/>
        <v>4.2042042042043093E-3</v>
      </c>
    </row>
    <row r="29" spans="1:51">
      <c r="A29" s="134">
        <v>45593</v>
      </c>
      <c r="B29" s="135">
        <v>1507.1</v>
      </c>
      <c r="C29" s="133">
        <f t="shared" si="12"/>
        <v>1.3755759593717221E-2</v>
      </c>
      <c r="D29" s="133">
        <v>24339.15</v>
      </c>
      <c r="E29" s="133">
        <f t="shared" si="13"/>
        <v>6.5485840005294893E-3</v>
      </c>
      <c r="F29" s="135">
        <v>22857.25</v>
      </c>
      <c r="G29" s="67">
        <f t="shared" si="3"/>
        <v>-1.2368067024685847E-2</v>
      </c>
      <c r="H29" s="1"/>
      <c r="I29" s="154" t="s">
        <v>135</v>
      </c>
      <c r="J29" s="68">
        <f>AJ8</f>
        <v>1238</v>
      </c>
      <c r="K29" s="154">
        <f>J29/$J$28-1</f>
        <v>-1.2759170653907526E-2</v>
      </c>
      <c r="L29" s="1"/>
      <c r="M29" s="1"/>
      <c r="N29" s="1"/>
      <c r="O29" s="1"/>
      <c r="P29" s="1"/>
      <c r="Q29" s="1"/>
      <c r="R29" s="1"/>
      <c r="S29" s="1"/>
      <c r="T29" s="1"/>
      <c r="U29" s="1"/>
      <c r="V29" s="1"/>
      <c r="W29" s="2">
        <v>45590</v>
      </c>
      <c r="X29" s="3">
        <v>1486.65</v>
      </c>
      <c r="Y29" s="1">
        <f t="shared" si="7"/>
        <v>-5.5520251513427876E-3</v>
      </c>
      <c r="Z29" s="1"/>
      <c r="AA29" s="2">
        <v>45401</v>
      </c>
      <c r="AB29" s="3">
        <f t="shared" si="0"/>
        <v>1347</v>
      </c>
      <c r="AC29" s="1">
        <f t="shared" si="8"/>
        <v>-4.9126435932479451E-3</v>
      </c>
      <c r="AD29" s="1"/>
      <c r="AE29" s="2">
        <v>45310</v>
      </c>
      <c r="AF29" s="3">
        <f t="shared" si="1"/>
        <v>1327</v>
      </c>
      <c r="AG29" s="1">
        <f t="shared" si="9"/>
        <v>5.3030303030303649E-3</v>
      </c>
      <c r="AH29" s="1"/>
      <c r="AI29" s="2">
        <v>45250</v>
      </c>
      <c r="AJ29" s="3">
        <f t="shared" si="2"/>
        <v>1248.75</v>
      </c>
      <c r="AK29" s="1"/>
    </row>
    <row r="30" spans="1:51">
      <c r="A30" s="134">
        <v>45590</v>
      </c>
      <c r="B30" s="135">
        <v>1486.65</v>
      </c>
      <c r="C30" s="133">
        <f t="shared" si="12"/>
        <v>-5.5520251513427876E-3</v>
      </c>
      <c r="D30" s="133">
        <v>24180.799999999999</v>
      </c>
      <c r="E30" s="133">
        <f t="shared" si="13"/>
        <v>-8.9592367025419506E-3</v>
      </c>
      <c r="F30" s="135">
        <v>22574.55</v>
      </c>
      <c r="G30" s="67">
        <f t="shared" si="3"/>
        <v>-1.6611626809837077E-4</v>
      </c>
      <c r="H30" s="1"/>
      <c r="I30" s="154" t="s">
        <v>136</v>
      </c>
      <c r="J30" s="68">
        <f>AF8</f>
        <v>1450</v>
      </c>
      <c r="K30" s="154">
        <f>J30/$J$28-1</f>
        <v>0.15629984051036683</v>
      </c>
      <c r="L30" s="1"/>
      <c r="M30" s="1"/>
      <c r="N30" s="1"/>
      <c r="O30" s="1"/>
      <c r="P30" s="1"/>
      <c r="Q30" s="1"/>
      <c r="R30" s="1"/>
      <c r="S30" s="1"/>
      <c r="T30" s="1"/>
      <c r="U30" s="1"/>
      <c r="V30" s="1"/>
      <c r="W30" s="2">
        <v>45589</v>
      </c>
      <c r="X30" s="3">
        <v>1494.95</v>
      </c>
      <c r="Y30" s="1">
        <f t="shared" si="7"/>
        <v>5.0421862919762805E-3</v>
      </c>
      <c r="Z30" s="1"/>
      <c r="AA30" s="2">
        <v>45400</v>
      </c>
      <c r="AB30" s="3">
        <f t="shared" si="0"/>
        <v>1353.65</v>
      </c>
      <c r="AC30" s="1">
        <f t="shared" si="8"/>
        <v>-1.880979994201204E-2</v>
      </c>
      <c r="AD30" s="1"/>
      <c r="AE30" s="2">
        <v>45309</v>
      </c>
      <c r="AF30" s="3">
        <f t="shared" si="1"/>
        <v>1320</v>
      </c>
      <c r="AG30" s="1">
        <f t="shared" si="9"/>
        <v>2.1671826625387025E-2</v>
      </c>
      <c r="AH30" s="1"/>
      <c r="AI30" s="1"/>
      <c r="AJ30" s="1"/>
      <c r="AK30" s="1">
        <f>SUM(AK8:AK29)</f>
        <v>-4.4023807043270802E-3</v>
      </c>
    </row>
    <row r="31" spans="1:51">
      <c r="A31" s="134">
        <v>45589</v>
      </c>
      <c r="B31" s="135">
        <v>1494.95</v>
      </c>
      <c r="C31" s="133">
        <f t="shared" si="12"/>
        <v>5.0421862919762805E-3</v>
      </c>
      <c r="D31" s="133">
        <v>24399.4</v>
      </c>
      <c r="E31" s="133">
        <f t="shared" si="13"/>
        <v>-1.4773587608192251E-3</v>
      </c>
      <c r="F31" s="135">
        <v>22570.799999999999</v>
      </c>
      <c r="G31" s="67">
        <f t="shared" si="3"/>
        <v>-4.3950591029117136E-3</v>
      </c>
      <c r="H31" s="1"/>
      <c r="I31" s="154" t="s">
        <v>137</v>
      </c>
      <c r="J31" s="68">
        <f>AB8</f>
        <v>1443</v>
      </c>
      <c r="K31" s="154">
        <f>J31/$J$28-1</f>
        <v>0.15071770334928236</v>
      </c>
      <c r="L31" s="1"/>
      <c r="M31" s="1"/>
      <c r="N31" s="1"/>
      <c r="O31" s="1"/>
      <c r="P31" s="1"/>
      <c r="Q31" s="1"/>
      <c r="R31" s="1"/>
      <c r="S31" s="1"/>
      <c r="T31" s="1"/>
      <c r="U31" s="1"/>
      <c r="V31" s="1"/>
      <c r="W31" s="2">
        <v>45588</v>
      </c>
      <c r="X31" s="3">
        <v>1487.45</v>
      </c>
      <c r="Y31" s="1">
        <f t="shared" si="7"/>
        <v>-1.5487970347817348E-2</v>
      </c>
      <c r="Z31" s="1"/>
      <c r="AA31" s="2">
        <v>45398</v>
      </c>
      <c r="AB31" s="3">
        <f t="shared" si="0"/>
        <v>1379.6</v>
      </c>
      <c r="AC31" s="1">
        <f t="shared" si="8"/>
        <v>-2.2780690652685065E-3</v>
      </c>
      <c r="AD31" s="1"/>
      <c r="AE31" s="2">
        <v>45308</v>
      </c>
      <c r="AF31" s="3">
        <f t="shared" si="1"/>
        <v>1292</v>
      </c>
      <c r="AG31" s="1">
        <f t="shared" si="9"/>
        <v>-7.2611318145145987E-3</v>
      </c>
      <c r="AH31" s="1"/>
      <c r="AI31" s="1"/>
      <c r="AJ31" s="1"/>
      <c r="AK31" s="1"/>
    </row>
    <row r="32" spans="1:51">
      <c r="A32" s="134">
        <v>45588</v>
      </c>
      <c r="B32" s="135">
        <v>1487.45</v>
      </c>
      <c r="C32" s="133">
        <f t="shared" si="12"/>
        <v>-1.5487970347817348E-2</v>
      </c>
      <c r="D32" s="133">
        <v>24435.5</v>
      </c>
      <c r="E32" s="133">
        <f t="shared" si="13"/>
        <v>-1.4955806816742134E-3</v>
      </c>
      <c r="F32" s="135">
        <v>22471.599999999999</v>
      </c>
      <c r="G32" s="67">
        <f t="shared" si="3"/>
        <v>1.5868918991082115E-2</v>
      </c>
      <c r="H32" s="1"/>
      <c r="I32" s="154" t="s">
        <v>138</v>
      </c>
      <c r="J32" s="68">
        <f>X8</f>
        <v>1495.65</v>
      </c>
      <c r="K32" s="154">
        <f>J32/$J$28-1</f>
        <v>0.19270334928229671</v>
      </c>
      <c r="L32" s="1"/>
      <c r="M32" s="1"/>
      <c r="N32" s="1"/>
      <c r="O32" s="1"/>
      <c r="P32" s="1"/>
      <c r="Q32" s="1"/>
      <c r="R32" s="1"/>
      <c r="S32" s="1"/>
      <c r="T32" s="1"/>
      <c r="U32" s="1"/>
      <c r="V32" s="1"/>
      <c r="W32" s="2">
        <v>45587</v>
      </c>
      <c r="X32" s="3">
        <v>1510.85</v>
      </c>
      <c r="Y32" s="1">
        <f t="shared" si="7"/>
        <v>-5.2343955754543536E-3</v>
      </c>
      <c r="Z32" s="1"/>
      <c r="AA32" s="2">
        <v>45397</v>
      </c>
      <c r="AB32" s="3">
        <f t="shared" si="0"/>
        <v>1382.75</v>
      </c>
      <c r="AC32" s="1">
        <f t="shared" si="8"/>
        <v>-1.2003858383051624E-2</v>
      </c>
      <c r="AD32" s="1"/>
      <c r="AE32" s="2">
        <v>45307</v>
      </c>
      <c r="AF32" s="3">
        <f t="shared" si="1"/>
        <v>1301.45</v>
      </c>
      <c r="AG32" s="1">
        <f t="shared" si="9"/>
        <v>-1.0153635533921457E-2</v>
      </c>
      <c r="AH32" s="1"/>
      <c r="AI32" s="1"/>
      <c r="AJ32" s="1"/>
      <c r="AK32" s="1"/>
    </row>
    <row r="33" spans="1:37">
      <c r="A33" s="134">
        <v>45587</v>
      </c>
      <c r="B33" s="135">
        <v>1510.85</v>
      </c>
      <c r="C33" s="133">
        <f t="shared" si="12"/>
        <v>-5.2343955754543536E-3</v>
      </c>
      <c r="D33" s="133">
        <v>24472.1</v>
      </c>
      <c r="E33" s="133">
        <f t="shared" si="13"/>
        <v>-1.2469180141317371E-2</v>
      </c>
      <c r="F33" s="135">
        <v>22828.2</v>
      </c>
      <c r="G33" s="67">
        <f t="shared" si="3"/>
        <v>1.2900710524701875E-2</v>
      </c>
      <c r="H33" s="1"/>
      <c r="L33" s="1"/>
      <c r="M33" s="1"/>
      <c r="N33" s="1"/>
      <c r="O33" s="1"/>
      <c r="P33" s="1"/>
      <c r="Q33" s="1"/>
      <c r="R33" s="1"/>
      <c r="S33" s="1"/>
      <c r="T33" s="1"/>
      <c r="U33" s="1"/>
      <c r="V33" s="1"/>
      <c r="W33" s="2">
        <v>45586</v>
      </c>
      <c r="X33" s="3">
        <v>1518.8</v>
      </c>
      <c r="Y33" s="1">
        <f t="shared" si="7"/>
        <v>-2.1391752577319623E-2</v>
      </c>
      <c r="Z33" s="1"/>
      <c r="AA33" s="2">
        <v>45394</v>
      </c>
      <c r="AB33" s="3">
        <f t="shared" si="0"/>
        <v>1399.55</v>
      </c>
      <c r="AC33" s="1">
        <f t="shared" si="8"/>
        <v>-1.8548387096774199E-2</v>
      </c>
      <c r="AD33" s="1"/>
      <c r="AE33" s="2">
        <v>45306</v>
      </c>
      <c r="AF33" s="3">
        <f t="shared" si="1"/>
        <v>1314.8</v>
      </c>
      <c r="AG33" s="1">
        <f t="shared" si="9"/>
        <v>3.8940215316483062E-3</v>
      </c>
      <c r="AH33" s="1"/>
      <c r="AI33" s="1"/>
      <c r="AJ33" s="1"/>
      <c r="AK33" s="1"/>
    </row>
    <row r="34" spans="1:37">
      <c r="A34" s="134">
        <v>45586</v>
      </c>
      <c r="B34" s="135">
        <v>1518.8</v>
      </c>
      <c r="C34" s="133">
        <f t="shared" si="12"/>
        <v>-2.1391752577319623E-2</v>
      </c>
      <c r="D34" s="133">
        <v>24781.1</v>
      </c>
      <c r="E34" s="133">
        <f t="shared" si="13"/>
        <v>-2.9351353199982277E-3</v>
      </c>
      <c r="F34" s="135">
        <v>23122.7</v>
      </c>
      <c r="G34" s="67">
        <f t="shared" si="3"/>
        <v>1.0098301668922671E-2</v>
      </c>
      <c r="H34" s="1"/>
      <c r="L34" s="1"/>
      <c r="M34" s="1"/>
      <c r="N34" s="1"/>
      <c r="O34" s="1"/>
      <c r="P34" s="1"/>
      <c r="Q34" s="1"/>
      <c r="R34" s="1"/>
      <c r="S34" s="1"/>
      <c r="T34" s="1"/>
      <c r="U34" s="1"/>
      <c r="V34" s="1"/>
      <c r="W34" s="2">
        <v>45583</v>
      </c>
      <c r="X34" s="3">
        <v>1552</v>
      </c>
      <c r="Y34" s="1">
        <f t="shared" si="7"/>
        <v>-2.8911018310311398E-3</v>
      </c>
      <c r="Z34" s="1"/>
      <c r="AA34" s="2">
        <v>45392</v>
      </c>
      <c r="AB34" s="3">
        <f t="shared" si="0"/>
        <v>1426</v>
      </c>
      <c r="AC34" s="1">
        <f t="shared" si="8"/>
        <v>-1.5873015873015928E-2</v>
      </c>
      <c r="AD34" s="1"/>
      <c r="AE34" s="2">
        <v>45303</v>
      </c>
      <c r="AF34" s="3">
        <f t="shared" si="1"/>
        <v>1309.7</v>
      </c>
      <c r="AG34" s="1">
        <f t="shared" si="9"/>
        <v>-1.2888151944528081E-2</v>
      </c>
      <c r="AH34" s="1"/>
      <c r="AI34" s="1"/>
      <c r="AJ34" s="1"/>
      <c r="AK34" s="1"/>
    </row>
    <row r="35" spans="1:37">
      <c r="A35" s="134">
        <v>45583</v>
      </c>
      <c r="B35" s="135">
        <v>1552</v>
      </c>
      <c r="C35" s="133">
        <f t="shared" si="12"/>
        <v>-2.8911018310311398E-3</v>
      </c>
      <c r="D35" s="133">
        <v>24854.05</v>
      </c>
      <c r="E35" s="133">
        <f t="shared" si="13"/>
        <v>4.2101265260194864E-3</v>
      </c>
      <c r="F35" s="135">
        <v>23356.2</v>
      </c>
      <c r="G35" s="67">
        <f t="shared" si="3"/>
        <v>-4.3757118024336794E-3</v>
      </c>
      <c r="H35" s="1"/>
      <c r="I35" s="1"/>
      <c r="J35" s="1"/>
      <c r="K35" s="1"/>
      <c r="L35" s="1"/>
      <c r="M35" s="1"/>
      <c r="N35" s="1"/>
      <c r="O35" s="1"/>
      <c r="P35" s="1"/>
      <c r="Q35" s="1"/>
      <c r="R35" s="1"/>
      <c r="S35" s="1"/>
      <c r="T35" s="1"/>
      <c r="U35" s="1"/>
      <c r="V35" s="1"/>
      <c r="W35" s="2">
        <v>45582</v>
      </c>
      <c r="X35" s="3">
        <v>1556.5</v>
      </c>
      <c r="Y35" s="1">
        <f t="shared" si="7"/>
        <v>-4.1905249352227614E-3</v>
      </c>
      <c r="Z35" s="1"/>
      <c r="AA35" s="2">
        <v>45391</v>
      </c>
      <c r="AB35" s="3">
        <f t="shared" si="0"/>
        <v>1449</v>
      </c>
      <c r="AC35" s="1">
        <f t="shared" si="8"/>
        <v>-8.3493019436080562E-3</v>
      </c>
      <c r="AD35" s="1"/>
      <c r="AE35" s="2">
        <v>45302</v>
      </c>
      <c r="AF35" s="3">
        <f t="shared" si="1"/>
        <v>1326.8</v>
      </c>
      <c r="AG35" s="1">
        <f t="shared" si="9"/>
        <v>-1.4299691427711592E-3</v>
      </c>
      <c r="AH35" s="1"/>
      <c r="AI35" s="1"/>
      <c r="AJ35" s="1"/>
      <c r="AK35" s="1"/>
    </row>
    <row r="36" spans="1:37">
      <c r="A36" s="134">
        <v>45582</v>
      </c>
      <c r="B36" s="135">
        <v>1556.5</v>
      </c>
      <c r="C36" s="133">
        <f t="shared" si="12"/>
        <v>-4.1905249352227614E-3</v>
      </c>
      <c r="D36" s="133">
        <v>24749.85</v>
      </c>
      <c r="E36" s="133">
        <f t="shared" si="13"/>
        <v>-8.8681806714108191E-3</v>
      </c>
      <c r="F36" s="135">
        <v>23254</v>
      </c>
      <c r="G36" s="67">
        <f t="shared" si="3"/>
        <v>9.1747656317191506E-3</v>
      </c>
      <c r="H36" s="1"/>
      <c r="I36" s="1"/>
      <c r="J36" s="1"/>
      <c r="K36" s="1"/>
      <c r="L36" s="1"/>
      <c r="M36" s="1"/>
      <c r="N36" s="1"/>
      <c r="O36" s="1"/>
      <c r="P36" s="1"/>
      <c r="Q36" s="1"/>
      <c r="R36" s="1"/>
      <c r="S36" s="1"/>
      <c r="T36" s="1"/>
      <c r="U36" s="1"/>
      <c r="V36" s="1"/>
      <c r="W36" s="2">
        <v>45581</v>
      </c>
      <c r="X36" s="3">
        <v>1563.05</v>
      </c>
      <c r="Y36" s="1">
        <f t="shared" si="7"/>
        <v>-4.2999108166645872E-3</v>
      </c>
      <c r="Z36" s="1"/>
      <c r="AA36" s="2">
        <v>45390</v>
      </c>
      <c r="AB36" s="3">
        <f t="shared" si="0"/>
        <v>1461.2</v>
      </c>
      <c r="AC36" s="1">
        <f t="shared" si="8"/>
        <v>9.3948604586904239E-3</v>
      </c>
      <c r="AD36" s="1"/>
      <c r="AE36" s="2">
        <v>45301</v>
      </c>
      <c r="AF36" s="3">
        <f t="shared" si="1"/>
        <v>1328.7</v>
      </c>
      <c r="AG36" s="1">
        <f t="shared" si="9"/>
        <v>2.8803716608594598E-2</v>
      </c>
      <c r="AH36" s="1"/>
      <c r="AI36" s="1"/>
      <c r="AJ36" s="1"/>
      <c r="AK36" s="1"/>
    </row>
    <row r="37" spans="1:37">
      <c r="A37" s="134">
        <v>45581</v>
      </c>
      <c r="B37" s="135">
        <v>1563.05</v>
      </c>
      <c r="C37" s="133">
        <f t="shared" si="12"/>
        <v>-4.2999108166645872E-3</v>
      </c>
      <c r="D37" s="133">
        <v>24971.3</v>
      </c>
      <c r="E37" s="133">
        <f t="shared" si="13"/>
        <v>-3.4341221238478603E-3</v>
      </c>
      <c r="F37" s="135">
        <v>23467.35</v>
      </c>
      <c r="G37" s="67">
        <f t="shared" si="3"/>
        <v>3.7648051441685482E-3</v>
      </c>
      <c r="H37" s="1"/>
      <c r="I37" s="1"/>
      <c r="J37" s="1"/>
      <c r="K37" s="1"/>
      <c r="L37" s="1"/>
      <c r="M37" s="1"/>
      <c r="N37" s="1"/>
      <c r="O37" s="1"/>
      <c r="P37" s="1"/>
      <c r="Q37" s="1"/>
      <c r="R37" s="1"/>
      <c r="S37" s="1"/>
      <c r="T37" s="1"/>
      <c r="U37" s="1"/>
      <c r="V37" s="1"/>
      <c r="W37" s="2">
        <v>45580</v>
      </c>
      <c r="X37" s="3">
        <v>1569.8</v>
      </c>
      <c r="Y37" s="1">
        <f t="shared" si="7"/>
        <v>-1.9487820112429777E-2</v>
      </c>
      <c r="Z37" s="1"/>
      <c r="AA37" s="2">
        <v>45387</v>
      </c>
      <c r="AB37" s="3">
        <f t="shared" si="0"/>
        <v>1447.6</v>
      </c>
      <c r="AC37" s="1">
        <f t="shared" si="8"/>
        <v>-7.1671067521690279E-3</v>
      </c>
      <c r="AD37" s="1"/>
      <c r="AE37" s="2">
        <v>45300</v>
      </c>
      <c r="AF37" s="3">
        <f t="shared" si="1"/>
        <v>1291.5</v>
      </c>
      <c r="AG37" s="1">
        <f t="shared" si="9"/>
        <v>1.6129032258064502E-2</v>
      </c>
      <c r="AH37" s="1"/>
      <c r="AI37" s="1"/>
      <c r="AJ37" s="1"/>
      <c r="AK37" s="1"/>
    </row>
    <row r="38" spans="1:37">
      <c r="A38" s="134">
        <v>45580</v>
      </c>
      <c r="B38" s="135">
        <v>1569.8</v>
      </c>
      <c r="C38" s="133">
        <f t="shared" si="12"/>
        <v>-1.9487820112429777E-2</v>
      </c>
      <c r="D38" s="133">
        <v>25057.35</v>
      </c>
      <c r="E38" s="133">
        <f t="shared" si="13"/>
        <v>-2.809620362982379E-3</v>
      </c>
      <c r="F38" s="135">
        <v>23555.7</v>
      </c>
      <c r="G38" s="67">
        <f t="shared" si="3"/>
        <v>5.2768544343830825E-3</v>
      </c>
      <c r="H38" s="1"/>
      <c r="I38" s="1"/>
      <c r="J38" s="1"/>
      <c r="K38" s="1"/>
      <c r="L38" s="1"/>
      <c r="M38" s="1"/>
      <c r="N38" s="1"/>
      <c r="O38" s="1"/>
      <c r="P38" s="1"/>
      <c r="Q38" s="1"/>
      <c r="R38" s="1"/>
      <c r="S38" s="1"/>
      <c r="T38" s="1"/>
      <c r="U38" s="1"/>
      <c r="V38" s="1"/>
      <c r="W38" s="2">
        <v>45579</v>
      </c>
      <c r="X38" s="3">
        <v>1601</v>
      </c>
      <c r="Y38" s="1">
        <f t="shared" si="7"/>
        <v>4.2024713040205164E-3</v>
      </c>
      <c r="Z38" s="1"/>
      <c r="AA38" s="2">
        <v>45386</v>
      </c>
      <c r="AB38" s="3">
        <f t="shared" si="0"/>
        <v>1458.05</v>
      </c>
      <c r="AC38" s="1">
        <f t="shared" si="8"/>
        <v>-9.3086461695260914E-3</v>
      </c>
      <c r="AD38" s="1"/>
      <c r="AE38" s="2">
        <v>45299</v>
      </c>
      <c r="AF38" s="3">
        <f t="shared" si="1"/>
        <v>1271</v>
      </c>
      <c r="AG38" s="1">
        <f t="shared" si="9"/>
        <v>-1.2547100182573989E-2</v>
      </c>
      <c r="AH38" s="1"/>
      <c r="AI38" s="1"/>
      <c r="AJ38" s="1"/>
      <c r="AK38" s="1"/>
    </row>
    <row r="39" spans="1:37">
      <c r="A39" s="134">
        <v>45579</v>
      </c>
      <c r="B39" s="135">
        <v>1601</v>
      </c>
      <c r="C39" s="133">
        <f t="shared" si="12"/>
        <v>4.2024713040205164E-3</v>
      </c>
      <c r="D39" s="133">
        <v>25127.95</v>
      </c>
      <c r="E39" s="133">
        <f t="shared" si="13"/>
        <v>6.5573770491802463E-3</v>
      </c>
      <c r="F39" s="135">
        <v>23680</v>
      </c>
      <c r="G39" s="67">
        <f t="shared" si="3"/>
        <v>-4.1279560810810745E-3</v>
      </c>
      <c r="H39" s="1"/>
      <c r="I39" s="1"/>
      <c r="J39" s="1"/>
      <c r="K39" s="1"/>
      <c r="L39" s="1"/>
      <c r="M39" s="1"/>
      <c r="N39" s="1"/>
      <c r="O39" s="1"/>
      <c r="P39" s="1"/>
      <c r="Q39" s="1"/>
      <c r="R39" s="1"/>
      <c r="S39" s="1"/>
      <c r="T39" s="1"/>
      <c r="U39" s="1"/>
      <c r="V39" s="1"/>
      <c r="W39" s="2">
        <v>45576</v>
      </c>
      <c r="X39" s="3">
        <v>1594.3</v>
      </c>
      <c r="Y39" s="1">
        <f t="shared" si="7"/>
        <v>-1.8227723381981753E-2</v>
      </c>
      <c r="Z39" s="1"/>
      <c r="AA39" s="2">
        <v>45385</v>
      </c>
      <c r="AB39" s="3">
        <f t="shared" si="0"/>
        <v>1471.75</v>
      </c>
      <c r="AC39" s="1">
        <f t="shared" si="8"/>
        <v>-1.2248322147651036E-2</v>
      </c>
      <c r="AD39" s="1"/>
      <c r="AE39" s="2">
        <v>45296</v>
      </c>
      <c r="AF39" s="3">
        <f t="shared" si="1"/>
        <v>1287.1500000000001</v>
      </c>
      <c r="AG39" s="1">
        <f t="shared" si="9"/>
        <v>-9.5036552520199047E-3</v>
      </c>
      <c r="AH39" s="1"/>
      <c r="AI39" s="1"/>
      <c r="AJ39" s="1"/>
      <c r="AK39" s="1"/>
    </row>
    <row r="40" spans="1:37">
      <c r="A40" s="134">
        <v>45576</v>
      </c>
      <c r="B40" s="135">
        <v>1594.3</v>
      </c>
      <c r="C40" s="133">
        <f t="shared" si="12"/>
        <v>-1.8227723381981753E-2</v>
      </c>
      <c r="D40" s="133">
        <v>24964.25</v>
      </c>
      <c r="E40" s="133">
        <f t="shared" si="13"/>
        <v>-1.3680848212589414E-3</v>
      </c>
      <c r="F40" s="135">
        <v>23582.25</v>
      </c>
      <c r="G40" s="67">
        <f t="shared" si="3"/>
        <v>-1.1750363090883953E-2</v>
      </c>
      <c r="H40" s="1"/>
      <c r="I40" s="1"/>
      <c r="J40" s="1"/>
      <c r="K40" s="1"/>
      <c r="L40" s="1"/>
      <c r="M40" s="1"/>
      <c r="N40" s="1"/>
      <c r="O40" s="1"/>
      <c r="P40" s="1"/>
      <c r="Q40" s="1"/>
      <c r="R40" s="1"/>
      <c r="S40" s="1"/>
      <c r="T40" s="1"/>
      <c r="U40" s="1"/>
      <c r="V40" s="1"/>
      <c r="W40" s="2">
        <v>45575</v>
      </c>
      <c r="X40" s="3">
        <v>1623.9</v>
      </c>
      <c r="Y40" s="1">
        <f t="shared" si="7"/>
        <v>-3.5115864527629159E-2</v>
      </c>
      <c r="Z40" s="1"/>
      <c r="AA40" s="2">
        <v>45384</v>
      </c>
      <c r="AB40" s="3">
        <f t="shared" ref="AB40:AB71" si="16">B171</f>
        <v>1490</v>
      </c>
      <c r="AC40" s="1">
        <f t="shared" si="8"/>
        <v>-4.676018704074858E-3</v>
      </c>
      <c r="AD40" s="1"/>
      <c r="AE40" s="2">
        <v>45295</v>
      </c>
      <c r="AF40" s="3">
        <f t="shared" ref="AF40:AF71" si="17">B230</f>
        <v>1299.5</v>
      </c>
      <c r="AG40" s="1">
        <f t="shared" si="9"/>
        <v>-1.5750451384887176E-3</v>
      </c>
      <c r="AH40" s="1"/>
      <c r="AI40" s="1"/>
      <c r="AJ40" s="1"/>
      <c r="AK40" s="1"/>
    </row>
    <row r="41" spans="1:37">
      <c r="A41" s="134">
        <v>45575</v>
      </c>
      <c r="B41" s="135">
        <v>1623.9</v>
      </c>
      <c r="C41" s="133">
        <f t="shared" si="12"/>
        <v>-3.5115864527629159E-2</v>
      </c>
      <c r="D41" s="133">
        <v>24998.45</v>
      </c>
      <c r="E41" s="133">
        <f t="shared" si="13"/>
        <v>6.6047686429593355E-4</v>
      </c>
      <c r="F41" s="135">
        <v>23305.15</v>
      </c>
      <c r="G41" s="67">
        <f t="shared" si="3"/>
        <v>2.0538378856175488E-2</v>
      </c>
      <c r="H41" s="1"/>
      <c r="I41" s="1"/>
      <c r="J41" s="1"/>
      <c r="K41" s="1"/>
      <c r="L41" s="1"/>
      <c r="M41" s="1"/>
      <c r="N41" s="1"/>
      <c r="O41" s="1"/>
      <c r="P41" s="1"/>
      <c r="Q41" s="1"/>
      <c r="R41" s="1"/>
      <c r="S41" s="1"/>
      <c r="T41" s="1"/>
      <c r="U41" s="1"/>
      <c r="V41" s="1"/>
      <c r="W41" s="2">
        <v>45574</v>
      </c>
      <c r="X41" s="3">
        <v>1683</v>
      </c>
      <c r="Y41" s="1">
        <f t="shared" si="7"/>
        <v>2.6282090371364086E-2</v>
      </c>
      <c r="Z41" s="1"/>
      <c r="AA41" s="2">
        <v>45383</v>
      </c>
      <c r="AB41" s="3">
        <f t="shared" si="16"/>
        <v>1497</v>
      </c>
      <c r="AC41" s="1">
        <f t="shared" si="8"/>
        <v>6.6844919786102075E-4</v>
      </c>
      <c r="AD41" s="1"/>
      <c r="AE41" s="2">
        <v>45294</v>
      </c>
      <c r="AF41" s="3">
        <f t="shared" si="17"/>
        <v>1301.55</v>
      </c>
      <c r="AG41" s="1">
        <f t="shared" si="9"/>
        <v>1.4576918579724873E-2</v>
      </c>
      <c r="AH41" s="1"/>
      <c r="AI41" s="1"/>
      <c r="AJ41" s="1"/>
      <c r="AK41" s="1"/>
    </row>
    <row r="42" spans="1:37">
      <c r="A42" s="134">
        <v>45574</v>
      </c>
      <c r="B42" s="135">
        <v>1683</v>
      </c>
      <c r="C42" s="133">
        <f t="shared" si="12"/>
        <v>2.6282090371364086E-2</v>
      </c>
      <c r="D42" s="133">
        <v>24981.95</v>
      </c>
      <c r="E42" s="133">
        <f t="shared" si="13"/>
        <v>-1.2473438971101203E-3</v>
      </c>
      <c r="F42" s="135">
        <v>23783.8</v>
      </c>
      <c r="G42" s="67">
        <f t="shared" si="3"/>
        <v>-2.0007315904102763E-2</v>
      </c>
      <c r="H42" s="1"/>
      <c r="I42" s="1"/>
      <c r="J42" s="1"/>
      <c r="K42" s="1"/>
      <c r="L42" s="1"/>
      <c r="M42" s="1"/>
      <c r="N42" s="1"/>
      <c r="O42" s="1"/>
      <c r="P42" s="1"/>
      <c r="Q42" s="1"/>
      <c r="R42" s="1"/>
      <c r="S42" s="1"/>
      <c r="T42" s="1"/>
      <c r="U42" s="1"/>
      <c r="V42" s="1"/>
      <c r="W42" s="2">
        <v>45573</v>
      </c>
      <c r="X42" s="3">
        <v>1639.9</v>
      </c>
      <c r="Y42" s="1">
        <f t="shared" si="7"/>
        <v>9.7906403940888342E-3</v>
      </c>
      <c r="Z42" s="1"/>
      <c r="AA42" s="2">
        <v>45379</v>
      </c>
      <c r="AB42" s="3">
        <f t="shared" si="16"/>
        <v>1496</v>
      </c>
      <c r="AC42" s="1">
        <f t="shared" si="8"/>
        <v>1.8137271582672643E-2</v>
      </c>
      <c r="AD42" s="1"/>
      <c r="AE42" s="2">
        <v>45293</v>
      </c>
      <c r="AF42" s="3">
        <f t="shared" si="17"/>
        <v>1282.8499999999999</v>
      </c>
      <c r="AG42" s="1">
        <f t="shared" si="9"/>
        <v>2.6279999999999859E-2</v>
      </c>
      <c r="AH42" s="1"/>
      <c r="AI42" s="1"/>
      <c r="AJ42" s="1"/>
      <c r="AK42" s="1"/>
    </row>
    <row r="43" spans="1:37">
      <c r="A43" s="134">
        <v>45573</v>
      </c>
      <c r="B43" s="135">
        <v>1639.9</v>
      </c>
      <c r="C43" s="133">
        <f t="shared" si="12"/>
        <v>9.7906403940888342E-3</v>
      </c>
      <c r="D43" s="133">
        <v>25013.15</v>
      </c>
      <c r="E43" s="133">
        <f t="shared" si="13"/>
        <v>8.7676315497615676E-3</v>
      </c>
      <c r="F43" s="135">
        <v>23307.95</v>
      </c>
      <c r="G43" s="67">
        <f t="shared" si="3"/>
        <v>-1.4164694878786022E-2</v>
      </c>
      <c r="H43" s="1"/>
      <c r="I43" s="1"/>
      <c r="J43" s="1"/>
      <c r="K43" s="1"/>
      <c r="L43" s="1"/>
      <c r="M43" s="1"/>
      <c r="N43" s="1"/>
      <c r="O43" s="1"/>
      <c r="P43" s="1"/>
      <c r="Q43" s="1"/>
      <c r="R43" s="1"/>
      <c r="S43" s="1"/>
      <c r="T43" s="1"/>
      <c r="U43" s="1"/>
      <c r="V43" s="1"/>
      <c r="W43" s="2">
        <v>45572</v>
      </c>
      <c r="X43" s="3">
        <v>1624</v>
      </c>
      <c r="Y43" s="1">
        <f t="shared" si="7"/>
        <v>-6.1538461538457323E-4</v>
      </c>
      <c r="Z43" s="1"/>
      <c r="AA43" s="2">
        <v>45378</v>
      </c>
      <c r="AB43" s="3">
        <f t="shared" si="16"/>
        <v>1469.35</v>
      </c>
      <c r="AC43" s="1">
        <f t="shared" si="8"/>
        <v>1.0209637898173085E-4</v>
      </c>
      <c r="AD43" s="1"/>
      <c r="AE43" s="2">
        <v>45292</v>
      </c>
      <c r="AF43" s="3">
        <f t="shared" si="17"/>
        <v>1250</v>
      </c>
      <c r="AG43" s="1">
        <f t="shared" si="9"/>
        <v>0</v>
      </c>
      <c r="AH43" s="1"/>
      <c r="AI43" s="1"/>
      <c r="AJ43" s="1"/>
      <c r="AK43" s="1"/>
    </row>
    <row r="44" spans="1:37">
      <c r="A44" s="134">
        <v>45572</v>
      </c>
      <c r="B44" s="135">
        <v>1624</v>
      </c>
      <c r="C44" s="133">
        <f t="shared" si="12"/>
        <v>-6.1538461538457323E-4</v>
      </c>
      <c r="D44" s="133">
        <v>24795.75</v>
      </c>
      <c r="E44" s="133">
        <f t="shared" si="13"/>
        <v>-8.7488906478615514E-3</v>
      </c>
      <c r="F44" s="135">
        <v>22977.8</v>
      </c>
      <c r="G44" s="67">
        <f t="shared" si="3"/>
        <v>5.0875192577184425E-3</v>
      </c>
      <c r="H44" s="1"/>
      <c r="I44" s="1"/>
      <c r="J44" s="1"/>
      <c r="K44" s="1"/>
      <c r="L44" s="1"/>
      <c r="M44" s="1"/>
      <c r="N44" s="1"/>
      <c r="O44" s="1"/>
      <c r="P44" s="1"/>
      <c r="Q44" s="1"/>
      <c r="R44" s="1"/>
      <c r="S44" s="1"/>
      <c r="T44" s="1"/>
      <c r="U44" s="1"/>
      <c r="V44" s="1"/>
      <c r="W44" s="2">
        <v>45569</v>
      </c>
      <c r="X44" s="3">
        <v>1625</v>
      </c>
      <c r="Y44" s="1">
        <f t="shared" si="7"/>
        <v>-1.9903498190591118E-2</v>
      </c>
      <c r="Z44" s="1"/>
      <c r="AA44" s="2">
        <v>45377</v>
      </c>
      <c r="AB44" s="3">
        <f t="shared" si="16"/>
        <v>1469.2</v>
      </c>
      <c r="AC44" s="1">
        <f t="shared" si="8"/>
        <v>-5.684894423389153E-3</v>
      </c>
      <c r="AD44" s="1"/>
      <c r="AE44" s="2">
        <v>45289</v>
      </c>
      <c r="AF44" s="3">
        <f t="shared" si="17"/>
        <v>1250</v>
      </c>
      <c r="AG44" s="1">
        <f t="shared" si="9"/>
        <v>-9.5087163232963068E-3</v>
      </c>
      <c r="AH44" s="1"/>
      <c r="AI44" s="1"/>
      <c r="AJ44" s="1"/>
      <c r="AK44" s="1"/>
    </row>
    <row r="45" spans="1:37">
      <c r="A45" s="134">
        <v>45569</v>
      </c>
      <c r="B45" s="135">
        <v>1625</v>
      </c>
      <c r="C45" s="133">
        <f t="shared" si="12"/>
        <v>-1.9903498190591118E-2</v>
      </c>
      <c r="D45" s="133">
        <v>25014.6</v>
      </c>
      <c r="E45" s="133">
        <f t="shared" si="13"/>
        <v>-9.3266957358584257E-3</v>
      </c>
      <c r="F45" s="135">
        <v>23094.7</v>
      </c>
      <c r="G45" s="67">
        <f t="shared" si="3"/>
        <v>3.6393631439246565E-3</v>
      </c>
      <c r="H45" s="1"/>
      <c r="I45" s="1"/>
      <c r="J45" s="1"/>
      <c r="K45" s="1"/>
      <c r="L45" s="1"/>
      <c r="M45" s="1"/>
      <c r="N45" s="1"/>
      <c r="O45" s="1"/>
      <c r="P45" s="1"/>
      <c r="Q45" s="1"/>
      <c r="R45" s="1"/>
      <c r="S45" s="1"/>
      <c r="T45" s="1"/>
      <c r="U45" s="1"/>
      <c r="V45" s="1"/>
      <c r="W45" s="2">
        <v>45568</v>
      </c>
      <c r="X45" s="3">
        <v>1658</v>
      </c>
      <c r="Y45" s="1">
        <f t="shared" si="7"/>
        <v>-3.5758286006190021E-3</v>
      </c>
      <c r="Z45" s="1"/>
      <c r="AA45" s="2">
        <v>45373</v>
      </c>
      <c r="AB45" s="3">
        <f t="shared" si="16"/>
        <v>1477.6</v>
      </c>
      <c r="AC45" s="1">
        <f t="shared" si="8"/>
        <v>1.83321847002067E-2</v>
      </c>
      <c r="AD45" s="1"/>
      <c r="AE45" s="2">
        <v>45288</v>
      </c>
      <c r="AF45" s="3">
        <f t="shared" si="17"/>
        <v>1262</v>
      </c>
      <c r="AG45" s="1">
        <f t="shared" si="9"/>
        <v>1.8111411399298172E-2</v>
      </c>
      <c r="AH45" s="1"/>
      <c r="AI45" s="1"/>
      <c r="AJ45" s="1"/>
      <c r="AK45" s="1"/>
    </row>
    <row r="46" spans="1:37">
      <c r="A46" s="134">
        <v>45568</v>
      </c>
      <c r="B46" s="135">
        <v>1658</v>
      </c>
      <c r="C46" s="133">
        <f t="shared" si="12"/>
        <v>-3.5758286006190021E-3</v>
      </c>
      <c r="D46" s="133">
        <v>25250.1</v>
      </c>
      <c r="E46" s="133">
        <f t="shared" si="13"/>
        <v>-2.1196345297303298E-2</v>
      </c>
      <c r="F46" s="135">
        <v>23178.75</v>
      </c>
      <c r="G46" s="67">
        <f t="shared" si="3"/>
        <v>5.0822412770317182E-3</v>
      </c>
      <c r="H46" s="1"/>
      <c r="I46" s="1"/>
      <c r="J46" s="1"/>
      <c r="K46" s="1"/>
      <c r="L46" s="1"/>
      <c r="M46" s="1"/>
      <c r="N46" s="1"/>
      <c r="O46" s="1"/>
      <c r="P46" s="1"/>
      <c r="Q46" s="1"/>
      <c r="R46" s="1"/>
      <c r="S46" s="1"/>
      <c r="T46" s="1"/>
      <c r="U46" s="1"/>
      <c r="V46" s="1"/>
      <c r="W46" s="2">
        <v>45566</v>
      </c>
      <c r="X46" s="3">
        <v>1663.95</v>
      </c>
      <c r="Y46" s="1">
        <f t="shared" si="7"/>
        <v>5.407854984894378E-3</v>
      </c>
      <c r="Z46" s="1"/>
      <c r="AA46" s="2">
        <v>45372</v>
      </c>
      <c r="AB46" s="3">
        <f t="shared" si="16"/>
        <v>1451</v>
      </c>
      <c r="AC46" s="1">
        <f t="shared" si="8"/>
        <v>2.3524847458822551E-2</v>
      </c>
      <c r="AD46" s="1"/>
      <c r="AE46" s="2">
        <v>45287</v>
      </c>
      <c r="AF46" s="3">
        <f t="shared" si="17"/>
        <v>1239.55</v>
      </c>
      <c r="AG46" s="1">
        <f t="shared" si="9"/>
        <v>-5.9344801315209805E-3</v>
      </c>
      <c r="AH46" s="1"/>
      <c r="AI46" s="1"/>
      <c r="AJ46" s="1"/>
      <c r="AK46" s="1"/>
    </row>
    <row r="47" spans="1:37">
      <c r="A47" s="134">
        <v>45566</v>
      </c>
      <c r="B47" s="135">
        <v>1663.95</v>
      </c>
      <c r="C47" s="133">
        <f t="shared" si="12"/>
        <v>5.407854984894378E-3</v>
      </c>
      <c r="D47" s="133">
        <v>25796.9</v>
      </c>
      <c r="E47" s="133">
        <f t="shared" si="13"/>
        <v>-5.4047038357885047E-4</v>
      </c>
      <c r="F47" s="135">
        <v>23296.55</v>
      </c>
      <c r="G47" s="67">
        <f t="shared" si="3"/>
        <v>-6.5889584509293275E-4</v>
      </c>
      <c r="H47" s="1"/>
      <c r="I47" s="1"/>
      <c r="J47" s="1"/>
      <c r="K47" s="1"/>
      <c r="L47" s="1"/>
      <c r="M47" s="1"/>
      <c r="N47" s="1"/>
      <c r="O47" s="1"/>
      <c r="P47" s="1"/>
      <c r="Q47" s="1"/>
      <c r="R47" s="1"/>
      <c r="S47" s="1"/>
      <c r="T47" s="1"/>
      <c r="U47" s="1"/>
      <c r="V47" s="1"/>
      <c r="W47" s="2">
        <v>45565</v>
      </c>
      <c r="X47" s="3">
        <v>1655</v>
      </c>
      <c r="Y47" s="1">
        <f t="shared" si="7"/>
        <v>-1.1645267243953428E-2</v>
      </c>
      <c r="Z47" s="1"/>
      <c r="AA47" s="2">
        <v>45371</v>
      </c>
      <c r="AB47" s="3">
        <f t="shared" si="16"/>
        <v>1417.65</v>
      </c>
      <c r="AC47" s="1">
        <f t="shared" si="8"/>
        <v>-1.2056169204501921E-2</v>
      </c>
      <c r="AD47" s="1"/>
      <c r="AE47" s="2">
        <v>45286</v>
      </c>
      <c r="AF47" s="3">
        <f t="shared" si="17"/>
        <v>1246.95</v>
      </c>
      <c r="AG47" s="1">
        <f t="shared" si="9"/>
        <v>5.6048387096774288E-3</v>
      </c>
      <c r="AH47" s="1"/>
      <c r="AI47" s="1"/>
      <c r="AJ47" s="1"/>
      <c r="AK47" s="1"/>
    </row>
    <row r="48" spans="1:37">
      <c r="A48" s="134">
        <v>45565</v>
      </c>
      <c r="B48" s="135">
        <v>1655</v>
      </c>
      <c r="C48" s="133">
        <f t="shared" si="12"/>
        <v>-1.1645267243953428E-2</v>
      </c>
      <c r="D48" s="133">
        <v>25810.85</v>
      </c>
      <c r="E48" s="133">
        <f t="shared" si="13"/>
        <v>-1.4060915353747983E-2</v>
      </c>
      <c r="F48" s="135">
        <v>23281.200000000001</v>
      </c>
      <c r="G48" s="67">
        <f t="shared" si="3"/>
        <v>1.021854543580214E-2</v>
      </c>
      <c r="H48" s="1"/>
      <c r="I48" s="1"/>
      <c r="J48" s="1"/>
      <c r="K48" s="1"/>
      <c r="L48" s="1"/>
      <c r="M48" s="1"/>
      <c r="N48" s="1"/>
      <c r="O48" s="1"/>
      <c r="P48" s="1"/>
      <c r="Q48" s="1"/>
      <c r="R48" s="1"/>
      <c r="S48" s="1"/>
      <c r="T48" s="1"/>
      <c r="U48" s="1"/>
      <c r="V48" s="1"/>
      <c r="W48" s="2">
        <v>45562</v>
      </c>
      <c r="X48" s="3">
        <v>1674.5</v>
      </c>
      <c r="Y48" s="1">
        <f t="shared" si="7"/>
        <v>3.4280420012353208E-2</v>
      </c>
      <c r="Z48" s="1"/>
      <c r="AA48" s="2">
        <v>45370</v>
      </c>
      <c r="AB48" s="3">
        <f t="shared" si="16"/>
        <v>1434.95</v>
      </c>
      <c r="AC48" s="1">
        <f t="shared" si="8"/>
        <v>-3.2726659925850998E-2</v>
      </c>
      <c r="AD48" s="1"/>
      <c r="AE48" s="2">
        <v>45282</v>
      </c>
      <c r="AF48" s="3">
        <f t="shared" si="17"/>
        <v>1240</v>
      </c>
      <c r="AG48" s="1">
        <f t="shared" si="9"/>
        <v>8.9503661513425925E-3</v>
      </c>
      <c r="AH48" s="1"/>
      <c r="AI48" s="1"/>
      <c r="AJ48" s="1"/>
      <c r="AK48" s="1"/>
    </row>
    <row r="49" spans="1:37">
      <c r="A49" s="134">
        <v>45562</v>
      </c>
      <c r="B49" s="135">
        <v>1674.5</v>
      </c>
      <c r="C49" s="133">
        <f t="shared" si="12"/>
        <v>3.4280420012353208E-2</v>
      </c>
      <c r="D49" s="133">
        <v>26178.95</v>
      </c>
      <c r="E49" s="133">
        <f t="shared" si="13"/>
        <v>-1.4151636116043198E-3</v>
      </c>
      <c r="F49" s="135">
        <v>23519.1</v>
      </c>
      <c r="G49" s="67">
        <f t="shared" si="3"/>
        <v>-1.1403497582815558E-2</v>
      </c>
      <c r="H49" s="1"/>
      <c r="I49" s="1"/>
      <c r="J49" s="1"/>
      <c r="K49" s="1"/>
      <c r="L49" s="1"/>
      <c r="M49" s="1"/>
      <c r="N49" s="1"/>
      <c r="O49" s="1"/>
      <c r="P49" s="1"/>
      <c r="Q49" s="1"/>
      <c r="R49" s="1"/>
      <c r="S49" s="1"/>
      <c r="T49" s="1"/>
      <c r="U49" s="1"/>
      <c r="V49" s="1"/>
      <c r="W49" s="2">
        <v>45561</v>
      </c>
      <c r="X49" s="3">
        <v>1619</v>
      </c>
      <c r="Y49" s="1">
        <f t="shared" si="7"/>
        <v>-1.7597087378640741E-2</v>
      </c>
      <c r="Z49" s="1"/>
      <c r="AA49" s="2">
        <v>45369</v>
      </c>
      <c r="AB49" s="3">
        <f t="shared" si="16"/>
        <v>1483.5</v>
      </c>
      <c r="AC49" s="1">
        <f t="shared" si="8"/>
        <v>6.0704168352909704E-4</v>
      </c>
      <c r="AD49" s="1"/>
      <c r="AE49" s="2">
        <v>45281</v>
      </c>
      <c r="AF49" s="3">
        <f t="shared" si="17"/>
        <v>1229</v>
      </c>
      <c r="AG49" s="1">
        <f t="shared" si="9"/>
        <v>-7.2697899838448654E-3</v>
      </c>
      <c r="AH49" s="1"/>
      <c r="AI49" s="1"/>
      <c r="AJ49" s="1"/>
      <c r="AK49" s="1"/>
    </row>
    <row r="50" spans="1:37">
      <c r="A50" s="134">
        <v>45561</v>
      </c>
      <c r="B50" s="135">
        <v>1619</v>
      </c>
      <c r="C50" s="133">
        <f t="shared" si="12"/>
        <v>-1.7597087378640741E-2</v>
      </c>
      <c r="D50" s="133">
        <v>26216.05</v>
      </c>
      <c r="E50" s="133">
        <f t="shared" si="13"/>
        <v>8.1486993422204002E-3</v>
      </c>
      <c r="F50" s="135">
        <v>23250.9</v>
      </c>
      <c r="G50" s="67">
        <f t="shared" si="3"/>
        <v>-8.1717266858571946E-5</v>
      </c>
      <c r="H50" s="1"/>
      <c r="I50" s="1"/>
      <c r="J50" s="1"/>
      <c r="K50" s="1"/>
      <c r="L50" s="1"/>
      <c r="M50" s="1"/>
      <c r="N50" s="1"/>
      <c r="O50" s="1"/>
      <c r="P50" s="1"/>
      <c r="Q50" s="1"/>
      <c r="R50" s="1"/>
      <c r="S50" s="1"/>
      <c r="T50" s="1"/>
      <c r="U50" s="1"/>
      <c r="V50" s="1"/>
      <c r="W50" s="2">
        <v>45560</v>
      </c>
      <c r="X50" s="3">
        <v>1648</v>
      </c>
      <c r="Y50" s="1">
        <f t="shared" si="7"/>
        <v>5.5218279996338548E-3</v>
      </c>
      <c r="Z50" s="1"/>
      <c r="AA50" s="2">
        <v>45366</v>
      </c>
      <c r="AB50" s="3">
        <f t="shared" si="16"/>
        <v>1482.6</v>
      </c>
      <c r="AC50" s="1">
        <f t="shared" si="8"/>
        <v>-1.1600000000000055E-2</v>
      </c>
      <c r="AD50" s="1"/>
      <c r="AE50" s="2">
        <v>45280</v>
      </c>
      <c r="AF50" s="3">
        <f t="shared" si="17"/>
        <v>1238</v>
      </c>
      <c r="AG50" s="1">
        <f t="shared" si="9"/>
        <v>-1.612903225806428E-3</v>
      </c>
      <c r="AH50" s="1"/>
      <c r="AI50" s="1"/>
      <c r="AJ50" s="1"/>
      <c r="AK50" s="1"/>
    </row>
    <row r="51" spans="1:37">
      <c r="A51" s="134">
        <v>45560</v>
      </c>
      <c r="B51" s="135">
        <v>1648</v>
      </c>
      <c r="C51" s="133">
        <f t="shared" si="12"/>
        <v>5.5218279996338548E-3</v>
      </c>
      <c r="D51" s="133">
        <v>26004.15</v>
      </c>
      <c r="E51" s="133">
        <f t="shared" si="13"/>
        <v>2.4575565527131804E-3</v>
      </c>
      <c r="F51" s="135">
        <v>23249</v>
      </c>
      <c r="G51" s="67">
        <f t="shared" si="3"/>
        <v>-2.6065637231708072E-3</v>
      </c>
      <c r="H51" s="1"/>
      <c r="I51" s="1"/>
      <c r="J51" s="1"/>
      <c r="K51" s="1"/>
      <c r="L51" s="1"/>
      <c r="M51" s="1"/>
      <c r="N51" s="1"/>
      <c r="O51" s="1"/>
      <c r="P51" s="1"/>
      <c r="Q51" s="1"/>
      <c r="R51" s="1"/>
      <c r="S51" s="1"/>
      <c r="T51" s="1"/>
      <c r="U51" s="1"/>
      <c r="V51" s="1"/>
      <c r="W51" s="2">
        <v>45559</v>
      </c>
      <c r="X51" s="3">
        <v>1638.95</v>
      </c>
      <c r="Y51" s="1">
        <f t="shared" si="7"/>
        <v>-1.1817551475686527E-2</v>
      </c>
      <c r="Z51" s="1"/>
      <c r="AA51" s="2">
        <v>45365</v>
      </c>
      <c r="AB51" s="3">
        <f t="shared" si="16"/>
        <v>1500</v>
      </c>
      <c r="AC51" s="1">
        <f t="shared" si="8"/>
        <v>2.2042039995911811E-2</v>
      </c>
      <c r="AD51" s="1"/>
      <c r="AE51" s="2">
        <v>45279</v>
      </c>
      <c r="AF51" s="3">
        <f t="shared" si="17"/>
        <v>1240</v>
      </c>
      <c r="AG51" s="1">
        <f t="shared" si="9"/>
        <v>2.0576131687242816E-2</v>
      </c>
      <c r="AH51" s="1"/>
      <c r="AI51" s="1"/>
      <c r="AJ51" s="1"/>
      <c r="AK51" s="1"/>
    </row>
    <row r="52" spans="1:37">
      <c r="A52" s="134">
        <v>45559</v>
      </c>
      <c r="B52" s="135">
        <v>1638.95</v>
      </c>
      <c r="C52" s="133">
        <f t="shared" si="12"/>
        <v>-1.1817551475686527E-2</v>
      </c>
      <c r="D52" s="133">
        <v>25940.400000000001</v>
      </c>
      <c r="E52" s="133">
        <f t="shared" si="13"/>
        <v>5.2045082607143911E-5</v>
      </c>
      <c r="F52" s="135">
        <v>23188.400000000001</v>
      </c>
      <c r="G52" s="67">
        <f t="shared" si="3"/>
        <v>-2.3352193338048721E-3</v>
      </c>
      <c r="H52" s="1"/>
      <c r="I52" s="1"/>
      <c r="J52" s="1"/>
      <c r="K52" s="1"/>
      <c r="L52" s="1"/>
      <c r="M52" s="1"/>
      <c r="N52" s="1"/>
      <c r="O52" s="1"/>
      <c r="P52" s="1"/>
      <c r="Q52" s="1"/>
      <c r="R52" s="1"/>
      <c r="S52" s="1"/>
      <c r="T52" s="1"/>
      <c r="U52" s="1"/>
      <c r="V52" s="1"/>
      <c r="W52" s="2">
        <v>45558</v>
      </c>
      <c r="X52" s="3">
        <v>1658.55</v>
      </c>
      <c r="Y52" s="1">
        <f t="shared" si="7"/>
        <v>8.8196830996625231E-3</v>
      </c>
      <c r="Z52" s="1"/>
      <c r="AA52" s="2">
        <v>45364</v>
      </c>
      <c r="AB52" s="3">
        <f t="shared" si="16"/>
        <v>1467.65</v>
      </c>
      <c r="AC52" s="1">
        <f t="shared" si="8"/>
        <v>-2.1416915964099781E-3</v>
      </c>
      <c r="AD52" s="1"/>
      <c r="AE52" s="2">
        <v>45278</v>
      </c>
      <c r="AF52" s="3">
        <f t="shared" si="17"/>
        <v>1215</v>
      </c>
      <c r="AG52" s="1">
        <f t="shared" si="9"/>
        <v>8.1732564411067798E-3</v>
      </c>
      <c r="AH52" s="1"/>
      <c r="AI52" s="1"/>
      <c r="AJ52" s="1"/>
      <c r="AK52" s="1"/>
    </row>
    <row r="53" spans="1:37">
      <c r="A53" s="134">
        <v>45558</v>
      </c>
      <c r="B53" s="135">
        <v>1658.55</v>
      </c>
      <c r="C53" s="133">
        <f t="shared" si="12"/>
        <v>8.8196830996625231E-3</v>
      </c>
      <c r="D53" s="133">
        <v>25939.05</v>
      </c>
      <c r="E53" s="133">
        <f t="shared" si="13"/>
        <v>5.7423243424534753E-3</v>
      </c>
      <c r="F53" s="135">
        <v>23134.25</v>
      </c>
      <c r="G53" s="67">
        <f t="shared" si="3"/>
        <v>-5.5761479192106833E-3</v>
      </c>
      <c r="H53" s="1"/>
      <c r="I53" s="1"/>
      <c r="J53" s="1"/>
      <c r="K53" s="1"/>
      <c r="L53" s="1"/>
      <c r="M53" s="1"/>
      <c r="N53" s="1"/>
      <c r="O53" s="1"/>
      <c r="P53" s="1"/>
      <c r="Q53" s="1"/>
      <c r="R53" s="1"/>
      <c r="S53" s="1"/>
      <c r="T53" s="1"/>
      <c r="U53" s="1"/>
      <c r="V53" s="1"/>
      <c r="W53" s="2">
        <v>45555</v>
      </c>
      <c r="X53" s="3">
        <v>1644.05</v>
      </c>
      <c r="Y53" s="1">
        <f t="shared" si="7"/>
        <v>1.2484774665042497E-3</v>
      </c>
      <c r="Z53" s="1"/>
      <c r="AA53" s="2">
        <v>45363</v>
      </c>
      <c r="AB53" s="3">
        <f t="shared" si="16"/>
        <v>1470.8</v>
      </c>
      <c r="AC53" s="1">
        <f t="shared" si="8"/>
        <v>-2.2724252491694408E-2</v>
      </c>
      <c r="AD53" s="1"/>
      <c r="AE53" s="2">
        <v>45275</v>
      </c>
      <c r="AF53" s="3">
        <f t="shared" si="17"/>
        <v>1205.1500000000001</v>
      </c>
      <c r="AG53" s="1">
        <f t="shared" si="9"/>
        <v>1.2448132780096266E-4</v>
      </c>
      <c r="AH53" s="1"/>
      <c r="AI53" s="1"/>
      <c r="AJ53" s="1"/>
      <c r="AK53" s="1"/>
    </row>
    <row r="54" spans="1:37">
      <c r="A54" s="134">
        <v>45555</v>
      </c>
      <c r="B54" s="135">
        <v>1644.05</v>
      </c>
      <c r="C54" s="133">
        <f t="shared" si="12"/>
        <v>1.2484774665042497E-3</v>
      </c>
      <c r="D54" s="133">
        <v>25790.95</v>
      </c>
      <c r="E54" s="133">
        <f t="shared" si="13"/>
        <v>1.4760503308965278E-2</v>
      </c>
      <c r="F54" s="135">
        <v>23005.25</v>
      </c>
      <c r="G54" s="67">
        <f t="shared" si="3"/>
        <v>-3.2644722400321236E-3</v>
      </c>
      <c r="H54" s="1"/>
      <c r="I54" s="1"/>
      <c r="J54" s="1"/>
      <c r="K54" s="1"/>
      <c r="L54" s="1"/>
      <c r="M54" s="1"/>
      <c r="N54" s="1"/>
      <c r="O54" s="1"/>
      <c r="P54" s="1"/>
      <c r="Q54" s="1"/>
      <c r="R54" s="1"/>
      <c r="S54" s="1"/>
      <c r="T54" s="1"/>
      <c r="U54" s="1"/>
      <c r="V54" s="1"/>
      <c r="W54" s="2">
        <v>45554</v>
      </c>
      <c r="X54" s="3">
        <v>1642</v>
      </c>
      <c r="Y54" s="1">
        <f t="shared" si="7"/>
        <v>-6.3540090771557756E-3</v>
      </c>
      <c r="Z54" s="1"/>
      <c r="AA54" s="2">
        <v>45362</v>
      </c>
      <c r="AB54" s="3">
        <f t="shared" si="16"/>
        <v>1505</v>
      </c>
      <c r="AC54" s="1">
        <f t="shared" si="8"/>
        <v>1.4321819713563499E-2</v>
      </c>
      <c r="AD54" s="1"/>
      <c r="AE54" s="2">
        <v>45274</v>
      </c>
      <c r="AF54" s="3">
        <f t="shared" si="17"/>
        <v>1205</v>
      </c>
      <c r="AG54" s="1">
        <f t="shared" si="9"/>
        <v>-6.5952184666117075E-3</v>
      </c>
      <c r="AH54" s="1"/>
      <c r="AI54" s="1"/>
      <c r="AJ54" s="1"/>
      <c r="AK54" s="1"/>
    </row>
    <row r="55" spans="1:37">
      <c r="A55" s="134">
        <v>45554</v>
      </c>
      <c r="B55" s="135">
        <v>1642</v>
      </c>
      <c r="C55" s="133">
        <f t="shared" si="12"/>
        <v>-6.3540090771557756E-3</v>
      </c>
      <c r="D55" s="133">
        <v>25415.8</v>
      </c>
      <c r="E55" s="133">
        <f t="shared" si="13"/>
        <v>1.5072376963103373E-3</v>
      </c>
      <c r="F55" s="135">
        <v>22930.15</v>
      </c>
      <c r="G55" s="67">
        <f t="shared" si="3"/>
        <v>4.1451974801733904E-3</v>
      </c>
      <c r="H55" s="1"/>
      <c r="I55" s="1"/>
      <c r="J55" s="1"/>
      <c r="K55" s="1"/>
      <c r="L55" s="1"/>
      <c r="M55" s="1"/>
      <c r="N55" s="1"/>
      <c r="O55" s="1"/>
      <c r="P55" s="1"/>
      <c r="Q55" s="1"/>
      <c r="R55" s="1"/>
      <c r="S55" s="1"/>
      <c r="T55" s="1"/>
      <c r="U55" s="1"/>
      <c r="V55" s="1"/>
      <c r="W55" s="2">
        <v>45553</v>
      </c>
      <c r="X55" s="3">
        <v>1652.5</v>
      </c>
      <c r="Y55" s="1">
        <f t="shared" si="7"/>
        <v>-1.2253436939629436E-2</v>
      </c>
      <c r="Z55" s="1"/>
      <c r="AA55" s="2">
        <v>45358</v>
      </c>
      <c r="AB55" s="3">
        <f t="shared" si="16"/>
        <v>1483.75</v>
      </c>
      <c r="AC55" s="1">
        <f t="shared" si="8"/>
        <v>-2.8561827956988806E-3</v>
      </c>
      <c r="AD55" s="1"/>
      <c r="AE55" s="2">
        <v>45273</v>
      </c>
      <c r="AF55" s="3">
        <f t="shared" si="17"/>
        <v>1213</v>
      </c>
      <c r="AG55" s="1">
        <f t="shared" si="9"/>
        <v>1.2520868113522488E-2</v>
      </c>
      <c r="AH55" s="1"/>
      <c r="AI55" s="1"/>
      <c r="AJ55" s="1"/>
      <c r="AK55" s="1"/>
    </row>
    <row r="56" spans="1:37">
      <c r="A56" s="134">
        <v>45553</v>
      </c>
      <c r="B56" s="135">
        <v>1652.5</v>
      </c>
      <c r="C56" s="133">
        <f t="shared" si="12"/>
        <v>-1.2253436939629436E-2</v>
      </c>
      <c r="D56" s="133">
        <v>25377.55</v>
      </c>
      <c r="E56" s="133">
        <f t="shared" si="13"/>
        <v>-1.6129952337957665E-3</v>
      </c>
      <c r="F56" s="135">
        <v>23025.200000000001</v>
      </c>
      <c r="G56" s="67">
        <f t="shared" si="3"/>
        <v>1.5567725796084231E-2</v>
      </c>
      <c r="H56" s="1"/>
      <c r="I56" s="1"/>
      <c r="J56" s="1"/>
      <c r="K56" s="1"/>
      <c r="L56" s="1"/>
      <c r="M56" s="1"/>
      <c r="N56" s="1"/>
      <c r="O56" s="1"/>
      <c r="P56" s="1"/>
      <c r="Q56" s="1"/>
      <c r="R56" s="1"/>
      <c r="S56" s="1"/>
      <c r="T56" s="1"/>
      <c r="U56" s="1"/>
      <c r="V56" s="1"/>
      <c r="W56" s="2">
        <v>45552</v>
      </c>
      <c r="X56" s="3">
        <v>1673</v>
      </c>
      <c r="Y56" s="1">
        <f t="shared" si="7"/>
        <v>7.224563515954241E-3</v>
      </c>
      <c r="Z56" s="1"/>
      <c r="AA56" s="2">
        <v>45357</v>
      </c>
      <c r="AB56" s="3">
        <f t="shared" si="16"/>
        <v>1488</v>
      </c>
      <c r="AC56" s="1">
        <f t="shared" si="8"/>
        <v>6.1532219893163376E-3</v>
      </c>
      <c r="AD56" s="1"/>
      <c r="AE56" s="2">
        <v>45272</v>
      </c>
      <c r="AF56" s="3">
        <f t="shared" si="17"/>
        <v>1198</v>
      </c>
      <c r="AG56" s="1">
        <f t="shared" si="9"/>
        <v>-4.983388704318914E-3</v>
      </c>
      <c r="AH56" s="1"/>
      <c r="AI56" s="1"/>
      <c r="AJ56" s="1"/>
      <c r="AK56" s="1"/>
    </row>
    <row r="57" spans="1:37">
      <c r="A57" s="134">
        <v>45552</v>
      </c>
      <c r="B57" s="135">
        <v>1673</v>
      </c>
      <c r="C57" s="133">
        <f t="shared" si="12"/>
        <v>7.224563515954241E-3</v>
      </c>
      <c r="D57" s="133">
        <v>25418.55</v>
      </c>
      <c r="E57" s="133">
        <f t="shared" si="13"/>
        <v>1.3709558280394774E-3</v>
      </c>
      <c r="F57" s="135">
        <v>23383.65</v>
      </c>
      <c r="G57" s="67">
        <f t="shared" si="3"/>
        <v>2.7839965103821918E-3</v>
      </c>
      <c r="H57" s="1"/>
      <c r="I57" s="1"/>
      <c r="J57" s="1"/>
      <c r="K57" s="1"/>
      <c r="L57" s="1"/>
      <c r="M57" s="1"/>
      <c r="N57" s="1"/>
      <c r="O57" s="1"/>
      <c r="P57" s="1"/>
      <c r="Q57" s="1"/>
      <c r="R57" s="1"/>
      <c r="S57" s="1"/>
      <c r="T57" s="1"/>
      <c r="U57" s="1"/>
      <c r="V57" s="1"/>
      <c r="W57" s="2">
        <v>45551</v>
      </c>
      <c r="X57" s="3">
        <v>1661</v>
      </c>
      <c r="Y57" s="1">
        <f t="shared" si="7"/>
        <v>6.0240963855417995E-4</v>
      </c>
      <c r="Z57" s="1"/>
      <c r="AA57" s="2">
        <v>45356</v>
      </c>
      <c r="AB57" s="3">
        <f t="shared" si="16"/>
        <v>1478.9</v>
      </c>
      <c r="AC57" s="1">
        <f t="shared" si="8"/>
        <v>4.6874999999999556E-3</v>
      </c>
      <c r="AD57" s="1"/>
      <c r="AE57" s="2">
        <v>45271</v>
      </c>
      <c r="AF57" s="3">
        <f t="shared" si="17"/>
        <v>1204</v>
      </c>
      <c r="AG57" s="1">
        <f t="shared" si="9"/>
        <v>-1.2305168170631653E-2</v>
      </c>
      <c r="AH57" s="1"/>
      <c r="AI57" s="1"/>
      <c r="AJ57" s="1"/>
      <c r="AK57" s="1"/>
    </row>
    <row r="58" spans="1:37">
      <c r="A58" s="134">
        <v>45551</v>
      </c>
      <c r="B58" s="135">
        <v>1661</v>
      </c>
      <c r="C58" s="133">
        <f t="shared" si="12"/>
        <v>6.0240963855417995E-4</v>
      </c>
      <c r="D58" s="133">
        <v>25383.75</v>
      </c>
      <c r="E58" s="133">
        <f t="shared" si="13"/>
        <v>1.0746751326089488E-3</v>
      </c>
      <c r="F58" s="135">
        <v>23448.75</v>
      </c>
      <c r="G58" s="67">
        <f t="shared" si="3"/>
        <v>3.7955114878207574E-4</v>
      </c>
      <c r="H58" s="1"/>
      <c r="I58" s="1"/>
      <c r="J58" s="1"/>
      <c r="K58" s="1"/>
      <c r="L58" s="1"/>
      <c r="M58" s="1"/>
      <c r="N58" s="1"/>
      <c r="O58" s="1"/>
      <c r="P58" s="1"/>
      <c r="Q58" s="1"/>
      <c r="R58" s="1"/>
      <c r="S58" s="1"/>
      <c r="T58" s="1"/>
      <c r="U58" s="1"/>
      <c r="V58" s="1"/>
      <c r="W58" s="2">
        <v>45548</v>
      </c>
      <c r="X58" s="3">
        <v>1660</v>
      </c>
      <c r="Y58" s="1">
        <f t="shared" si="7"/>
        <v>4.8426150121065881E-3</v>
      </c>
      <c r="Z58" s="1"/>
      <c r="AA58" s="2">
        <v>45355</v>
      </c>
      <c r="AB58" s="3">
        <f t="shared" si="16"/>
        <v>1472</v>
      </c>
      <c r="AC58" s="1">
        <f t="shared" si="8"/>
        <v>3.37411812821653E-3</v>
      </c>
      <c r="AD58" s="1"/>
      <c r="AE58" s="2">
        <v>45268</v>
      </c>
      <c r="AF58" s="3">
        <f t="shared" si="17"/>
        <v>1219</v>
      </c>
      <c r="AG58" s="1">
        <f t="shared" si="9"/>
        <v>-4.0442828546918275E-3</v>
      </c>
      <c r="AH58" s="1"/>
      <c r="AI58" s="1"/>
      <c r="AJ58" s="1"/>
      <c r="AK58" s="1"/>
    </row>
    <row r="59" spans="1:37">
      <c r="A59" s="134">
        <v>45548</v>
      </c>
      <c r="B59" s="135">
        <v>1660</v>
      </c>
      <c r="C59" s="133">
        <f t="shared" si="12"/>
        <v>4.8426150121065881E-3</v>
      </c>
      <c r="D59" s="133">
        <v>25356.5</v>
      </c>
      <c r="E59" s="133">
        <f t="shared" si="13"/>
        <v>-1.276148238009589E-3</v>
      </c>
      <c r="F59" s="135">
        <v>23457.65</v>
      </c>
      <c r="G59" s="67">
        <f t="shared" si="3"/>
        <v>-1.1957719549913204E-3</v>
      </c>
      <c r="H59" s="1"/>
      <c r="I59" s="1"/>
      <c r="J59" s="1"/>
      <c r="K59" s="1"/>
      <c r="L59" s="1"/>
      <c r="M59" s="1"/>
      <c r="N59" s="1"/>
      <c r="O59" s="1"/>
      <c r="P59" s="1"/>
      <c r="Q59" s="1"/>
      <c r="R59" s="1"/>
      <c r="S59" s="1"/>
      <c r="T59" s="1"/>
      <c r="U59" s="1"/>
      <c r="V59" s="1"/>
      <c r="W59" s="2">
        <v>45547</v>
      </c>
      <c r="X59" s="3">
        <v>1652</v>
      </c>
      <c r="Y59" s="1">
        <f t="shared" si="7"/>
        <v>1.039755351681948E-2</v>
      </c>
      <c r="Z59" s="1"/>
      <c r="AA59" s="2">
        <v>45352</v>
      </c>
      <c r="AB59" s="3">
        <f t="shared" si="16"/>
        <v>1467.05</v>
      </c>
      <c r="AC59" s="1">
        <f t="shared" si="8"/>
        <v>-5.2886734244159683E-3</v>
      </c>
      <c r="AD59" s="1"/>
      <c r="AE59" s="2">
        <v>45267</v>
      </c>
      <c r="AF59" s="3">
        <f t="shared" si="17"/>
        <v>1223.95</v>
      </c>
      <c r="AG59" s="1">
        <f t="shared" si="9"/>
        <v>1.4043082021541142E-2</v>
      </c>
      <c r="AH59" s="1"/>
      <c r="AI59" s="1"/>
      <c r="AJ59" s="1"/>
      <c r="AK59" s="1"/>
    </row>
    <row r="60" spans="1:37">
      <c r="A60" s="134">
        <v>45547</v>
      </c>
      <c r="B60" s="135">
        <v>1652</v>
      </c>
      <c r="C60" s="133">
        <f t="shared" si="12"/>
        <v>1.039755351681948E-2</v>
      </c>
      <c r="D60" s="133">
        <v>25388.9</v>
      </c>
      <c r="E60" s="133">
        <f t="shared" si="13"/>
        <v>1.8879585206944993E-2</v>
      </c>
      <c r="F60" s="135">
        <v>23429.599999999999</v>
      </c>
      <c r="G60" s="67">
        <f t="shared" si="3"/>
        <v>-8.928876293235799E-3</v>
      </c>
      <c r="H60" s="1"/>
      <c r="I60" s="1"/>
      <c r="J60" s="1"/>
      <c r="K60" s="1"/>
      <c r="L60" s="1"/>
      <c r="M60" s="1"/>
      <c r="N60" s="1"/>
      <c r="O60" s="1"/>
      <c r="P60" s="1"/>
      <c r="Q60" s="1"/>
      <c r="R60" s="1"/>
      <c r="S60" s="1"/>
      <c r="T60" s="1"/>
      <c r="U60" s="1"/>
      <c r="V60" s="1"/>
      <c r="W60" s="2">
        <v>45546</v>
      </c>
      <c r="X60" s="3">
        <v>1635</v>
      </c>
      <c r="Y60" s="1">
        <f t="shared" si="7"/>
        <v>2.6369043968847983E-3</v>
      </c>
      <c r="Z60" s="1"/>
      <c r="AA60" s="2">
        <v>45351</v>
      </c>
      <c r="AB60" s="3">
        <f t="shared" si="16"/>
        <v>1474.85</v>
      </c>
      <c r="AC60" s="1">
        <f t="shared" si="8"/>
        <v>1.1539897498555884E-3</v>
      </c>
      <c r="AD60" s="1"/>
      <c r="AE60" s="2">
        <v>45266</v>
      </c>
      <c r="AF60" s="3">
        <f t="shared" si="17"/>
        <v>1207</v>
      </c>
      <c r="AG60" s="1">
        <f t="shared" si="9"/>
        <v>-1.1870650839132191E-2</v>
      </c>
      <c r="AH60" s="1"/>
      <c r="AI60" s="1"/>
      <c r="AJ60" s="1"/>
      <c r="AK60" s="1"/>
    </row>
    <row r="61" spans="1:37">
      <c r="A61" s="134">
        <v>45546</v>
      </c>
      <c r="B61" s="135">
        <v>1635</v>
      </c>
      <c r="C61" s="133">
        <f t="shared" si="12"/>
        <v>2.6369043968847983E-3</v>
      </c>
      <c r="D61" s="133">
        <v>24918.45</v>
      </c>
      <c r="E61" s="133">
        <f t="shared" si="13"/>
        <v>-4.8979477738596566E-3</v>
      </c>
      <c r="F61" s="135">
        <v>23220.400000000001</v>
      </c>
      <c r="G61" s="67">
        <f t="shared" si="3"/>
        <v>1.5697404006820292E-3</v>
      </c>
      <c r="H61" s="1"/>
      <c r="I61" s="1"/>
      <c r="J61" s="1"/>
      <c r="K61" s="1"/>
      <c r="L61" s="1"/>
      <c r="M61" s="1"/>
      <c r="N61" s="1"/>
      <c r="O61" s="1"/>
      <c r="P61" s="1"/>
      <c r="Q61" s="1"/>
      <c r="R61" s="1"/>
      <c r="S61" s="1"/>
      <c r="T61" s="1"/>
      <c r="U61" s="1"/>
      <c r="V61" s="1"/>
      <c r="W61" s="2">
        <v>45545</v>
      </c>
      <c r="X61" s="3">
        <v>1630.7</v>
      </c>
      <c r="Y61" s="1">
        <f t="shared" si="7"/>
        <v>6.1701733818719795E-3</v>
      </c>
      <c r="Z61" s="1"/>
      <c r="AA61" s="2">
        <v>45350</v>
      </c>
      <c r="AB61" s="3">
        <f t="shared" si="16"/>
        <v>1473.15</v>
      </c>
      <c r="AC61" s="1">
        <f t="shared" si="8"/>
        <v>-1.1673543322934354E-2</v>
      </c>
      <c r="AD61" s="1"/>
      <c r="AE61" s="2">
        <v>45265</v>
      </c>
      <c r="AF61" s="3">
        <f t="shared" si="17"/>
        <v>1221.5</v>
      </c>
      <c r="AG61" s="1">
        <f t="shared" si="9"/>
        <v>2.4620434961017956E-3</v>
      </c>
      <c r="AH61" s="1"/>
      <c r="AI61" s="1"/>
      <c r="AJ61" s="1"/>
      <c r="AK61" s="1"/>
    </row>
    <row r="62" spans="1:37">
      <c r="A62" s="134">
        <v>45545</v>
      </c>
      <c r="B62" s="135">
        <v>1630.7</v>
      </c>
      <c r="C62" s="133">
        <f t="shared" si="12"/>
        <v>6.1701733818719795E-3</v>
      </c>
      <c r="D62" s="133">
        <v>25041.1</v>
      </c>
      <c r="E62" s="133">
        <f t="shared" si="13"/>
        <v>4.1986814455974297E-3</v>
      </c>
      <c r="F62" s="135">
        <v>23256.85</v>
      </c>
      <c r="G62" s="67">
        <f t="shared" si="3"/>
        <v>-1.0639875993524339E-2</v>
      </c>
      <c r="H62" s="1"/>
      <c r="I62" s="1"/>
      <c r="J62" s="1"/>
      <c r="K62" s="1"/>
      <c r="L62" s="1"/>
      <c r="M62" s="1"/>
      <c r="N62" s="1"/>
      <c r="O62" s="1"/>
      <c r="P62" s="1"/>
      <c r="Q62" s="1"/>
      <c r="R62" s="1"/>
      <c r="S62" s="1"/>
      <c r="T62" s="1"/>
      <c r="U62" s="1"/>
      <c r="V62" s="1"/>
      <c r="W62" s="2">
        <v>45544</v>
      </c>
      <c r="X62" s="3">
        <v>1620.7</v>
      </c>
      <c r="Y62" s="1">
        <f t="shared" si="7"/>
        <v>4.4000991571642167E-3</v>
      </c>
      <c r="Z62" s="1"/>
      <c r="AA62" s="2">
        <v>45349</v>
      </c>
      <c r="AB62" s="3">
        <f t="shared" si="16"/>
        <v>1490.55</v>
      </c>
      <c r="AC62" s="1">
        <f t="shared" si="8"/>
        <v>1.6746248294679411E-2</v>
      </c>
      <c r="AD62" s="1"/>
      <c r="AE62" s="2">
        <v>45264</v>
      </c>
      <c r="AF62" s="3">
        <f t="shared" si="17"/>
        <v>1218.5</v>
      </c>
      <c r="AG62" s="1">
        <f t="shared" si="9"/>
        <v>1.1287243754668275E-2</v>
      </c>
      <c r="AH62" s="1"/>
      <c r="AI62" s="1"/>
      <c r="AJ62" s="1"/>
      <c r="AK62" s="1"/>
    </row>
    <row r="63" spans="1:37">
      <c r="A63" s="134">
        <v>45544</v>
      </c>
      <c r="B63" s="135">
        <v>1620.7</v>
      </c>
      <c r="C63" s="133">
        <f t="shared" si="12"/>
        <v>4.4000991571642167E-3</v>
      </c>
      <c r="D63" s="133">
        <v>24936.400000000001</v>
      </c>
      <c r="E63" s="133">
        <f t="shared" si="13"/>
        <v>3.3900487482974029E-3</v>
      </c>
      <c r="F63" s="135">
        <v>23009.4</v>
      </c>
      <c r="G63" s="67">
        <f t="shared" si="3"/>
        <v>1.4776569575911669E-3</v>
      </c>
      <c r="H63" s="1"/>
      <c r="I63" s="1"/>
      <c r="J63" s="1"/>
      <c r="K63" s="1"/>
      <c r="L63" s="1"/>
      <c r="M63" s="1"/>
      <c r="N63" s="1"/>
      <c r="O63" s="1"/>
      <c r="P63" s="1"/>
      <c r="Q63" s="1"/>
      <c r="R63" s="1"/>
      <c r="S63" s="1"/>
      <c r="T63" s="1"/>
      <c r="U63" s="1"/>
      <c r="V63" s="1"/>
      <c r="W63" s="2">
        <v>45541</v>
      </c>
      <c r="X63" s="3">
        <v>1613.6</v>
      </c>
      <c r="Y63" s="1">
        <f t="shared" si="7"/>
        <v>-8.6625299502366415E-3</v>
      </c>
      <c r="Z63" s="1"/>
      <c r="AA63" s="2">
        <v>45348</v>
      </c>
      <c r="AB63" s="3">
        <f t="shared" si="16"/>
        <v>1466</v>
      </c>
      <c r="AC63" s="1">
        <f t="shared" si="8"/>
        <v>7.1674801187748827E-4</v>
      </c>
      <c r="AD63" s="1"/>
      <c r="AE63" s="2">
        <v>45261</v>
      </c>
      <c r="AF63" s="3">
        <f t="shared" si="17"/>
        <v>1204.9000000000001</v>
      </c>
      <c r="AG63" s="1">
        <f t="shared" si="9"/>
        <v>-7.0869386073341145E-3</v>
      </c>
      <c r="AH63" s="1"/>
      <c r="AI63" s="1"/>
      <c r="AJ63" s="1"/>
      <c r="AK63" s="1"/>
    </row>
    <row r="64" spans="1:37">
      <c r="A64" s="134">
        <v>45541</v>
      </c>
      <c r="B64" s="135">
        <v>1613.6</v>
      </c>
      <c r="C64" s="133">
        <f t="shared" si="12"/>
        <v>-8.6625299502366415E-3</v>
      </c>
      <c r="D64" s="133">
        <v>24852.15</v>
      </c>
      <c r="E64" s="133">
        <f t="shared" si="13"/>
        <v>-1.16503811875871E-2</v>
      </c>
      <c r="F64" s="135">
        <v>23043.4</v>
      </c>
      <c r="G64" s="67">
        <f t="shared" si="3"/>
        <v>4.9168091514273371E-3</v>
      </c>
      <c r="H64" s="1"/>
      <c r="I64" s="1"/>
      <c r="J64" s="1"/>
      <c r="K64" s="1"/>
      <c r="L64" s="1"/>
      <c r="M64" s="1"/>
      <c r="N64" s="1"/>
      <c r="O64" s="1"/>
      <c r="P64" s="1"/>
      <c r="Q64" s="1"/>
      <c r="R64" s="1"/>
      <c r="S64" s="1"/>
      <c r="T64" s="1"/>
      <c r="U64" s="1"/>
      <c r="V64" s="1"/>
      <c r="W64" s="2">
        <v>45540</v>
      </c>
      <c r="X64" s="3">
        <v>1627.7</v>
      </c>
      <c r="Y64" s="1">
        <f t="shared" si="7"/>
        <v>-1.5900846432889915E-2</v>
      </c>
      <c r="Z64" s="1"/>
      <c r="AA64" s="2">
        <v>45345</v>
      </c>
      <c r="AB64" s="3">
        <f t="shared" si="16"/>
        <v>1464.95</v>
      </c>
      <c r="AC64" s="1">
        <f t="shared" si="8"/>
        <v>1.1740736903898652E-2</v>
      </c>
      <c r="AD64" s="1"/>
      <c r="AE64" s="2">
        <v>45260</v>
      </c>
      <c r="AF64" s="3">
        <f t="shared" si="17"/>
        <v>1213.5</v>
      </c>
      <c r="AG64" s="1">
        <f t="shared" si="9"/>
        <v>1.0323869786029505E-2</v>
      </c>
      <c r="AH64" s="1"/>
      <c r="AI64" s="1"/>
      <c r="AJ64" s="1"/>
      <c r="AK64" s="1"/>
    </row>
    <row r="65" spans="1:37">
      <c r="A65" s="134">
        <v>45540</v>
      </c>
      <c r="B65" s="135">
        <v>1627.7</v>
      </c>
      <c r="C65" s="133">
        <f t="shared" si="12"/>
        <v>-1.5900846432889915E-2</v>
      </c>
      <c r="D65" s="133">
        <v>25145.1</v>
      </c>
      <c r="E65" s="133">
        <f t="shared" si="13"/>
        <v>-2.127093858016571E-3</v>
      </c>
      <c r="F65" s="135">
        <v>23156.7</v>
      </c>
      <c r="G65" s="67">
        <f t="shared" si="3"/>
        <v>1.1961980765826663E-3</v>
      </c>
      <c r="H65" s="1"/>
      <c r="I65" s="1"/>
      <c r="J65" s="1"/>
      <c r="K65" s="1"/>
      <c r="L65" s="1"/>
      <c r="M65" s="1"/>
      <c r="N65" s="1"/>
      <c r="O65" s="1"/>
      <c r="P65" s="1"/>
      <c r="Q65" s="1"/>
      <c r="R65" s="1"/>
      <c r="S65" s="1"/>
      <c r="T65" s="1"/>
      <c r="U65" s="1"/>
      <c r="V65" s="1"/>
      <c r="W65" s="2">
        <v>45539</v>
      </c>
      <c r="X65" s="3">
        <v>1654</v>
      </c>
      <c r="Y65" s="1">
        <f t="shared" si="7"/>
        <v>2.4242424242424399E-3</v>
      </c>
      <c r="Z65" s="1"/>
      <c r="AA65" s="2">
        <v>45344</v>
      </c>
      <c r="AB65" s="3">
        <f t="shared" si="16"/>
        <v>1447.95</v>
      </c>
      <c r="AC65" s="1">
        <f t="shared" si="8"/>
        <v>0</v>
      </c>
      <c r="AD65" s="1"/>
      <c r="AE65" s="2">
        <v>45259</v>
      </c>
      <c r="AF65" s="3">
        <f t="shared" si="17"/>
        <v>1201.0999999999999</v>
      </c>
      <c r="AG65" s="1">
        <f t="shared" si="9"/>
        <v>8.0570709190095346E-3</v>
      </c>
      <c r="AH65" s="1"/>
      <c r="AI65" s="1"/>
      <c r="AJ65" s="1"/>
      <c r="AK65" s="1"/>
    </row>
    <row r="66" spans="1:37">
      <c r="A66" s="134">
        <v>45539</v>
      </c>
      <c r="B66" s="135">
        <v>1654</v>
      </c>
      <c r="C66" s="133">
        <f t="shared" si="12"/>
        <v>2.4242424242424399E-3</v>
      </c>
      <c r="D66" s="133">
        <v>25198.7</v>
      </c>
      <c r="E66" s="133">
        <f t="shared" si="13"/>
        <v>-3.2100665154262131E-3</v>
      </c>
      <c r="F66" s="135">
        <v>23184.400000000001</v>
      </c>
      <c r="G66" s="67">
        <f t="shared" si="3"/>
        <v>-7.336829937371725E-3</v>
      </c>
      <c r="H66" s="1"/>
      <c r="I66" s="1"/>
      <c r="J66" s="1"/>
      <c r="K66" s="1"/>
      <c r="L66" s="1"/>
      <c r="M66" s="1"/>
      <c r="N66" s="1"/>
      <c r="O66" s="1"/>
      <c r="P66" s="1"/>
      <c r="Q66" s="1"/>
      <c r="R66" s="1"/>
      <c r="S66" s="1"/>
      <c r="T66" s="1"/>
      <c r="U66" s="1"/>
      <c r="V66" s="1"/>
      <c r="W66" s="2">
        <v>45538</v>
      </c>
      <c r="X66" s="3">
        <v>1650</v>
      </c>
      <c r="Y66" s="1">
        <f t="shared" si="7"/>
        <v>3.6496350364962904E-3</v>
      </c>
      <c r="Z66" s="1"/>
      <c r="AA66" s="2">
        <v>45343</v>
      </c>
      <c r="AB66" s="3">
        <f t="shared" si="16"/>
        <v>1447.95</v>
      </c>
      <c r="AC66" s="1">
        <f t="shared" si="8"/>
        <v>-1.4137931034482465E-3</v>
      </c>
      <c r="AD66" s="1"/>
      <c r="AE66" s="2">
        <v>45258</v>
      </c>
      <c r="AF66" s="3">
        <f t="shared" si="17"/>
        <v>1191.5</v>
      </c>
      <c r="AG66" s="1">
        <f t="shared" si="9"/>
        <v>-3.9707419017763756E-3</v>
      </c>
      <c r="AH66" s="1"/>
      <c r="AI66" s="1"/>
      <c r="AJ66" s="1"/>
      <c r="AK66" s="1"/>
    </row>
    <row r="67" spans="1:37">
      <c r="A67" s="134">
        <v>45538</v>
      </c>
      <c r="B67" s="135">
        <v>1650</v>
      </c>
      <c r="C67" s="133">
        <f t="shared" si="12"/>
        <v>3.6496350364962904E-3</v>
      </c>
      <c r="D67" s="133">
        <v>25279.85</v>
      </c>
      <c r="E67" s="133">
        <f t="shared" si="13"/>
        <v>4.5492845755390476E-5</v>
      </c>
      <c r="F67" s="135">
        <v>23014.3</v>
      </c>
      <c r="G67" s="67">
        <f t="shared" si="3"/>
        <v>-1.1666659424791614E-3</v>
      </c>
      <c r="H67" s="1"/>
      <c r="I67" s="1"/>
      <c r="J67" s="1"/>
      <c r="K67" s="1"/>
      <c r="L67" s="1"/>
      <c r="M67" s="1"/>
      <c r="N67" s="1"/>
      <c r="O67" s="1"/>
      <c r="P67" s="1"/>
      <c r="Q67" s="1"/>
      <c r="R67" s="1"/>
      <c r="S67" s="1"/>
      <c r="T67" s="1"/>
      <c r="U67" s="1"/>
      <c r="V67" s="1"/>
      <c r="W67" s="2">
        <v>45537</v>
      </c>
      <c r="X67" s="3">
        <v>1644</v>
      </c>
      <c r="Y67" s="1">
        <f t="shared" si="7"/>
        <v>-6.4063822071799281E-3</v>
      </c>
      <c r="Z67" s="1"/>
      <c r="AA67" s="2">
        <v>45342</v>
      </c>
      <c r="AB67" s="3">
        <f t="shared" si="16"/>
        <v>1450</v>
      </c>
      <c r="AC67" s="1">
        <f t="shared" si="8"/>
        <v>-1.4510483569510901E-2</v>
      </c>
      <c r="AD67" s="1"/>
      <c r="AE67" s="2">
        <v>45254</v>
      </c>
      <c r="AF67" s="3">
        <f t="shared" si="17"/>
        <v>1196.25</v>
      </c>
      <c r="AG67" s="1">
        <f t="shared" si="9"/>
        <v>1.8605245231607448E-2</v>
      </c>
      <c r="AH67" s="1"/>
      <c r="AI67" s="1"/>
      <c r="AJ67" s="1"/>
      <c r="AK67" s="1"/>
    </row>
    <row r="68" spans="1:37">
      <c r="A68" s="134">
        <v>45537</v>
      </c>
      <c r="B68" s="135">
        <v>1644</v>
      </c>
      <c r="C68" s="133">
        <f t="shared" si="12"/>
        <v>-6.4063822071799281E-3</v>
      </c>
      <c r="D68" s="133">
        <v>25278.7</v>
      </c>
      <c r="E68" s="133">
        <f t="shared" si="13"/>
        <v>1.6959965763059248E-3</v>
      </c>
      <c r="F68" s="135">
        <v>22987.45</v>
      </c>
      <c r="G68" s="67">
        <f t="shared" si="3"/>
        <v>1.0011984800401885E-2</v>
      </c>
      <c r="H68" s="1"/>
      <c r="I68" s="1"/>
      <c r="J68" s="1"/>
      <c r="K68" s="1"/>
      <c r="L68" s="1"/>
      <c r="M68" s="1"/>
      <c r="N68" s="1"/>
      <c r="O68" s="1"/>
      <c r="P68" s="1"/>
      <c r="Q68" s="1"/>
      <c r="R68" s="1"/>
      <c r="S68" s="1"/>
      <c r="T68" s="1"/>
      <c r="U68" s="1"/>
      <c r="V68" s="1"/>
      <c r="W68" s="2">
        <v>45534</v>
      </c>
      <c r="X68" s="3">
        <v>1654.6</v>
      </c>
      <c r="Y68" s="1">
        <f t="shared" si="7"/>
        <v>2.3886138613861352E-2</v>
      </c>
      <c r="Z68" s="1"/>
      <c r="AA68" s="2">
        <v>45341</v>
      </c>
      <c r="AB68" s="3">
        <f t="shared" si="16"/>
        <v>1471.35</v>
      </c>
      <c r="AC68" s="1">
        <f t="shared" si="8"/>
        <v>2.1061762664815964E-2</v>
      </c>
      <c r="AD68" s="1"/>
      <c r="AE68" s="2">
        <v>45253</v>
      </c>
      <c r="AF68" s="3">
        <f t="shared" si="17"/>
        <v>1174.4000000000001</v>
      </c>
      <c r="AG68" s="1">
        <f t="shared" si="9"/>
        <v>-7.7382355251787271E-2</v>
      </c>
      <c r="AH68" s="1"/>
      <c r="AI68" s="1"/>
      <c r="AJ68" s="1"/>
      <c r="AK68" s="1"/>
    </row>
    <row r="69" spans="1:37">
      <c r="A69" s="134">
        <v>45534</v>
      </c>
      <c r="B69" s="135">
        <v>1654.6</v>
      </c>
      <c r="C69" s="133">
        <f t="shared" si="12"/>
        <v>2.3886138613861352E-2</v>
      </c>
      <c r="D69" s="133">
        <v>25235.9</v>
      </c>
      <c r="E69" s="133">
        <f t="shared" si="13"/>
        <v>3.3377133780880808E-3</v>
      </c>
      <c r="F69" s="135">
        <v>23217.599999999999</v>
      </c>
      <c r="G69" s="67">
        <f t="shared" si="3"/>
        <v>-1.4624681276273144E-2</v>
      </c>
      <c r="H69" s="1"/>
      <c r="I69" s="1"/>
      <c r="J69" s="1"/>
      <c r="K69" s="1"/>
      <c r="L69" s="1"/>
      <c r="M69" s="1"/>
      <c r="N69" s="1"/>
      <c r="O69" s="1"/>
      <c r="P69" s="1"/>
      <c r="Q69" s="1"/>
      <c r="R69" s="1"/>
      <c r="S69" s="1"/>
      <c r="T69" s="1"/>
      <c r="U69" s="1"/>
      <c r="V69" s="1"/>
      <c r="W69" s="2">
        <v>45533</v>
      </c>
      <c r="X69" s="3">
        <v>1616</v>
      </c>
      <c r="Y69" s="1">
        <f t="shared" si="7"/>
        <v>1.5472690700923941E-4</v>
      </c>
      <c r="Z69" s="1"/>
      <c r="AA69" s="2">
        <v>45338</v>
      </c>
      <c r="AB69" s="3">
        <f t="shared" si="16"/>
        <v>1441</v>
      </c>
      <c r="AC69" s="1">
        <f t="shared" si="8"/>
        <v>1.1263553107126567E-2</v>
      </c>
      <c r="AD69" s="1"/>
      <c r="AE69" s="2">
        <v>45252</v>
      </c>
      <c r="AF69" s="3">
        <f t="shared" si="17"/>
        <v>1272.9000000000001</v>
      </c>
      <c r="AG69" s="1">
        <f t="shared" si="9"/>
        <v>1.5071770334928347E-2</v>
      </c>
      <c r="AH69" s="1"/>
      <c r="AI69" s="1"/>
      <c r="AJ69" s="1"/>
      <c r="AK69" s="1"/>
    </row>
    <row r="70" spans="1:37">
      <c r="A70" s="134">
        <v>45533</v>
      </c>
      <c r="B70" s="135">
        <v>1616</v>
      </c>
      <c r="C70" s="133">
        <f t="shared" si="12"/>
        <v>1.5472690700923941E-4</v>
      </c>
      <c r="D70" s="133">
        <v>25151.95</v>
      </c>
      <c r="E70" s="133">
        <f t="shared" si="13"/>
        <v>3.975674936682605E-3</v>
      </c>
      <c r="F70" s="135">
        <v>22878.05</v>
      </c>
      <c r="G70" s="67">
        <f t="shared" si="3"/>
        <v>4.8539976090620218E-3</v>
      </c>
      <c r="H70" s="1"/>
      <c r="I70" s="1"/>
      <c r="J70" s="1"/>
      <c r="K70" s="1"/>
      <c r="L70" s="1"/>
      <c r="M70" s="1"/>
      <c r="N70" s="1"/>
      <c r="O70" s="1"/>
      <c r="P70" s="1"/>
      <c r="Q70" s="1"/>
      <c r="R70" s="1"/>
      <c r="S70" s="1"/>
      <c r="T70" s="1"/>
      <c r="U70" s="1"/>
      <c r="V70" s="1"/>
      <c r="W70" s="2">
        <v>45532</v>
      </c>
      <c r="X70" s="3">
        <v>1615.75</v>
      </c>
      <c r="Y70" s="1">
        <f t="shared" si="7"/>
        <v>1.3644918444165599E-2</v>
      </c>
      <c r="Z70" s="1"/>
      <c r="AA70" s="2">
        <v>45337</v>
      </c>
      <c r="AB70" s="3">
        <f t="shared" si="16"/>
        <v>1424.95</v>
      </c>
      <c r="AC70" s="1">
        <f t="shared" si="8"/>
        <v>1.0537777933892212E-3</v>
      </c>
      <c r="AD70" s="1"/>
      <c r="AE70" s="2">
        <v>45251</v>
      </c>
      <c r="AF70" s="3">
        <f t="shared" si="17"/>
        <v>1254</v>
      </c>
      <c r="AG70" s="1">
        <f t="shared" si="9"/>
        <v>4.2042042042043093E-3</v>
      </c>
      <c r="AH70" s="1"/>
      <c r="AI70" s="1"/>
      <c r="AJ70" s="1"/>
      <c r="AK70" s="1"/>
    </row>
    <row r="71" spans="1:37">
      <c r="A71" s="134">
        <v>45532</v>
      </c>
      <c r="B71" s="135">
        <v>1615.75</v>
      </c>
      <c r="C71" s="133">
        <f t="shared" si="12"/>
        <v>1.3644918444165599E-2</v>
      </c>
      <c r="D71" s="133">
        <v>25052.35</v>
      </c>
      <c r="E71" s="133">
        <f t="shared" si="13"/>
        <v>1.3830180571794415E-3</v>
      </c>
      <c r="F71" s="135">
        <v>22989.1</v>
      </c>
      <c r="G71" s="67">
        <f t="shared" si="3"/>
        <v>-1.1314057531612742E-2</v>
      </c>
      <c r="H71" s="1"/>
      <c r="I71" s="1"/>
      <c r="J71" s="1"/>
      <c r="K71" s="1"/>
      <c r="L71" s="1"/>
      <c r="M71" s="1"/>
      <c r="N71" s="1"/>
      <c r="O71" s="1"/>
      <c r="P71" s="1"/>
      <c r="Q71" s="1"/>
      <c r="R71" s="1"/>
      <c r="S71" s="1"/>
      <c r="T71" s="1"/>
      <c r="U71" s="1"/>
      <c r="V71" s="1"/>
      <c r="W71" s="2">
        <v>45531</v>
      </c>
      <c r="X71" s="3">
        <v>1594</v>
      </c>
      <c r="Y71" s="1">
        <f t="shared" si="7"/>
        <v>1.2548625925457024E-4</v>
      </c>
      <c r="Z71" s="1"/>
      <c r="AA71" s="2">
        <v>45336</v>
      </c>
      <c r="AB71" s="3">
        <f t="shared" si="16"/>
        <v>1423.45</v>
      </c>
      <c r="AC71" s="1">
        <f t="shared" si="8"/>
        <v>-2.0472061657032747E-2</v>
      </c>
      <c r="AD71" s="1"/>
      <c r="AE71" s="2">
        <v>45250</v>
      </c>
      <c r="AF71" s="3">
        <f t="shared" si="17"/>
        <v>1248.75</v>
      </c>
      <c r="AG71" s="1"/>
      <c r="AH71" s="1"/>
      <c r="AI71" s="1"/>
      <c r="AJ71" s="1"/>
      <c r="AK71" s="1"/>
    </row>
    <row r="72" spans="1:37">
      <c r="A72" s="134">
        <v>45531</v>
      </c>
      <c r="B72" s="135">
        <v>1594</v>
      </c>
      <c r="C72" s="133">
        <f t="shared" si="12"/>
        <v>1.2548625925457024E-4</v>
      </c>
      <c r="D72" s="133">
        <v>25017.75</v>
      </c>
      <c r="E72" s="133">
        <f t="shared" si="13"/>
        <v>2.8587878739427808E-4</v>
      </c>
      <c r="F72" s="135">
        <v>22729</v>
      </c>
      <c r="G72" s="67">
        <f t="shared" si="3"/>
        <v>-7.6576180210303768E-3</v>
      </c>
      <c r="H72" s="1"/>
      <c r="I72" s="1"/>
      <c r="J72" s="1"/>
      <c r="K72" s="1"/>
      <c r="L72" s="1"/>
      <c r="M72" s="1"/>
      <c r="N72" s="1"/>
      <c r="O72" s="1"/>
      <c r="P72" s="1"/>
      <c r="Q72" s="1"/>
      <c r="R72" s="1"/>
      <c r="S72" s="1"/>
      <c r="T72" s="1"/>
      <c r="U72" s="1"/>
      <c r="V72" s="1"/>
      <c r="W72" s="2">
        <v>45530</v>
      </c>
      <c r="X72" s="3">
        <v>1593.8</v>
      </c>
      <c r="Y72" s="1">
        <f t="shared" si="7"/>
        <v>1.1069876613696294E-2</v>
      </c>
      <c r="Z72" s="1"/>
      <c r="AA72" s="2">
        <v>45335</v>
      </c>
      <c r="AB72" s="3">
        <f t="shared" ref="AB72:AB103" si="18">B203</f>
        <v>1453.2</v>
      </c>
      <c r="AC72" s="1">
        <f t="shared" si="8"/>
        <v>1.6223776223776243E-2</v>
      </c>
      <c r="AD72" s="1"/>
      <c r="AE72" s="1"/>
      <c r="AF72" s="1"/>
      <c r="AG72" s="1"/>
      <c r="AH72" s="1"/>
      <c r="AI72" s="1"/>
      <c r="AJ72" s="1"/>
      <c r="AK72" s="1"/>
    </row>
    <row r="73" spans="1:37">
      <c r="A73" s="134">
        <v>45530</v>
      </c>
      <c r="B73" s="135">
        <v>1593.8</v>
      </c>
      <c r="C73" s="133">
        <f t="shared" si="12"/>
        <v>1.1069876613696294E-2</v>
      </c>
      <c r="D73" s="133">
        <v>25010.6</v>
      </c>
      <c r="E73" s="133">
        <f t="shared" si="13"/>
        <v>7.5514187361394036E-3</v>
      </c>
      <c r="F73" s="135">
        <v>22554.95</v>
      </c>
      <c r="G73" s="67">
        <f t="shared" ref="G73:G136" si="19">F74/F73-1</f>
        <v>-1.2015100898029596E-3</v>
      </c>
      <c r="H73" s="1"/>
      <c r="I73" s="1"/>
      <c r="J73" s="1"/>
      <c r="K73" s="1"/>
      <c r="L73" s="1"/>
      <c r="M73" s="1"/>
      <c r="N73" s="1"/>
      <c r="O73" s="1"/>
      <c r="P73" s="1"/>
      <c r="Q73" s="1"/>
      <c r="R73" s="1"/>
      <c r="S73" s="1"/>
      <c r="T73" s="1"/>
      <c r="U73" s="1"/>
      <c r="V73" s="1"/>
      <c r="W73" s="2">
        <v>45527</v>
      </c>
      <c r="X73" s="3">
        <v>1576.35</v>
      </c>
      <c r="Y73" s="1">
        <f t="shared" ref="Y73:Y136" si="20">X73/X74-1</f>
        <v>-3.9177277179236469E-3</v>
      </c>
      <c r="Z73" s="1"/>
      <c r="AA73" s="2">
        <v>45334</v>
      </c>
      <c r="AB73" s="3">
        <f t="shared" si="18"/>
        <v>1430</v>
      </c>
      <c r="AC73" s="1">
        <f t="shared" ref="AC73:AC129" si="21">AB73/AB74-1</f>
        <v>-8.3217753120665705E-3</v>
      </c>
      <c r="AD73" s="1"/>
      <c r="AE73" s="1"/>
      <c r="AF73" s="1"/>
      <c r="AG73" s="1"/>
      <c r="AH73" s="1"/>
      <c r="AI73" s="1"/>
      <c r="AJ73" s="1"/>
      <c r="AK73" s="1"/>
    </row>
    <row r="74" spans="1:37">
      <c r="A74" s="134">
        <v>45527</v>
      </c>
      <c r="B74" s="135">
        <v>1576.35</v>
      </c>
      <c r="C74" s="133">
        <f t="shared" ref="C74:C137" si="22">B74/B75-1</f>
        <v>-3.9177277179236469E-3</v>
      </c>
      <c r="D74" s="133">
        <v>24823.15</v>
      </c>
      <c r="E74" s="133">
        <f t="shared" ref="E74:E137" si="23">D74/D75-1</f>
        <v>4.6954033411927831E-4</v>
      </c>
      <c r="F74" s="135">
        <v>22527.85</v>
      </c>
      <c r="G74" s="67">
        <f t="shared" si="19"/>
        <v>8.1010837696449123E-4</v>
      </c>
      <c r="H74" s="1"/>
      <c r="I74" s="1"/>
      <c r="J74" s="1"/>
      <c r="K74" s="1"/>
      <c r="L74" s="1"/>
      <c r="M74" s="1"/>
      <c r="N74" s="1"/>
      <c r="O74" s="1"/>
      <c r="P74" s="1"/>
      <c r="Q74" s="1"/>
      <c r="R74" s="1"/>
      <c r="S74" s="1"/>
      <c r="T74" s="1"/>
      <c r="U74" s="1"/>
      <c r="V74" s="1"/>
      <c r="W74" s="2">
        <v>45526</v>
      </c>
      <c r="X74" s="3">
        <v>1582.55</v>
      </c>
      <c r="Y74" s="1">
        <f t="shared" si="20"/>
        <v>-7.1520436651087982E-3</v>
      </c>
      <c r="Z74" s="1"/>
      <c r="AA74" s="2">
        <v>45331</v>
      </c>
      <c r="AB74" s="3">
        <f t="shared" si="18"/>
        <v>1442</v>
      </c>
      <c r="AC74" s="1">
        <f t="shared" si="21"/>
        <v>1.2427157200028072E-2</v>
      </c>
      <c r="AD74" s="1"/>
      <c r="AE74" s="1"/>
      <c r="AF74" s="1"/>
      <c r="AG74" s="1"/>
      <c r="AH74" s="1"/>
      <c r="AI74" s="1"/>
      <c r="AJ74" s="1"/>
      <c r="AK74" s="1"/>
    </row>
    <row r="75" spans="1:37">
      <c r="A75" s="134">
        <v>45526</v>
      </c>
      <c r="B75" s="135">
        <v>1582.55</v>
      </c>
      <c r="C75" s="133">
        <f t="shared" si="22"/>
        <v>-7.1520436651087982E-3</v>
      </c>
      <c r="D75" s="133">
        <v>24811.5</v>
      </c>
      <c r="E75" s="133">
        <f t="shared" si="23"/>
        <v>1.6673260611541618E-3</v>
      </c>
      <c r="F75" s="135">
        <v>22546.1</v>
      </c>
      <c r="G75" s="67">
        <f t="shared" si="19"/>
        <v>1.4104434913355668E-3</v>
      </c>
      <c r="H75" s="1"/>
      <c r="I75" s="1"/>
      <c r="J75" s="1"/>
      <c r="K75" s="1"/>
      <c r="L75" s="1"/>
      <c r="M75" s="1"/>
      <c r="N75" s="1"/>
      <c r="O75" s="1"/>
      <c r="P75" s="1"/>
      <c r="Q75" s="1"/>
      <c r="R75" s="1"/>
      <c r="S75" s="1"/>
      <c r="T75" s="1"/>
      <c r="U75" s="1"/>
      <c r="V75" s="1"/>
      <c r="W75" s="2">
        <v>45525</v>
      </c>
      <c r="X75" s="3">
        <v>1593.95</v>
      </c>
      <c r="Y75" s="1">
        <f t="shared" si="20"/>
        <v>1.9866914069998076E-2</v>
      </c>
      <c r="Z75" s="1"/>
      <c r="AA75" s="2">
        <v>45330</v>
      </c>
      <c r="AB75" s="3">
        <f t="shared" si="18"/>
        <v>1424.3</v>
      </c>
      <c r="AC75" s="1">
        <f t="shared" si="21"/>
        <v>-9.5271210013908592E-3</v>
      </c>
      <c r="AD75" s="1"/>
      <c r="AE75" s="1"/>
      <c r="AF75" s="1"/>
      <c r="AG75" s="1"/>
      <c r="AH75" s="1"/>
      <c r="AI75" s="1"/>
      <c r="AJ75" s="1"/>
      <c r="AK75" s="1"/>
    </row>
    <row r="76" spans="1:37">
      <c r="A76" s="134">
        <v>45525</v>
      </c>
      <c r="B76" s="135">
        <v>1593.95</v>
      </c>
      <c r="C76" s="133">
        <f t="shared" si="22"/>
        <v>1.9866914069998076E-2</v>
      </c>
      <c r="D76" s="133">
        <v>24770.2</v>
      </c>
      <c r="E76" s="133">
        <f t="shared" si="23"/>
        <v>2.888798466325504E-3</v>
      </c>
      <c r="F76" s="135">
        <v>22577.9</v>
      </c>
      <c r="G76" s="67">
        <f t="shared" si="19"/>
        <v>-9.0198822742594276E-3</v>
      </c>
      <c r="H76" s="1"/>
      <c r="I76" s="1"/>
      <c r="J76" s="1"/>
      <c r="K76" s="1"/>
      <c r="L76" s="1"/>
      <c r="M76" s="1"/>
      <c r="N76" s="1"/>
      <c r="O76" s="1"/>
      <c r="P76" s="1"/>
      <c r="Q76" s="1"/>
      <c r="R76" s="1"/>
      <c r="S76" s="1"/>
      <c r="T76" s="1"/>
      <c r="U76" s="1"/>
      <c r="V76" s="1"/>
      <c r="W76" s="2">
        <v>45524</v>
      </c>
      <c r="X76" s="3">
        <v>1562.9</v>
      </c>
      <c r="Y76" s="1">
        <f t="shared" si="20"/>
        <v>-4.5222929936304945E-3</v>
      </c>
      <c r="Z76" s="1"/>
      <c r="AA76" s="2">
        <v>45329</v>
      </c>
      <c r="AB76" s="3">
        <f t="shared" si="18"/>
        <v>1438</v>
      </c>
      <c r="AC76" s="1">
        <f t="shared" si="21"/>
        <v>9.8314606741574107E-3</v>
      </c>
      <c r="AD76" s="1"/>
      <c r="AE76" s="1"/>
      <c r="AF76" s="1"/>
      <c r="AG76" s="1"/>
      <c r="AH76" s="1"/>
      <c r="AI76" s="1"/>
      <c r="AJ76" s="1"/>
      <c r="AK76" s="1"/>
    </row>
    <row r="77" spans="1:37">
      <c r="A77" s="134">
        <v>45524</v>
      </c>
      <c r="B77" s="135">
        <v>1562.9</v>
      </c>
      <c r="C77" s="133">
        <f t="shared" si="22"/>
        <v>-4.5222929936304945E-3</v>
      </c>
      <c r="D77" s="133">
        <v>24698.85</v>
      </c>
      <c r="E77" s="133">
        <f t="shared" si="23"/>
        <v>5.1357912150296059E-3</v>
      </c>
      <c r="F77" s="135">
        <v>22374.25</v>
      </c>
      <c r="G77" s="67">
        <f t="shared" si="19"/>
        <v>-6.0962937305161224E-3</v>
      </c>
      <c r="H77" s="1"/>
      <c r="I77" s="1"/>
      <c r="J77" s="1"/>
      <c r="K77" s="1"/>
      <c r="L77" s="1"/>
      <c r="M77" s="1"/>
      <c r="N77" s="1"/>
      <c r="O77" s="1"/>
      <c r="P77" s="1"/>
      <c r="Q77" s="1"/>
      <c r="R77" s="1"/>
      <c r="S77" s="1"/>
      <c r="T77" s="1"/>
      <c r="U77" s="1"/>
      <c r="V77" s="1"/>
      <c r="W77" s="2">
        <v>45523</v>
      </c>
      <c r="X77" s="3">
        <v>1570</v>
      </c>
      <c r="Y77" s="1">
        <f t="shared" si="20"/>
        <v>-3.1746031746031633E-3</v>
      </c>
      <c r="Z77" s="1"/>
      <c r="AA77" s="2">
        <v>45328</v>
      </c>
      <c r="AB77" s="3">
        <f t="shared" si="18"/>
        <v>1424</v>
      </c>
      <c r="AC77" s="1">
        <f t="shared" si="21"/>
        <v>-5.8642837196314357E-3</v>
      </c>
      <c r="AD77" s="1"/>
      <c r="AE77" s="1"/>
      <c r="AF77" s="1"/>
      <c r="AG77" s="1"/>
      <c r="AH77" s="1"/>
      <c r="AI77" s="1"/>
      <c r="AJ77" s="1"/>
      <c r="AK77" s="1"/>
    </row>
    <row r="78" spans="1:37">
      <c r="A78" s="134">
        <v>45523</v>
      </c>
      <c r="B78" s="135">
        <v>1570</v>
      </c>
      <c r="C78" s="133">
        <f t="shared" si="22"/>
        <v>-3.1746031746031633E-3</v>
      </c>
      <c r="D78" s="133">
        <v>24572.65</v>
      </c>
      <c r="E78" s="133">
        <f t="shared" si="23"/>
        <v>1.283558431450782E-3</v>
      </c>
      <c r="F78" s="135">
        <v>22237.85</v>
      </c>
      <c r="G78" s="67">
        <f t="shared" si="19"/>
        <v>-5.906596186232016E-3</v>
      </c>
      <c r="H78" s="1"/>
      <c r="I78" s="1"/>
      <c r="J78" s="1"/>
      <c r="K78" s="1"/>
      <c r="L78" s="1"/>
      <c r="M78" s="1"/>
      <c r="N78" s="1"/>
      <c r="O78" s="1"/>
      <c r="P78" s="1"/>
      <c r="Q78" s="1"/>
      <c r="R78" s="1"/>
      <c r="S78" s="1"/>
      <c r="T78" s="1"/>
      <c r="U78" s="1"/>
      <c r="V78" s="1"/>
      <c r="W78" s="2">
        <v>45520</v>
      </c>
      <c r="X78" s="3">
        <v>1575</v>
      </c>
      <c r="Y78" s="1">
        <f t="shared" si="20"/>
        <v>6.1647554859936005E-3</v>
      </c>
      <c r="Z78" s="1"/>
      <c r="AA78" s="2">
        <v>45327</v>
      </c>
      <c r="AB78" s="3">
        <f t="shared" si="18"/>
        <v>1432.4</v>
      </c>
      <c r="AC78" s="1">
        <f t="shared" si="21"/>
        <v>2.9762760603882166E-2</v>
      </c>
      <c r="AD78" s="1"/>
      <c r="AE78" s="1"/>
      <c r="AF78" s="1"/>
      <c r="AG78" s="1"/>
      <c r="AH78" s="1"/>
      <c r="AI78" s="1"/>
      <c r="AJ78" s="1"/>
      <c r="AK78" s="1"/>
    </row>
    <row r="79" spans="1:37">
      <c r="A79" s="134">
        <v>45520</v>
      </c>
      <c r="B79" s="135">
        <v>1575</v>
      </c>
      <c r="C79" s="133">
        <f t="shared" si="22"/>
        <v>6.1647554859936005E-3</v>
      </c>
      <c r="D79" s="133">
        <v>24541.15</v>
      </c>
      <c r="E79" s="133">
        <f t="shared" si="23"/>
        <v>1.6459746311157097E-2</v>
      </c>
      <c r="F79" s="135">
        <v>22106.5</v>
      </c>
      <c r="G79" s="67">
        <f t="shared" si="19"/>
        <v>-4.2430959220138842E-3</v>
      </c>
      <c r="H79" s="1"/>
      <c r="I79" s="1"/>
      <c r="J79" s="1"/>
      <c r="K79" s="1"/>
      <c r="L79" s="1"/>
      <c r="M79" s="1"/>
      <c r="N79" s="1"/>
      <c r="O79" s="1"/>
      <c r="P79" s="1"/>
      <c r="Q79" s="1"/>
      <c r="R79" s="1"/>
      <c r="S79" s="1"/>
      <c r="T79" s="1"/>
      <c r="U79" s="1"/>
      <c r="V79" s="1"/>
      <c r="W79" s="2">
        <v>45518</v>
      </c>
      <c r="X79" s="3">
        <v>1565.35</v>
      </c>
      <c r="Y79" s="1">
        <f t="shared" si="20"/>
        <v>-1.2397476340694102E-2</v>
      </c>
      <c r="Z79" s="1"/>
      <c r="AA79" s="2">
        <v>45324</v>
      </c>
      <c r="AB79" s="3">
        <f t="shared" si="18"/>
        <v>1391</v>
      </c>
      <c r="AC79" s="1">
        <f t="shared" si="21"/>
        <v>5.1304284991688931E-3</v>
      </c>
      <c r="AD79" s="1"/>
      <c r="AE79" s="1"/>
      <c r="AF79" s="1"/>
      <c r="AG79" s="1"/>
      <c r="AH79" s="1"/>
      <c r="AI79" s="1"/>
      <c r="AJ79" s="1"/>
      <c r="AK79" s="1"/>
    </row>
    <row r="80" spans="1:37">
      <c r="A80" s="134">
        <v>45518</v>
      </c>
      <c r="B80" s="135">
        <v>1565.35</v>
      </c>
      <c r="C80" s="133">
        <f t="shared" si="22"/>
        <v>-1.2397476340694102E-2</v>
      </c>
      <c r="D80" s="133">
        <v>24143.75</v>
      </c>
      <c r="E80" s="133">
        <f t="shared" si="23"/>
        <v>1.9677699987563635E-4</v>
      </c>
      <c r="F80" s="135">
        <v>22012.7</v>
      </c>
      <c r="G80" s="67">
        <f t="shared" si="19"/>
        <v>8.1271266132731945E-3</v>
      </c>
      <c r="H80" s="1"/>
      <c r="I80" s="1"/>
      <c r="J80" s="1"/>
      <c r="K80" s="1"/>
      <c r="L80" s="1"/>
      <c r="M80" s="1"/>
      <c r="N80" s="1"/>
      <c r="O80" s="1"/>
      <c r="P80" s="1"/>
      <c r="Q80" s="1"/>
      <c r="R80" s="1"/>
      <c r="S80" s="1"/>
      <c r="T80" s="1"/>
      <c r="U80" s="1"/>
      <c r="V80" s="1"/>
      <c r="W80" s="2">
        <v>45517</v>
      </c>
      <c r="X80" s="3">
        <v>1585</v>
      </c>
      <c r="Y80" s="1">
        <f t="shared" si="20"/>
        <v>-6.3051702395966469E-4</v>
      </c>
      <c r="Z80" s="1"/>
      <c r="AA80" s="2">
        <v>45323</v>
      </c>
      <c r="AB80" s="3">
        <f t="shared" si="18"/>
        <v>1383.9</v>
      </c>
      <c r="AC80" s="1">
        <f t="shared" si="21"/>
        <v>2.3594674556213002E-2</v>
      </c>
      <c r="AD80" s="1"/>
      <c r="AE80" s="1"/>
      <c r="AF80" s="1"/>
      <c r="AG80" s="1"/>
      <c r="AH80" s="1"/>
      <c r="AI80" s="1"/>
      <c r="AJ80" s="1"/>
      <c r="AK80" s="1"/>
    </row>
    <row r="81" spans="1:37">
      <c r="A81" s="134">
        <v>45517</v>
      </c>
      <c r="B81" s="135">
        <v>1585</v>
      </c>
      <c r="C81" s="133">
        <f t="shared" si="22"/>
        <v>-6.3051702395966469E-4</v>
      </c>
      <c r="D81" s="133">
        <v>24139</v>
      </c>
      <c r="E81" s="133">
        <f t="shared" si="23"/>
        <v>-8.5431469996303244E-3</v>
      </c>
      <c r="F81" s="135">
        <v>22191.599999999999</v>
      </c>
      <c r="G81" s="67">
        <f t="shared" si="19"/>
        <v>6.3086933794775923E-4</v>
      </c>
      <c r="H81" s="1"/>
      <c r="I81" s="1"/>
      <c r="J81" s="1"/>
      <c r="K81" s="1"/>
      <c r="L81" s="1"/>
      <c r="M81" s="1"/>
      <c r="N81" s="1"/>
      <c r="O81" s="1"/>
      <c r="P81" s="1"/>
      <c r="Q81" s="1"/>
      <c r="R81" s="1"/>
      <c r="S81" s="1"/>
      <c r="T81" s="1"/>
      <c r="U81" s="1"/>
      <c r="V81" s="1"/>
      <c r="W81" s="2">
        <v>45516</v>
      </c>
      <c r="X81" s="3">
        <v>1586</v>
      </c>
      <c r="Y81" s="1">
        <f t="shared" si="20"/>
        <v>8.9058524173029063E-3</v>
      </c>
      <c r="Z81" s="1"/>
      <c r="AA81" s="2">
        <v>45322</v>
      </c>
      <c r="AB81" s="3">
        <f t="shared" si="18"/>
        <v>1352</v>
      </c>
      <c r="AC81" s="1">
        <f t="shared" si="21"/>
        <v>2.5796661608497695E-2</v>
      </c>
      <c r="AD81" s="1"/>
      <c r="AE81" s="1"/>
      <c r="AF81" s="1"/>
      <c r="AG81" s="1"/>
      <c r="AH81" s="1"/>
      <c r="AI81" s="1"/>
      <c r="AJ81" s="1"/>
      <c r="AK81" s="1"/>
    </row>
    <row r="82" spans="1:37">
      <c r="A82" s="134">
        <v>45516</v>
      </c>
      <c r="B82" s="135">
        <v>1586</v>
      </c>
      <c r="C82" s="133">
        <f t="shared" si="22"/>
        <v>8.9058524173029063E-3</v>
      </c>
      <c r="D82" s="133">
        <v>24347</v>
      </c>
      <c r="E82" s="133">
        <f t="shared" si="23"/>
        <v>-8.4128449779419245E-4</v>
      </c>
      <c r="F82" s="135">
        <v>22205.599999999999</v>
      </c>
      <c r="G82" s="67">
        <f t="shared" si="19"/>
        <v>1.7788305652621794E-4</v>
      </c>
      <c r="H82" s="1"/>
      <c r="I82" s="1"/>
      <c r="J82" s="1"/>
      <c r="K82" s="1"/>
      <c r="L82" s="1"/>
      <c r="M82" s="1"/>
      <c r="N82" s="1"/>
      <c r="O82" s="1"/>
      <c r="P82" s="1"/>
      <c r="Q82" s="1"/>
      <c r="R82" s="1"/>
      <c r="S82" s="1"/>
      <c r="T82" s="1"/>
      <c r="U82" s="1"/>
      <c r="V82" s="1"/>
      <c r="W82" s="2">
        <v>45513</v>
      </c>
      <c r="X82" s="3">
        <v>1572</v>
      </c>
      <c r="Y82" s="1">
        <f t="shared" si="20"/>
        <v>1.2738853503184711E-3</v>
      </c>
      <c r="Z82" s="1"/>
      <c r="AA82" s="2">
        <v>45321</v>
      </c>
      <c r="AB82" s="3">
        <f t="shared" si="18"/>
        <v>1318</v>
      </c>
      <c r="AC82" s="1">
        <f t="shared" si="21"/>
        <v>-1.7554321493794434E-2</v>
      </c>
      <c r="AD82" s="1"/>
      <c r="AE82" s="1"/>
      <c r="AF82" s="1"/>
      <c r="AG82" s="1"/>
      <c r="AH82" s="1"/>
      <c r="AI82" s="1"/>
      <c r="AJ82" s="1"/>
      <c r="AK82" s="1"/>
    </row>
    <row r="83" spans="1:37">
      <c r="A83" s="134">
        <v>45513</v>
      </c>
      <c r="B83" s="135">
        <v>1572</v>
      </c>
      <c r="C83" s="133">
        <f t="shared" si="22"/>
        <v>1.2738853503184711E-3</v>
      </c>
      <c r="D83" s="133">
        <v>24367.5</v>
      </c>
      <c r="E83" s="133">
        <f t="shared" si="23"/>
        <v>1.0386864037815746E-2</v>
      </c>
      <c r="F83" s="135">
        <v>22209.55</v>
      </c>
      <c r="G83" s="67">
        <f t="shared" si="19"/>
        <v>-4.2909469124767785E-3</v>
      </c>
      <c r="H83" s="1"/>
      <c r="I83" s="1"/>
      <c r="J83" s="1"/>
      <c r="K83" s="1"/>
      <c r="L83" s="1"/>
      <c r="M83" s="1"/>
      <c r="N83" s="1"/>
      <c r="O83" s="1"/>
      <c r="P83" s="1"/>
      <c r="Q83" s="1"/>
      <c r="R83" s="1"/>
      <c r="S83" s="1"/>
      <c r="T83" s="1"/>
      <c r="U83" s="1"/>
      <c r="V83" s="1"/>
      <c r="W83" s="2">
        <v>45512</v>
      </c>
      <c r="X83" s="3">
        <v>1570</v>
      </c>
      <c r="Y83" s="1">
        <f t="shared" si="20"/>
        <v>1.1597938144329856E-2</v>
      </c>
      <c r="Z83" s="1"/>
      <c r="AA83" s="2">
        <v>45320</v>
      </c>
      <c r="AB83" s="3">
        <f t="shared" si="18"/>
        <v>1341.55</v>
      </c>
      <c r="AC83" s="1">
        <f t="shared" si="21"/>
        <v>-2.4185336048879846E-2</v>
      </c>
      <c r="AD83" s="1"/>
      <c r="AE83" s="1"/>
      <c r="AF83" s="1"/>
      <c r="AG83" s="1"/>
      <c r="AH83" s="1"/>
      <c r="AI83" s="1"/>
      <c r="AJ83" s="1"/>
      <c r="AK83" s="1"/>
    </row>
    <row r="84" spans="1:37">
      <c r="A84" s="134">
        <v>45512</v>
      </c>
      <c r="B84" s="135">
        <v>1570</v>
      </c>
      <c r="C84" s="133">
        <f t="shared" si="22"/>
        <v>1.1597938144329856E-2</v>
      </c>
      <c r="D84" s="133">
        <v>24117</v>
      </c>
      <c r="E84" s="133">
        <f t="shared" si="23"/>
        <v>-7.4287478135610652E-3</v>
      </c>
      <c r="F84" s="135">
        <v>22114.25</v>
      </c>
      <c r="G84" s="67">
        <f t="shared" si="19"/>
        <v>-3.4954836813366752E-3</v>
      </c>
      <c r="H84" s="1"/>
      <c r="I84" s="1"/>
      <c r="J84" s="1"/>
      <c r="K84" s="1"/>
      <c r="L84" s="1"/>
      <c r="M84" s="1"/>
      <c r="N84" s="1"/>
      <c r="O84" s="1"/>
      <c r="P84" s="1"/>
      <c r="Q84" s="1"/>
      <c r="R84" s="1"/>
      <c r="S84" s="1"/>
      <c r="T84" s="1"/>
      <c r="U84" s="1"/>
      <c r="V84" s="1"/>
      <c r="W84" s="2">
        <v>45511</v>
      </c>
      <c r="X84" s="3">
        <v>1552</v>
      </c>
      <c r="Y84" s="1">
        <f t="shared" si="20"/>
        <v>1.2757349342555901E-2</v>
      </c>
      <c r="Z84" s="1"/>
      <c r="AA84" s="2">
        <v>45316</v>
      </c>
      <c r="AB84" s="3">
        <f t="shared" si="18"/>
        <v>1374.8</v>
      </c>
      <c r="AC84" s="1">
        <f t="shared" si="21"/>
        <v>-2.7447651386530825E-2</v>
      </c>
      <c r="AD84" s="1"/>
      <c r="AE84" s="1"/>
      <c r="AF84" s="1"/>
      <c r="AG84" s="1"/>
      <c r="AH84" s="1"/>
      <c r="AI84" s="1"/>
      <c r="AJ84" s="1"/>
      <c r="AK84" s="1"/>
    </row>
    <row r="85" spans="1:37">
      <c r="A85" s="134">
        <v>45511</v>
      </c>
      <c r="B85" s="135">
        <v>1552</v>
      </c>
      <c r="C85" s="133">
        <f t="shared" si="22"/>
        <v>1.2757349342555901E-2</v>
      </c>
      <c r="D85" s="133">
        <v>24297.5</v>
      </c>
      <c r="E85" s="133">
        <f t="shared" si="23"/>
        <v>1.2710195456506312E-2</v>
      </c>
      <c r="F85" s="135">
        <v>22036.95</v>
      </c>
      <c r="G85" s="67">
        <f t="shared" si="19"/>
        <v>-2.1527479982484055E-2</v>
      </c>
      <c r="H85" s="1"/>
      <c r="I85" s="1"/>
      <c r="J85" s="1"/>
      <c r="K85" s="1"/>
      <c r="L85" s="1"/>
      <c r="M85" s="1"/>
      <c r="N85" s="1"/>
      <c r="O85" s="1"/>
      <c r="P85" s="1"/>
      <c r="Q85" s="1"/>
      <c r="R85" s="1"/>
      <c r="S85" s="1"/>
      <c r="T85" s="1"/>
      <c r="U85" s="1"/>
      <c r="V85" s="1"/>
      <c r="W85" s="2">
        <v>45510</v>
      </c>
      <c r="X85" s="3">
        <v>1532.45</v>
      </c>
      <c r="Y85" s="1">
        <f t="shared" si="20"/>
        <v>1.085092348284955E-2</v>
      </c>
      <c r="Z85" s="1"/>
      <c r="AA85" s="2">
        <v>45315</v>
      </c>
      <c r="AB85" s="3">
        <f t="shared" si="18"/>
        <v>1413.6</v>
      </c>
      <c r="AC85" s="1">
        <f t="shared" si="21"/>
        <v>4.0129265954045312E-3</v>
      </c>
      <c r="AD85" s="1"/>
      <c r="AE85" s="1"/>
      <c r="AF85" s="1"/>
      <c r="AG85" s="1"/>
      <c r="AH85" s="1"/>
      <c r="AI85" s="1"/>
      <c r="AJ85" s="1"/>
      <c r="AK85" s="1"/>
    </row>
    <row r="86" spans="1:37">
      <c r="A86" s="134">
        <v>45510</v>
      </c>
      <c r="B86" s="135">
        <v>1532.45</v>
      </c>
      <c r="C86" s="133">
        <f t="shared" si="22"/>
        <v>1.085092348284955E-2</v>
      </c>
      <c r="D86" s="133">
        <v>23992.55</v>
      </c>
      <c r="E86" s="133">
        <f t="shared" si="23"/>
        <v>-2.6210113237665755E-3</v>
      </c>
      <c r="F86" s="135">
        <v>21562.55</v>
      </c>
      <c r="G86" s="67">
        <f t="shared" si="19"/>
        <v>9.5072243310734272E-4</v>
      </c>
      <c r="H86" s="1"/>
      <c r="I86" s="1"/>
      <c r="J86" s="1"/>
      <c r="K86" s="1"/>
      <c r="L86" s="1"/>
      <c r="M86" s="1"/>
      <c r="N86" s="1"/>
      <c r="O86" s="1"/>
      <c r="P86" s="1"/>
      <c r="Q86" s="1"/>
      <c r="R86" s="1"/>
      <c r="S86" s="1"/>
      <c r="T86" s="1"/>
      <c r="U86" s="1"/>
      <c r="V86" s="1"/>
      <c r="W86" s="2">
        <v>45509</v>
      </c>
      <c r="X86" s="3">
        <v>1516</v>
      </c>
      <c r="Y86" s="1">
        <f t="shared" si="20"/>
        <v>-6.5530799475753687E-3</v>
      </c>
      <c r="Z86" s="1"/>
      <c r="AA86" s="2">
        <v>45314</v>
      </c>
      <c r="AB86" s="3">
        <f t="shared" si="18"/>
        <v>1407.95</v>
      </c>
      <c r="AC86" s="1">
        <f t="shared" si="21"/>
        <v>7.2315308453922311E-2</v>
      </c>
      <c r="AD86" s="1"/>
      <c r="AE86" s="1"/>
      <c r="AF86" s="1"/>
      <c r="AG86" s="1"/>
      <c r="AH86" s="1"/>
      <c r="AI86" s="1"/>
      <c r="AJ86" s="1"/>
      <c r="AK86" s="1"/>
    </row>
    <row r="87" spans="1:37">
      <c r="A87" s="134">
        <v>45509</v>
      </c>
      <c r="B87" s="135">
        <v>1516</v>
      </c>
      <c r="C87" s="133">
        <f t="shared" si="22"/>
        <v>-6.5530799475753687E-3</v>
      </c>
      <c r="D87" s="133">
        <v>24055.599999999999</v>
      </c>
      <c r="E87" s="133">
        <f t="shared" si="23"/>
        <v>-2.6786472851438536E-2</v>
      </c>
      <c r="F87" s="135">
        <v>21583.05</v>
      </c>
      <c r="G87" s="67">
        <f t="shared" si="19"/>
        <v>1.4817182928270167E-2</v>
      </c>
      <c r="H87" s="1"/>
      <c r="I87" s="1"/>
      <c r="J87" s="1"/>
      <c r="K87" s="1"/>
      <c r="L87" s="1"/>
      <c r="M87" s="1"/>
      <c r="N87" s="1"/>
      <c r="O87" s="1"/>
      <c r="P87" s="1"/>
      <c r="Q87" s="1"/>
      <c r="R87" s="1"/>
      <c r="S87" s="1"/>
      <c r="T87" s="1"/>
      <c r="U87" s="1"/>
      <c r="V87" s="1"/>
      <c r="W87" s="2">
        <v>45506</v>
      </c>
      <c r="X87" s="3">
        <v>1526</v>
      </c>
      <c r="Y87" s="1">
        <f t="shared" si="20"/>
        <v>-1.229773462783168E-2</v>
      </c>
      <c r="Z87" s="1"/>
      <c r="AA87" s="2">
        <v>45311</v>
      </c>
      <c r="AB87" s="3">
        <f t="shared" si="18"/>
        <v>1313</v>
      </c>
      <c r="AC87" s="1">
        <f t="shared" si="21"/>
        <v>-1.0550113036925435E-2</v>
      </c>
      <c r="AD87" s="1"/>
      <c r="AE87" s="1"/>
      <c r="AF87" s="1"/>
      <c r="AG87" s="1"/>
      <c r="AH87" s="1"/>
      <c r="AI87" s="1"/>
      <c r="AJ87" s="1"/>
      <c r="AK87" s="1"/>
    </row>
    <row r="88" spans="1:37">
      <c r="A88" s="134">
        <v>45506</v>
      </c>
      <c r="B88" s="135">
        <v>1526</v>
      </c>
      <c r="C88" s="133">
        <f t="shared" si="22"/>
        <v>-1.229773462783168E-2</v>
      </c>
      <c r="D88" s="133">
        <v>24717.7</v>
      </c>
      <c r="E88" s="133">
        <f t="shared" si="23"/>
        <v>-1.1722888820474342E-2</v>
      </c>
      <c r="F88" s="135">
        <v>21902.85</v>
      </c>
      <c r="G88" s="67">
        <f t="shared" si="19"/>
        <v>-5.1363178764407547E-3</v>
      </c>
      <c r="H88" s="1"/>
      <c r="I88" s="1"/>
      <c r="J88" s="1"/>
      <c r="K88" s="1"/>
      <c r="L88" s="1"/>
      <c r="M88" s="1"/>
      <c r="N88" s="1"/>
      <c r="O88" s="1"/>
      <c r="P88" s="1"/>
      <c r="Q88" s="1"/>
      <c r="R88" s="1"/>
      <c r="S88" s="1"/>
      <c r="T88" s="1"/>
      <c r="U88" s="1"/>
      <c r="V88" s="1"/>
      <c r="W88" s="2">
        <v>45505</v>
      </c>
      <c r="X88" s="3">
        <v>1545</v>
      </c>
      <c r="Y88" s="1">
        <f t="shared" si="20"/>
        <v>6.4766839378238572E-4</v>
      </c>
      <c r="Z88" s="1"/>
      <c r="AA88" s="2">
        <v>45310</v>
      </c>
      <c r="AB88" s="3">
        <f t="shared" si="18"/>
        <v>1327</v>
      </c>
      <c r="AC88" s="1">
        <f t="shared" si="21"/>
        <v>5.3030303030303649E-3</v>
      </c>
      <c r="AD88" s="1"/>
      <c r="AE88" s="1"/>
      <c r="AF88" s="1"/>
      <c r="AG88" s="1"/>
      <c r="AH88" s="1"/>
      <c r="AI88" s="1"/>
      <c r="AJ88" s="1"/>
      <c r="AK88" s="1"/>
    </row>
    <row r="89" spans="1:37">
      <c r="A89" s="134">
        <v>45505</v>
      </c>
      <c r="B89" s="135">
        <v>1545</v>
      </c>
      <c r="C89" s="133">
        <f t="shared" si="22"/>
        <v>6.4766839378238572E-4</v>
      </c>
      <c r="D89" s="133">
        <v>25010.9</v>
      </c>
      <c r="E89" s="133">
        <f t="shared" si="23"/>
        <v>2.3946792031630526E-3</v>
      </c>
      <c r="F89" s="135">
        <v>21790.35</v>
      </c>
      <c r="G89" s="67">
        <f t="shared" si="19"/>
        <v>-6.0577273884987459E-4</v>
      </c>
      <c r="H89" s="1"/>
      <c r="I89" s="1"/>
      <c r="J89" s="1"/>
      <c r="K89" s="1"/>
      <c r="L89" s="1"/>
      <c r="M89" s="1"/>
      <c r="N89" s="1"/>
      <c r="O89" s="1"/>
      <c r="P89" s="1"/>
      <c r="Q89" s="1"/>
      <c r="R89" s="1"/>
      <c r="S89" s="1"/>
      <c r="T89" s="1"/>
      <c r="U89" s="1"/>
      <c r="V89" s="1"/>
      <c r="W89" s="2">
        <v>45504</v>
      </c>
      <c r="X89" s="3">
        <v>1544</v>
      </c>
      <c r="Y89" s="1">
        <f t="shared" si="20"/>
        <v>9.8103335513406442E-3</v>
      </c>
      <c r="Z89" s="1"/>
      <c r="AA89" s="2">
        <v>45309</v>
      </c>
      <c r="AB89" s="3">
        <f t="shared" si="18"/>
        <v>1320</v>
      </c>
      <c r="AC89" s="1">
        <f t="shared" si="21"/>
        <v>2.1671826625387025E-2</v>
      </c>
      <c r="AD89" s="1"/>
      <c r="AE89" s="1"/>
      <c r="AF89" s="1"/>
      <c r="AG89" s="1"/>
      <c r="AH89" s="1"/>
      <c r="AI89" s="1"/>
      <c r="AJ89" s="1"/>
      <c r="AK89" s="1"/>
    </row>
    <row r="90" spans="1:37">
      <c r="A90" s="134">
        <v>45504</v>
      </c>
      <c r="B90" s="135">
        <v>1544</v>
      </c>
      <c r="C90" s="133">
        <f t="shared" si="22"/>
        <v>9.8103335513406442E-3</v>
      </c>
      <c r="D90" s="133">
        <v>24951.15</v>
      </c>
      <c r="E90" s="133">
        <f t="shared" si="23"/>
        <v>3.7755508442189889E-3</v>
      </c>
      <c r="F90" s="135">
        <v>21777.15</v>
      </c>
      <c r="G90" s="67">
        <f t="shared" si="19"/>
        <v>-1.085311898021557E-2</v>
      </c>
      <c r="H90" s="1"/>
      <c r="I90" s="1"/>
      <c r="J90" s="1"/>
      <c r="K90" s="1"/>
      <c r="L90" s="1"/>
      <c r="M90" s="1"/>
      <c r="N90" s="1"/>
      <c r="O90" s="1"/>
      <c r="P90" s="1"/>
      <c r="Q90" s="1"/>
      <c r="R90" s="1"/>
      <c r="S90" s="1"/>
      <c r="T90" s="1"/>
      <c r="U90" s="1"/>
      <c r="V90" s="1"/>
      <c r="W90" s="2">
        <v>45503</v>
      </c>
      <c r="X90" s="3">
        <v>1529</v>
      </c>
      <c r="Y90" s="1">
        <f t="shared" si="20"/>
        <v>-1.5453960077269846E-2</v>
      </c>
      <c r="Z90" s="1"/>
      <c r="AA90" s="2">
        <v>45308</v>
      </c>
      <c r="AB90" s="3">
        <f t="shared" si="18"/>
        <v>1292</v>
      </c>
      <c r="AC90" s="1">
        <f t="shared" si="21"/>
        <v>-7.2611318145145987E-3</v>
      </c>
      <c r="AD90" s="1"/>
      <c r="AE90" s="1"/>
      <c r="AF90" s="1"/>
      <c r="AG90" s="1"/>
      <c r="AH90" s="1"/>
      <c r="AI90" s="1"/>
      <c r="AJ90" s="1"/>
      <c r="AK90" s="1"/>
    </row>
    <row r="91" spans="1:37">
      <c r="A91" s="134">
        <v>45503</v>
      </c>
      <c r="B91" s="135">
        <v>1529</v>
      </c>
      <c r="C91" s="133">
        <f t="shared" si="22"/>
        <v>-1.5453960077269846E-2</v>
      </c>
      <c r="D91" s="133">
        <v>24857.3</v>
      </c>
      <c r="E91" s="133">
        <f t="shared" si="23"/>
        <v>8.5359617653346653E-4</v>
      </c>
      <c r="F91" s="135">
        <v>21540.799999999999</v>
      </c>
      <c r="G91" s="67">
        <f t="shared" si="19"/>
        <v>6.2277167050435178E-3</v>
      </c>
      <c r="H91" s="1"/>
      <c r="I91" s="1"/>
      <c r="J91" s="1"/>
      <c r="K91" s="1"/>
      <c r="L91" s="1"/>
      <c r="M91" s="1"/>
      <c r="N91" s="1"/>
      <c r="O91" s="1"/>
      <c r="P91" s="1"/>
      <c r="Q91" s="1"/>
      <c r="R91" s="1"/>
      <c r="S91" s="1"/>
      <c r="T91" s="1"/>
      <c r="U91" s="1"/>
      <c r="V91" s="1"/>
      <c r="W91" s="2">
        <v>45502</v>
      </c>
      <c r="X91" s="3">
        <v>1553</v>
      </c>
      <c r="Y91" s="1">
        <f t="shared" si="20"/>
        <v>-2.1115663410022023E-2</v>
      </c>
      <c r="Z91" s="1"/>
      <c r="AA91" s="2">
        <v>45307</v>
      </c>
      <c r="AB91" s="3">
        <f t="shared" si="18"/>
        <v>1301.45</v>
      </c>
      <c r="AC91" s="1">
        <f t="shared" si="21"/>
        <v>-1.0153635533921457E-2</v>
      </c>
      <c r="AD91" s="1"/>
      <c r="AE91" s="1"/>
      <c r="AF91" s="1"/>
      <c r="AG91" s="1"/>
      <c r="AH91" s="1"/>
      <c r="AI91" s="1"/>
      <c r="AJ91" s="1"/>
      <c r="AK91" s="1"/>
    </row>
    <row r="92" spans="1:37">
      <c r="A92" s="134">
        <v>45502</v>
      </c>
      <c r="B92" s="135">
        <v>1553</v>
      </c>
      <c r="C92" s="133">
        <f t="shared" si="22"/>
        <v>-2.1115663410022023E-2</v>
      </c>
      <c r="D92" s="133">
        <v>24836.1</v>
      </c>
      <c r="E92" s="133">
        <f t="shared" si="23"/>
        <v>5.0332496471794386E-5</v>
      </c>
      <c r="F92" s="135">
        <v>21674.95</v>
      </c>
      <c r="G92" s="67">
        <f t="shared" si="19"/>
        <v>-3.3148865395307148E-3</v>
      </c>
      <c r="H92" s="1"/>
      <c r="I92" s="1"/>
      <c r="J92" s="1"/>
      <c r="K92" s="1"/>
      <c r="L92" s="1"/>
      <c r="M92" s="1"/>
      <c r="N92" s="1"/>
      <c r="O92" s="1"/>
      <c r="P92" s="1"/>
      <c r="Q92" s="1"/>
      <c r="R92" s="1"/>
      <c r="S92" s="1"/>
      <c r="T92" s="1"/>
      <c r="U92" s="1"/>
      <c r="V92" s="1"/>
      <c r="W92" s="2">
        <v>45499</v>
      </c>
      <c r="X92" s="3">
        <v>1586.5</v>
      </c>
      <c r="Y92" s="1">
        <f t="shared" si="20"/>
        <v>5.555555555555558E-2</v>
      </c>
      <c r="Z92" s="1"/>
      <c r="AA92" s="2">
        <v>45306</v>
      </c>
      <c r="AB92" s="3">
        <f t="shared" si="18"/>
        <v>1314.8</v>
      </c>
      <c r="AC92" s="1">
        <f t="shared" si="21"/>
        <v>3.8940215316483062E-3</v>
      </c>
      <c r="AD92" s="1"/>
      <c r="AE92" s="1"/>
      <c r="AF92" s="1"/>
      <c r="AG92" s="1"/>
      <c r="AH92" s="1"/>
      <c r="AI92" s="1"/>
      <c r="AJ92" s="1"/>
      <c r="AK92" s="1"/>
    </row>
    <row r="93" spans="1:37">
      <c r="A93" s="134">
        <v>45499</v>
      </c>
      <c r="B93" s="135">
        <v>1586.5</v>
      </c>
      <c r="C93" s="133">
        <f t="shared" si="22"/>
        <v>5.555555555555558E-2</v>
      </c>
      <c r="D93" s="133">
        <v>24834.85</v>
      </c>
      <c r="E93" s="133">
        <f t="shared" si="23"/>
        <v>1.7567329479105664E-2</v>
      </c>
      <c r="F93" s="135">
        <v>21603.1</v>
      </c>
      <c r="G93" s="67">
        <f t="shared" si="19"/>
        <v>-2.3033731270049151E-2</v>
      </c>
      <c r="H93" s="1"/>
      <c r="I93" s="1"/>
      <c r="J93" s="1"/>
      <c r="K93" s="1"/>
      <c r="L93" s="1"/>
      <c r="M93" s="1"/>
      <c r="N93" s="1"/>
      <c r="O93" s="1"/>
      <c r="P93" s="1"/>
      <c r="Q93" s="1"/>
      <c r="R93" s="1"/>
      <c r="S93" s="1"/>
      <c r="T93" s="1"/>
      <c r="U93" s="1"/>
      <c r="V93" s="1"/>
      <c r="W93" s="2">
        <v>45498</v>
      </c>
      <c r="X93" s="3">
        <v>1503</v>
      </c>
      <c r="Y93" s="1">
        <f t="shared" si="20"/>
        <v>-3.3255736614568043E-4</v>
      </c>
      <c r="Z93" s="1"/>
      <c r="AA93" s="2">
        <v>45303</v>
      </c>
      <c r="AB93" s="3">
        <f t="shared" si="18"/>
        <v>1309.7</v>
      </c>
      <c r="AC93" s="1">
        <f t="shared" si="21"/>
        <v>-1.2888151944528081E-2</v>
      </c>
      <c r="AD93" s="1"/>
      <c r="AE93" s="1"/>
      <c r="AF93" s="1"/>
      <c r="AG93" s="1"/>
      <c r="AH93" s="1"/>
      <c r="AI93" s="1"/>
      <c r="AJ93" s="1"/>
      <c r="AK93" s="1"/>
    </row>
    <row r="94" spans="1:37">
      <c r="A94" s="134">
        <v>45498</v>
      </c>
      <c r="B94" s="135">
        <v>1503</v>
      </c>
      <c r="C94" s="133">
        <f t="shared" si="22"/>
        <v>-3.3255736614568043E-4</v>
      </c>
      <c r="D94" s="133">
        <v>24406.1</v>
      </c>
      <c r="E94" s="133">
        <f t="shared" si="23"/>
        <v>-3.0311098367707956E-4</v>
      </c>
      <c r="F94" s="135">
        <v>21105.5</v>
      </c>
      <c r="G94" s="67">
        <f t="shared" si="19"/>
        <v>-9.3340598422212429E-3</v>
      </c>
      <c r="H94" s="1"/>
      <c r="I94" s="1"/>
      <c r="J94" s="1"/>
      <c r="K94" s="1"/>
      <c r="L94" s="1"/>
      <c r="M94" s="1"/>
      <c r="N94" s="1"/>
      <c r="O94" s="1"/>
      <c r="P94" s="1"/>
      <c r="Q94" s="1"/>
      <c r="R94" s="1"/>
      <c r="S94" s="1"/>
      <c r="T94" s="1"/>
      <c r="U94" s="1"/>
      <c r="V94" s="1"/>
      <c r="W94" s="2">
        <v>45497</v>
      </c>
      <c r="X94" s="3">
        <v>1503.5</v>
      </c>
      <c r="Y94" s="1">
        <f t="shared" si="20"/>
        <v>5.6856187290970084E-3</v>
      </c>
      <c r="Z94" s="1"/>
      <c r="AA94" s="2">
        <v>45302</v>
      </c>
      <c r="AB94" s="3">
        <f t="shared" si="18"/>
        <v>1326.8</v>
      </c>
      <c r="AC94" s="1">
        <f t="shared" si="21"/>
        <v>-1.4299691427711592E-3</v>
      </c>
      <c r="AD94" s="1"/>
      <c r="AE94" s="1"/>
      <c r="AF94" s="1"/>
      <c r="AG94" s="1"/>
      <c r="AH94" s="1"/>
      <c r="AI94" s="1"/>
      <c r="AJ94" s="1"/>
      <c r="AK94" s="1"/>
    </row>
    <row r="95" spans="1:37">
      <c r="A95" s="134">
        <v>45497</v>
      </c>
      <c r="B95" s="135">
        <v>1503.5</v>
      </c>
      <c r="C95" s="133">
        <f t="shared" si="22"/>
        <v>5.6856187290970084E-3</v>
      </c>
      <c r="D95" s="133">
        <v>24413.5</v>
      </c>
      <c r="E95" s="133">
        <f t="shared" si="23"/>
        <v>-2.6777999963233379E-3</v>
      </c>
      <c r="F95" s="135">
        <v>20908.5</v>
      </c>
      <c r="G95" s="67">
        <f t="shared" si="19"/>
        <v>-7.3247722218237055E-3</v>
      </c>
      <c r="H95" s="1"/>
      <c r="I95" s="1"/>
      <c r="J95" s="1"/>
      <c r="K95" s="1"/>
      <c r="L95" s="1"/>
      <c r="M95" s="1"/>
      <c r="N95" s="1"/>
      <c r="O95" s="1"/>
      <c r="P95" s="1"/>
      <c r="Q95" s="1"/>
      <c r="R95" s="1"/>
      <c r="S95" s="1"/>
      <c r="T95" s="1"/>
      <c r="U95" s="1"/>
      <c r="V95" s="1"/>
      <c r="W95" s="2">
        <v>45496</v>
      </c>
      <c r="X95" s="3">
        <v>1495</v>
      </c>
      <c r="Y95" s="1">
        <f t="shared" si="20"/>
        <v>2.5818998759346012E-3</v>
      </c>
      <c r="Z95" s="1"/>
      <c r="AA95" s="2">
        <v>45301</v>
      </c>
      <c r="AB95" s="3">
        <f t="shared" si="18"/>
        <v>1328.7</v>
      </c>
      <c r="AC95" s="1">
        <f t="shared" si="21"/>
        <v>2.8803716608594598E-2</v>
      </c>
      <c r="AD95" s="1"/>
      <c r="AE95" s="1"/>
      <c r="AF95" s="1"/>
      <c r="AG95" s="1"/>
      <c r="AH95" s="1"/>
      <c r="AI95" s="1"/>
      <c r="AJ95" s="1"/>
      <c r="AK95" s="1"/>
    </row>
    <row r="96" spans="1:37">
      <c r="A96" s="134">
        <v>45496</v>
      </c>
      <c r="B96" s="135">
        <v>1495</v>
      </c>
      <c r="C96" s="133">
        <f t="shared" si="22"/>
        <v>2.5818998759346012E-3</v>
      </c>
      <c r="D96" s="133">
        <v>24479.05</v>
      </c>
      <c r="E96" s="133">
        <f t="shared" si="23"/>
        <v>-1.2321878474453873E-3</v>
      </c>
      <c r="F96" s="135">
        <v>20755.349999999999</v>
      </c>
      <c r="G96" s="67">
        <f t="shared" si="19"/>
        <v>-5.4829236799186498E-3</v>
      </c>
      <c r="H96" s="1"/>
      <c r="I96" s="1"/>
      <c r="J96" s="1"/>
      <c r="K96" s="1"/>
      <c r="L96" s="1"/>
      <c r="M96" s="1"/>
      <c r="N96" s="1"/>
      <c r="O96" s="1"/>
      <c r="P96" s="1"/>
      <c r="Q96" s="1"/>
      <c r="R96" s="1"/>
      <c r="S96" s="1"/>
      <c r="T96" s="1"/>
      <c r="U96" s="1"/>
      <c r="V96" s="1"/>
      <c r="W96" s="2">
        <v>45495</v>
      </c>
      <c r="X96" s="3">
        <v>1491.15</v>
      </c>
      <c r="Y96" s="1">
        <f t="shared" si="20"/>
        <v>2.1169354838710408E-3</v>
      </c>
      <c r="Z96" s="1"/>
      <c r="AA96" s="2">
        <v>45300</v>
      </c>
      <c r="AB96" s="3">
        <f t="shared" si="18"/>
        <v>1291.5</v>
      </c>
      <c r="AC96" s="1">
        <f t="shared" si="21"/>
        <v>1.6129032258064502E-2</v>
      </c>
      <c r="AD96" s="1"/>
      <c r="AE96" s="1"/>
      <c r="AF96" s="1"/>
      <c r="AG96" s="1"/>
      <c r="AH96" s="1"/>
      <c r="AI96" s="1"/>
      <c r="AJ96" s="1"/>
      <c r="AK96" s="1"/>
    </row>
    <row r="97" spans="1:37">
      <c r="A97" s="134">
        <v>45495</v>
      </c>
      <c r="B97" s="135">
        <v>1491.15</v>
      </c>
      <c r="C97" s="133">
        <f t="shared" si="22"/>
        <v>2.1169354838710408E-3</v>
      </c>
      <c r="D97" s="133">
        <v>24509.25</v>
      </c>
      <c r="E97" s="133">
        <f t="shared" si="23"/>
        <v>-8.8256036264466875E-4</v>
      </c>
      <c r="F97" s="135">
        <v>20641.55</v>
      </c>
      <c r="G97" s="67">
        <f t="shared" si="19"/>
        <v>-1.0471597336440208E-2</v>
      </c>
      <c r="H97" s="1"/>
      <c r="I97" s="1"/>
      <c r="J97" s="1"/>
      <c r="K97" s="1"/>
      <c r="L97" s="1"/>
      <c r="M97" s="1"/>
      <c r="N97" s="1"/>
      <c r="O97" s="1"/>
      <c r="P97" s="1"/>
      <c r="Q97" s="1"/>
      <c r="R97" s="1"/>
      <c r="S97" s="1"/>
      <c r="T97" s="1"/>
      <c r="U97" s="1"/>
      <c r="V97" s="1"/>
      <c r="W97" s="2">
        <v>45492</v>
      </c>
      <c r="X97" s="3">
        <v>1488</v>
      </c>
      <c r="Y97" s="1">
        <f t="shared" si="20"/>
        <v>-9.320905459387463E-3</v>
      </c>
      <c r="Z97" s="1"/>
      <c r="AA97" s="2">
        <v>45299</v>
      </c>
      <c r="AB97" s="3">
        <f t="shared" si="18"/>
        <v>1271</v>
      </c>
      <c r="AC97" s="1">
        <f t="shared" si="21"/>
        <v>-1.2547100182573989E-2</v>
      </c>
      <c r="AD97" s="1"/>
      <c r="AE97" s="1"/>
      <c r="AF97" s="1"/>
      <c r="AG97" s="1"/>
      <c r="AH97" s="1"/>
      <c r="AI97" s="1"/>
      <c r="AJ97" s="1"/>
      <c r="AK97" s="1"/>
    </row>
    <row r="98" spans="1:37">
      <c r="A98" s="134">
        <v>45492</v>
      </c>
      <c r="B98" s="135">
        <v>1488</v>
      </c>
      <c r="C98" s="133">
        <f t="shared" si="22"/>
        <v>-9.320905459387463E-3</v>
      </c>
      <c r="D98" s="133">
        <v>24530.9</v>
      </c>
      <c r="E98" s="133">
        <f t="shared" si="23"/>
        <v>-1.0884707580586794E-2</v>
      </c>
      <c r="F98" s="135">
        <v>20425.400000000001</v>
      </c>
      <c r="G98" s="67">
        <f t="shared" si="19"/>
        <v>1.6790368854465276E-2</v>
      </c>
      <c r="H98" s="1"/>
      <c r="I98" s="1"/>
      <c r="J98" s="1"/>
      <c r="K98" s="1"/>
      <c r="L98" s="1"/>
      <c r="M98" s="1"/>
      <c r="N98" s="1"/>
      <c r="O98" s="1"/>
      <c r="P98" s="1"/>
      <c r="Q98" s="1"/>
      <c r="R98" s="1"/>
      <c r="S98" s="1"/>
      <c r="T98" s="1"/>
      <c r="U98" s="1"/>
      <c r="V98" s="1"/>
      <c r="W98" s="2">
        <v>45491</v>
      </c>
      <c r="X98" s="3">
        <v>1502</v>
      </c>
      <c r="Y98" s="1">
        <f t="shared" si="20"/>
        <v>-4.2429063908777653E-3</v>
      </c>
      <c r="Z98" s="1"/>
      <c r="AA98" s="2">
        <v>45296</v>
      </c>
      <c r="AB98" s="3">
        <f t="shared" si="18"/>
        <v>1287.1500000000001</v>
      </c>
      <c r="AC98" s="1">
        <f t="shared" si="21"/>
        <v>-9.5036552520199047E-3</v>
      </c>
      <c r="AD98" s="1"/>
      <c r="AE98" s="1"/>
      <c r="AF98" s="1"/>
      <c r="AG98" s="1"/>
      <c r="AH98" s="1"/>
      <c r="AI98" s="1"/>
      <c r="AJ98" s="1"/>
      <c r="AK98" s="1"/>
    </row>
    <row r="99" spans="1:37">
      <c r="A99" s="134">
        <v>45491</v>
      </c>
      <c r="B99" s="135">
        <v>1502</v>
      </c>
      <c r="C99" s="133">
        <f t="shared" si="22"/>
        <v>-4.2429063908777653E-3</v>
      </c>
      <c r="D99" s="133">
        <v>24800.85</v>
      </c>
      <c r="E99" s="133">
        <f t="shared" si="23"/>
        <v>7.6321456141064115E-3</v>
      </c>
      <c r="F99" s="135">
        <v>20768.349999999999</v>
      </c>
      <c r="G99" s="67">
        <f t="shared" si="19"/>
        <v>-1.3963555121121463E-4</v>
      </c>
      <c r="H99" s="1"/>
      <c r="I99" s="1"/>
      <c r="J99" s="1"/>
      <c r="K99" s="1"/>
      <c r="L99" s="1"/>
      <c r="M99" s="1"/>
      <c r="N99" s="1"/>
      <c r="O99" s="1"/>
      <c r="P99" s="1"/>
      <c r="Q99" s="1"/>
      <c r="R99" s="1"/>
      <c r="S99" s="1"/>
      <c r="T99" s="1"/>
      <c r="U99" s="1"/>
      <c r="V99" s="1"/>
      <c r="W99" s="2">
        <v>45489</v>
      </c>
      <c r="X99" s="3">
        <v>1508.4</v>
      </c>
      <c r="Y99" s="1">
        <f t="shared" si="20"/>
        <v>-4.2907122582348522E-3</v>
      </c>
      <c r="Z99" s="1"/>
      <c r="AA99" s="2">
        <v>45295</v>
      </c>
      <c r="AB99" s="3">
        <f t="shared" si="18"/>
        <v>1299.5</v>
      </c>
      <c r="AC99" s="1">
        <f t="shared" si="21"/>
        <v>-1.5750451384887176E-3</v>
      </c>
      <c r="AD99" s="1"/>
      <c r="AE99" s="1"/>
      <c r="AF99" s="1"/>
      <c r="AG99" s="1"/>
      <c r="AH99" s="1"/>
      <c r="AI99" s="1"/>
      <c r="AJ99" s="1"/>
      <c r="AK99" s="1"/>
    </row>
    <row r="100" spans="1:37">
      <c r="A100" s="134">
        <v>45489</v>
      </c>
      <c r="B100" s="135">
        <v>1508.4</v>
      </c>
      <c r="C100" s="133">
        <f t="shared" si="22"/>
        <v>-4.2907122582348522E-3</v>
      </c>
      <c r="D100" s="133">
        <v>24613</v>
      </c>
      <c r="E100" s="133">
        <f t="shared" si="23"/>
        <v>1.0696840161550369E-3</v>
      </c>
      <c r="F100" s="135">
        <v>20765.45</v>
      </c>
      <c r="G100" s="67">
        <f t="shared" si="19"/>
        <v>3.809211936172785E-3</v>
      </c>
      <c r="H100" s="1"/>
      <c r="I100" s="1"/>
      <c r="J100" s="1"/>
      <c r="K100" s="1"/>
      <c r="L100" s="1"/>
      <c r="M100" s="1"/>
      <c r="N100" s="1"/>
      <c r="O100" s="1"/>
      <c r="P100" s="1"/>
      <c r="Q100" s="1"/>
      <c r="R100" s="1"/>
      <c r="S100" s="1"/>
      <c r="T100" s="1"/>
      <c r="U100" s="1"/>
      <c r="V100" s="1"/>
      <c r="W100" s="2">
        <v>45488</v>
      </c>
      <c r="X100" s="3">
        <v>1514.9</v>
      </c>
      <c r="Y100" s="1">
        <f t="shared" si="20"/>
        <v>1.5536676473506539E-3</v>
      </c>
      <c r="Z100" s="1"/>
      <c r="AA100" s="2">
        <v>45294</v>
      </c>
      <c r="AB100" s="3">
        <f t="shared" si="18"/>
        <v>1301.55</v>
      </c>
      <c r="AC100" s="1">
        <f t="shared" si="21"/>
        <v>1.4576918579724873E-2</v>
      </c>
      <c r="AD100" s="1"/>
      <c r="AE100" s="1"/>
      <c r="AF100" s="1"/>
      <c r="AG100" s="1"/>
      <c r="AH100" s="1"/>
      <c r="AI100" s="1"/>
      <c r="AJ100" s="1"/>
      <c r="AK100" s="1"/>
    </row>
    <row r="101" spans="1:37">
      <c r="A101" s="134">
        <v>45488</v>
      </c>
      <c r="B101" s="135">
        <v>1514.9</v>
      </c>
      <c r="C101" s="133">
        <f t="shared" si="22"/>
        <v>1.5536676473506539E-3</v>
      </c>
      <c r="D101" s="133">
        <v>24586.7</v>
      </c>
      <c r="E101" s="133">
        <f t="shared" si="23"/>
        <v>3.4507175900890807E-3</v>
      </c>
      <c r="F101" s="135">
        <v>20844.55</v>
      </c>
      <c r="G101" s="67">
        <f t="shared" si="19"/>
        <v>-1.1125210186835321E-2</v>
      </c>
      <c r="H101" s="1"/>
      <c r="I101" s="1"/>
      <c r="J101" s="1"/>
      <c r="K101" s="1"/>
      <c r="L101" s="1"/>
      <c r="M101" s="1"/>
      <c r="N101" s="1"/>
      <c r="O101" s="1"/>
      <c r="P101" s="1"/>
      <c r="Q101" s="1"/>
      <c r="R101" s="1"/>
      <c r="S101" s="1"/>
      <c r="T101" s="1"/>
      <c r="U101" s="1"/>
      <c r="V101" s="1"/>
      <c r="W101" s="2">
        <v>45485</v>
      </c>
      <c r="X101" s="3">
        <v>1512.55</v>
      </c>
      <c r="Y101" s="1">
        <f t="shared" si="20"/>
        <v>4.816315684581074E-3</v>
      </c>
      <c r="Z101" s="1"/>
      <c r="AA101" s="2">
        <v>45293</v>
      </c>
      <c r="AB101" s="3">
        <f t="shared" si="18"/>
        <v>1282.8499999999999</v>
      </c>
      <c r="AC101" s="1">
        <f t="shared" si="21"/>
        <v>2.6279999999999859E-2</v>
      </c>
      <c r="AD101" s="1"/>
      <c r="AE101" s="1"/>
      <c r="AF101" s="1"/>
      <c r="AG101" s="1"/>
      <c r="AH101" s="1"/>
      <c r="AI101" s="1"/>
      <c r="AJ101" s="1"/>
      <c r="AK101" s="1"/>
    </row>
    <row r="102" spans="1:37">
      <c r="A102" s="134">
        <v>45485</v>
      </c>
      <c r="B102" s="135">
        <v>1512.55</v>
      </c>
      <c r="C102" s="133">
        <f t="shared" si="22"/>
        <v>4.816315684581074E-3</v>
      </c>
      <c r="D102" s="133">
        <v>24502.15</v>
      </c>
      <c r="E102" s="133">
        <f t="shared" si="23"/>
        <v>7.6575252046495734E-3</v>
      </c>
      <c r="F102" s="135">
        <v>20612.650000000001</v>
      </c>
      <c r="G102" s="67">
        <f t="shared" si="19"/>
        <v>-5.3122718330733676E-4</v>
      </c>
      <c r="H102" s="1"/>
      <c r="I102" s="1"/>
      <c r="J102" s="1"/>
      <c r="K102" s="1"/>
      <c r="L102" s="1"/>
      <c r="M102" s="1"/>
      <c r="N102" s="1"/>
      <c r="O102" s="1"/>
      <c r="P102" s="1"/>
      <c r="Q102" s="1"/>
      <c r="R102" s="1"/>
      <c r="S102" s="1"/>
      <c r="T102" s="1"/>
      <c r="U102" s="1"/>
      <c r="V102" s="1"/>
      <c r="W102" s="2">
        <v>45484</v>
      </c>
      <c r="X102" s="3">
        <v>1505.3</v>
      </c>
      <c r="Y102" s="1">
        <f t="shared" si="20"/>
        <v>-4.9576943416181907E-3</v>
      </c>
      <c r="Z102" s="1"/>
      <c r="AA102" s="2">
        <v>45292</v>
      </c>
      <c r="AB102" s="3">
        <f t="shared" si="18"/>
        <v>1250</v>
      </c>
      <c r="AC102" s="1">
        <f t="shared" si="21"/>
        <v>0</v>
      </c>
      <c r="AD102" s="1"/>
      <c r="AE102" s="1"/>
      <c r="AF102" s="1"/>
      <c r="AG102" s="1"/>
      <c r="AH102" s="1"/>
      <c r="AI102" s="1"/>
      <c r="AJ102" s="1"/>
      <c r="AK102" s="1"/>
    </row>
    <row r="103" spans="1:37">
      <c r="A103" s="134">
        <v>45484</v>
      </c>
      <c r="B103" s="135">
        <v>1505.3</v>
      </c>
      <c r="C103" s="133">
        <f t="shared" si="22"/>
        <v>-4.9576943416181907E-3</v>
      </c>
      <c r="D103" s="133">
        <v>24315.95</v>
      </c>
      <c r="E103" s="133">
        <f t="shared" si="23"/>
        <v>-3.4944263899083783E-4</v>
      </c>
      <c r="F103" s="135">
        <v>20601.7</v>
      </c>
      <c r="G103" s="67">
        <f t="shared" si="19"/>
        <v>6.0310556895790679E-3</v>
      </c>
      <c r="H103" s="1"/>
      <c r="I103" s="1"/>
      <c r="J103" s="1"/>
      <c r="K103" s="1"/>
      <c r="L103" s="1"/>
      <c r="M103" s="1"/>
      <c r="N103" s="1"/>
      <c r="O103" s="1"/>
      <c r="P103" s="1"/>
      <c r="Q103" s="1"/>
      <c r="R103" s="1"/>
      <c r="S103" s="1"/>
      <c r="T103" s="1"/>
      <c r="U103" s="1"/>
      <c r="V103" s="1"/>
      <c r="W103" s="2">
        <v>45483</v>
      </c>
      <c r="X103" s="3">
        <v>1512.8</v>
      </c>
      <c r="Y103" s="1">
        <f t="shared" si="20"/>
        <v>-7.9260237780720555E-4</v>
      </c>
      <c r="Z103" s="1"/>
      <c r="AA103" s="2">
        <v>45289</v>
      </c>
      <c r="AB103" s="3">
        <f t="shared" si="18"/>
        <v>1250</v>
      </c>
      <c r="AC103" s="1">
        <f t="shared" si="21"/>
        <v>-9.5087163232963068E-3</v>
      </c>
      <c r="AD103" s="1"/>
      <c r="AE103" s="1"/>
      <c r="AF103" s="1"/>
      <c r="AG103" s="1"/>
      <c r="AH103" s="1"/>
      <c r="AI103" s="1"/>
      <c r="AJ103" s="1"/>
      <c r="AK103" s="1"/>
    </row>
    <row r="104" spans="1:37">
      <c r="A104" s="134">
        <v>45483</v>
      </c>
      <c r="B104" s="135">
        <v>1512.8</v>
      </c>
      <c r="C104" s="133">
        <f t="shared" si="22"/>
        <v>-7.9260237780720555E-4</v>
      </c>
      <c r="D104" s="133">
        <v>24324.45</v>
      </c>
      <c r="E104" s="133">
        <f t="shared" si="23"/>
        <v>-4.4509110554491471E-3</v>
      </c>
      <c r="F104" s="135">
        <v>20725.95</v>
      </c>
      <c r="G104" s="67">
        <f t="shared" si="19"/>
        <v>-3.8671327490417129E-3</v>
      </c>
      <c r="H104" s="1"/>
      <c r="I104" s="1"/>
      <c r="J104" s="1"/>
      <c r="K104" s="1"/>
      <c r="L104" s="1"/>
      <c r="M104" s="1"/>
      <c r="N104" s="1"/>
      <c r="O104" s="1"/>
      <c r="P104" s="1"/>
      <c r="Q104" s="1"/>
      <c r="R104" s="1"/>
      <c r="S104" s="1"/>
      <c r="T104" s="1"/>
      <c r="U104" s="1"/>
      <c r="V104" s="1"/>
      <c r="W104" s="2">
        <v>45482</v>
      </c>
      <c r="X104" s="3">
        <v>1514</v>
      </c>
      <c r="Y104" s="1">
        <f t="shared" si="20"/>
        <v>1.5425888665325349E-2</v>
      </c>
      <c r="Z104" s="1"/>
      <c r="AA104" s="2">
        <v>45288</v>
      </c>
      <c r="AB104" s="3">
        <f t="shared" ref="AB104:AB130" si="24">B235</f>
        <v>1262</v>
      </c>
      <c r="AC104" s="1">
        <f t="shared" si="21"/>
        <v>1.8111411399298172E-2</v>
      </c>
      <c r="AD104" s="1"/>
      <c r="AE104" s="1"/>
      <c r="AF104" s="1"/>
      <c r="AG104" s="1"/>
      <c r="AH104" s="1"/>
      <c r="AI104" s="1"/>
      <c r="AJ104" s="1"/>
      <c r="AK104" s="1"/>
    </row>
    <row r="105" spans="1:37">
      <c r="A105" s="134">
        <v>45482</v>
      </c>
      <c r="B105" s="135">
        <v>1514</v>
      </c>
      <c r="C105" s="133">
        <f t="shared" si="22"/>
        <v>1.5425888665325349E-2</v>
      </c>
      <c r="D105" s="133">
        <v>24433.200000000001</v>
      </c>
      <c r="E105" s="133">
        <f t="shared" si="23"/>
        <v>4.6318853808815508E-3</v>
      </c>
      <c r="F105" s="135">
        <v>20645.8</v>
      </c>
      <c r="G105" s="67">
        <f t="shared" si="19"/>
        <v>-1.549952048358505E-2</v>
      </c>
      <c r="H105" s="1"/>
      <c r="I105" s="1"/>
      <c r="J105" s="1"/>
      <c r="K105" s="1"/>
      <c r="L105" s="1"/>
      <c r="M105" s="1"/>
      <c r="N105" s="1"/>
      <c r="O105" s="1"/>
      <c r="P105" s="1"/>
      <c r="Q105" s="1"/>
      <c r="R105" s="1"/>
      <c r="S105" s="1"/>
      <c r="T105" s="1"/>
      <c r="U105" s="1"/>
      <c r="V105" s="1"/>
      <c r="W105" s="2">
        <v>45481</v>
      </c>
      <c r="X105" s="3">
        <v>1491</v>
      </c>
      <c r="Y105" s="1">
        <f t="shared" si="20"/>
        <v>-1.2615476308731499E-2</v>
      </c>
      <c r="Z105" s="1"/>
      <c r="AA105" s="2">
        <v>45287</v>
      </c>
      <c r="AB105" s="3">
        <f t="shared" si="24"/>
        <v>1239.55</v>
      </c>
      <c r="AC105" s="1">
        <f t="shared" si="21"/>
        <v>-5.9344801315209805E-3</v>
      </c>
      <c r="AD105" s="1"/>
      <c r="AE105" s="1"/>
      <c r="AF105" s="1"/>
      <c r="AG105" s="1"/>
      <c r="AH105" s="1"/>
      <c r="AI105" s="1"/>
      <c r="AJ105" s="1"/>
      <c r="AK105" s="1"/>
    </row>
    <row r="106" spans="1:37">
      <c r="A106" s="134">
        <v>45481</v>
      </c>
      <c r="B106" s="135">
        <v>1491</v>
      </c>
      <c r="C106" s="133">
        <f t="shared" si="22"/>
        <v>-1.2615476308731499E-2</v>
      </c>
      <c r="D106" s="133">
        <v>24320.55</v>
      </c>
      <c r="E106" s="133">
        <f t="shared" si="23"/>
        <v>-1.3566931221820067E-4</v>
      </c>
      <c r="F106" s="135">
        <v>20325.8</v>
      </c>
      <c r="G106" s="67">
        <f t="shared" si="19"/>
        <v>6.2998750356688671E-3</v>
      </c>
      <c r="H106" s="1"/>
      <c r="I106" s="1"/>
      <c r="J106" s="1"/>
      <c r="K106" s="1"/>
      <c r="L106" s="1"/>
      <c r="M106" s="1"/>
      <c r="N106" s="1"/>
      <c r="O106" s="1"/>
      <c r="P106" s="1"/>
      <c r="Q106" s="1"/>
      <c r="R106" s="1"/>
      <c r="S106" s="1"/>
      <c r="T106" s="1"/>
      <c r="U106" s="1"/>
      <c r="V106" s="1"/>
      <c r="W106" s="2">
        <v>45478</v>
      </c>
      <c r="X106" s="3">
        <v>1510.05</v>
      </c>
      <c r="Y106" s="1">
        <f t="shared" si="20"/>
        <v>1.6868686868686922E-2</v>
      </c>
      <c r="Z106" s="1"/>
      <c r="AA106" s="2">
        <v>45286</v>
      </c>
      <c r="AB106" s="3">
        <f t="shared" si="24"/>
        <v>1246.95</v>
      </c>
      <c r="AC106" s="1">
        <f t="shared" si="21"/>
        <v>5.6048387096774288E-3</v>
      </c>
      <c r="AD106" s="1"/>
      <c r="AE106" s="1"/>
      <c r="AF106" s="1"/>
      <c r="AG106" s="1"/>
      <c r="AH106" s="1"/>
      <c r="AI106" s="1"/>
      <c r="AJ106" s="1"/>
      <c r="AK106" s="1"/>
    </row>
    <row r="107" spans="1:37">
      <c r="A107" s="134">
        <v>45478</v>
      </c>
      <c r="B107" s="135">
        <v>1510.05</v>
      </c>
      <c r="C107" s="133">
        <f t="shared" si="22"/>
        <v>1.6868686868686922E-2</v>
      </c>
      <c r="D107" s="133">
        <v>24323.85</v>
      </c>
      <c r="E107" s="133">
        <f t="shared" si="23"/>
        <v>8.9292511156413568E-4</v>
      </c>
      <c r="F107" s="135">
        <v>20453.849999999999</v>
      </c>
      <c r="G107" s="67">
        <f t="shared" si="19"/>
        <v>-1.2772656492543E-2</v>
      </c>
      <c r="H107" s="1"/>
      <c r="I107" s="1"/>
      <c r="J107" s="1"/>
      <c r="K107" s="1"/>
      <c r="L107" s="1"/>
      <c r="M107" s="1"/>
      <c r="N107" s="1"/>
      <c r="O107" s="1"/>
      <c r="P107" s="1"/>
      <c r="Q107" s="1"/>
      <c r="R107" s="1"/>
      <c r="S107" s="1"/>
      <c r="T107" s="1"/>
      <c r="U107" s="1"/>
      <c r="V107" s="1"/>
      <c r="W107" s="2">
        <v>45477</v>
      </c>
      <c r="X107" s="3">
        <v>1485</v>
      </c>
      <c r="Y107" s="1">
        <f t="shared" si="20"/>
        <v>-4.7115837652289549E-4</v>
      </c>
      <c r="Z107" s="1"/>
      <c r="AA107" s="2">
        <v>45282</v>
      </c>
      <c r="AB107" s="3">
        <f t="shared" si="24"/>
        <v>1240</v>
      </c>
      <c r="AC107" s="1">
        <f t="shared" si="21"/>
        <v>8.9503661513425925E-3</v>
      </c>
      <c r="AD107" s="1"/>
      <c r="AE107" s="1"/>
      <c r="AF107" s="1"/>
      <c r="AG107" s="1"/>
      <c r="AH107" s="1"/>
      <c r="AI107" s="1"/>
      <c r="AJ107" s="1"/>
      <c r="AK107" s="1"/>
    </row>
    <row r="108" spans="1:37">
      <c r="A108" s="134">
        <v>45477</v>
      </c>
      <c r="B108" s="135">
        <v>1485</v>
      </c>
      <c r="C108" s="133">
        <f t="shared" si="22"/>
        <v>-4.7115837652289549E-4</v>
      </c>
      <c r="D108" s="133">
        <v>24302.15</v>
      </c>
      <c r="E108" s="133">
        <f t="shared" si="23"/>
        <v>6.4439091676460336E-4</v>
      </c>
      <c r="F108" s="135">
        <v>20192.599999999999</v>
      </c>
      <c r="G108" s="67">
        <f t="shared" si="19"/>
        <v>-1.3732753582995749E-2</v>
      </c>
      <c r="H108" s="1"/>
      <c r="I108" s="1"/>
      <c r="J108" s="1"/>
      <c r="K108" s="1"/>
      <c r="L108" s="1"/>
      <c r="M108" s="1"/>
      <c r="N108" s="1"/>
      <c r="O108" s="1"/>
      <c r="P108" s="1"/>
      <c r="Q108" s="1"/>
      <c r="R108" s="1"/>
      <c r="S108" s="1"/>
      <c r="T108" s="1"/>
      <c r="U108" s="1"/>
      <c r="V108" s="1"/>
      <c r="W108" s="2">
        <v>45476</v>
      </c>
      <c r="X108" s="3">
        <v>1485.7</v>
      </c>
      <c r="Y108" s="1">
        <f t="shared" si="20"/>
        <v>-2.8859060402683934E-3</v>
      </c>
      <c r="Z108" s="1"/>
      <c r="AA108" s="2">
        <v>45281</v>
      </c>
      <c r="AB108" s="3">
        <f t="shared" si="24"/>
        <v>1229</v>
      </c>
      <c r="AC108" s="1">
        <f t="shared" si="21"/>
        <v>-7.2697899838448654E-3</v>
      </c>
      <c r="AD108" s="1"/>
      <c r="AE108" s="1"/>
      <c r="AF108" s="1"/>
      <c r="AG108" s="1"/>
      <c r="AH108" s="1"/>
      <c r="AI108" s="1"/>
      <c r="AJ108" s="1"/>
      <c r="AK108" s="1"/>
    </row>
    <row r="109" spans="1:37">
      <c r="A109" s="134">
        <v>45476</v>
      </c>
      <c r="B109" s="135">
        <v>1485.7</v>
      </c>
      <c r="C109" s="133">
        <f t="shared" si="22"/>
        <v>-2.8859060402683934E-3</v>
      </c>
      <c r="D109" s="133">
        <v>24286.5</v>
      </c>
      <c r="E109" s="133">
        <f t="shared" si="23"/>
        <v>6.7422903060665451E-3</v>
      </c>
      <c r="F109" s="135">
        <v>19915.3</v>
      </c>
      <c r="G109" s="67">
        <f t="shared" si="19"/>
        <v>-6.4724106591413921E-3</v>
      </c>
      <c r="H109" s="1"/>
      <c r="I109" s="1"/>
      <c r="J109" s="1"/>
      <c r="K109" s="1"/>
      <c r="L109" s="1"/>
      <c r="M109" s="1"/>
      <c r="N109" s="1"/>
      <c r="O109" s="1"/>
      <c r="P109" s="1"/>
      <c r="Q109" s="1"/>
      <c r="R109" s="1"/>
      <c r="S109" s="1"/>
      <c r="T109" s="1"/>
      <c r="U109" s="1"/>
      <c r="V109" s="1"/>
      <c r="W109" s="2">
        <v>45475</v>
      </c>
      <c r="X109" s="3">
        <v>1490</v>
      </c>
      <c r="Y109" s="1">
        <f t="shared" si="20"/>
        <v>8.289629504314E-3</v>
      </c>
      <c r="Z109" s="1"/>
      <c r="AA109" s="2">
        <v>45280</v>
      </c>
      <c r="AB109" s="3">
        <f t="shared" si="24"/>
        <v>1238</v>
      </c>
      <c r="AC109" s="1">
        <f t="shared" si="21"/>
        <v>-1.612903225806428E-3</v>
      </c>
      <c r="AD109" s="1"/>
      <c r="AE109" s="1"/>
      <c r="AF109" s="1"/>
      <c r="AG109" s="1"/>
      <c r="AH109" s="1"/>
      <c r="AI109" s="1"/>
      <c r="AJ109" s="1"/>
      <c r="AK109" s="1"/>
    </row>
    <row r="110" spans="1:37">
      <c r="A110" s="134">
        <v>45475</v>
      </c>
      <c r="B110" s="135">
        <v>1490</v>
      </c>
      <c r="C110" s="133">
        <f t="shared" si="22"/>
        <v>8.289629504314E-3</v>
      </c>
      <c r="D110" s="133">
        <v>24123.85</v>
      </c>
      <c r="E110" s="133">
        <f t="shared" si="23"/>
        <v>-7.4973231242725369E-4</v>
      </c>
      <c r="F110" s="135">
        <v>19786.400000000001</v>
      </c>
      <c r="G110" s="67">
        <f t="shared" si="19"/>
        <v>-1.4226943759350075E-3</v>
      </c>
      <c r="H110" s="1"/>
      <c r="I110" s="1"/>
      <c r="J110" s="1"/>
      <c r="K110" s="1"/>
      <c r="L110" s="1"/>
      <c r="M110" s="1"/>
      <c r="N110" s="1"/>
      <c r="O110" s="1"/>
      <c r="P110" s="1"/>
      <c r="Q110" s="1"/>
      <c r="R110" s="1"/>
      <c r="S110" s="1"/>
      <c r="T110" s="1"/>
      <c r="U110" s="1"/>
      <c r="V110" s="1"/>
      <c r="W110" s="2">
        <v>45474</v>
      </c>
      <c r="X110" s="3">
        <v>1477.75</v>
      </c>
      <c r="Y110" s="1">
        <f t="shared" si="20"/>
        <v>-3.3048932654369256E-3</v>
      </c>
      <c r="Z110" s="1"/>
      <c r="AA110" s="2">
        <v>45279</v>
      </c>
      <c r="AB110" s="3">
        <f t="shared" si="24"/>
        <v>1240</v>
      </c>
      <c r="AC110" s="1">
        <f t="shared" si="21"/>
        <v>2.0576131687242816E-2</v>
      </c>
      <c r="AD110" s="1"/>
      <c r="AE110" s="1"/>
      <c r="AF110" s="1"/>
      <c r="AG110" s="1"/>
      <c r="AH110" s="1"/>
      <c r="AI110" s="1"/>
      <c r="AJ110" s="1"/>
      <c r="AK110" s="1"/>
    </row>
    <row r="111" spans="1:37">
      <c r="A111" s="134">
        <v>45474</v>
      </c>
      <c r="B111" s="135">
        <v>1477.75</v>
      </c>
      <c r="C111" s="133">
        <f t="shared" si="22"/>
        <v>-3.3048932654369256E-3</v>
      </c>
      <c r="D111" s="133">
        <v>24141.95</v>
      </c>
      <c r="E111" s="133">
        <f t="shared" si="23"/>
        <v>5.4705005289330533E-3</v>
      </c>
      <c r="F111" s="135">
        <v>19758.25</v>
      </c>
      <c r="G111" s="67">
        <f t="shared" si="19"/>
        <v>-1.3513342527805561E-3</v>
      </c>
      <c r="H111" s="1"/>
      <c r="I111" s="1"/>
      <c r="J111" s="1"/>
      <c r="K111" s="1"/>
      <c r="L111" s="1"/>
      <c r="M111" s="1"/>
      <c r="N111" s="1"/>
      <c r="O111" s="1"/>
      <c r="P111" s="1"/>
      <c r="Q111" s="1"/>
      <c r="R111" s="1"/>
      <c r="S111" s="1"/>
      <c r="T111" s="1"/>
      <c r="U111" s="1"/>
      <c r="V111" s="1"/>
      <c r="W111" s="2">
        <v>45471</v>
      </c>
      <c r="X111" s="3">
        <v>1482.65</v>
      </c>
      <c r="Y111" s="1">
        <f t="shared" si="20"/>
        <v>-1.5824915824915742E-3</v>
      </c>
      <c r="Z111" s="1"/>
      <c r="AA111" s="2">
        <v>45278</v>
      </c>
      <c r="AB111" s="3">
        <f t="shared" si="24"/>
        <v>1215</v>
      </c>
      <c r="AC111" s="1">
        <f t="shared" si="21"/>
        <v>8.1732564411067798E-3</v>
      </c>
      <c r="AD111" s="1"/>
      <c r="AE111" s="1"/>
      <c r="AF111" s="1"/>
      <c r="AG111" s="1"/>
      <c r="AH111" s="1"/>
      <c r="AI111" s="1"/>
      <c r="AJ111" s="1"/>
      <c r="AK111" s="1"/>
    </row>
    <row r="112" spans="1:37">
      <c r="A112" s="134">
        <v>45471</v>
      </c>
      <c r="B112" s="135">
        <v>1482.65</v>
      </c>
      <c r="C112" s="133">
        <f t="shared" si="22"/>
        <v>-1.5824915824915742E-3</v>
      </c>
      <c r="D112" s="133">
        <v>24010.6</v>
      </c>
      <c r="E112" s="133">
        <f t="shared" si="23"/>
        <v>-1.4098858366778932E-3</v>
      </c>
      <c r="F112" s="135">
        <v>19731.55</v>
      </c>
      <c r="G112" s="67">
        <f t="shared" si="19"/>
        <v>-1.0984945430034587E-2</v>
      </c>
      <c r="H112" s="1"/>
      <c r="I112" s="1"/>
      <c r="J112" s="1"/>
      <c r="K112" s="1"/>
      <c r="L112" s="1"/>
      <c r="M112" s="1"/>
      <c r="N112" s="1"/>
      <c r="O112" s="1"/>
      <c r="P112" s="1"/>
      <c r="Q112" s="1"/>
      <c r="R112" s="1"/>
      <c r="S112" s="1"/>
      <c r="T112" s="1"/>
      <c r="U112" s="1"/>
      <c r="V112" s="1"/>
      <c r="W112" s="2">
        <v>45470</v>
      </c>
      <c r="X112" s="3">
        <v>1485</v>
      </c>
      <c r="Y112" s="1">
        <f t="shared" si="20"/>
        <v>4.4982581932559995E-3</v>
      </c>
      <c r="Z112" s="1"/>
      <c r="AA112" s="2">
        <v>45275</v>
      </c>
      <c r="AB112" s="3">
        <f t="shared" si="24"/>
        <v>1205.1500000000001</v>
      </c>
      <c r="AC112" s="1">
        <f t="shared" si="21"/>
        <v>1.2448132780096266E-4</v>
      </c>
      <c r="AD112" s="1"/>
      <c r="AE112" s="1"/>
      <c r="AF112" s="1"/>
      <c r="AG112" s="1"/>
      <c r="AH112" s="1"/>
      <c r="AI112" s="1"/>
      <c r="AJ112" s="1"/>
      <c r="AK112" s="1"/>
    </row>
    <row r="113" spans="1:37">
      <c r="A113" s="134">
        <v>45470</v>
      </c>
      <c r="B113" s="135">
        <v>1485</v>
      </c>
      <c r="C113" s="133">
        <f t="shared" si="22"/>
        <v>4.4982581932559995E-3</v>
      </c>
      <c r="D113" s="133">
        <v>24044.5</v>
      </c>
      <c r="E113" s="133">
        <f t="shared" si="23"/>
        <v>7.3610738704921186E-3</v>
      </c>
      <c r="F113" s="135">
        <v>19514.8</v>
      </c>
      <c r="G113" s="67">
        <f t="shared" si="19"/>
        <v>1.5654785086189893E-3</v>
      </c>
      <c r="H113" s="1"/>
      <c r="I113" s="1"/>
      <c r="J113" s="1"/>
      <c r="K113" s="1"/>
      <c r="L113" s="1"/>
      <c r="M113" s="1"/>
      <c r="N113" s="1"/>
      <c r="O113" s="1"/>
      <c r="P113" s="1"/>
      <c r="Q113" s="1"/>
      <c r="R113" s="1"/>
      <c r="S113" s="1"/>
      <c r="T113" s="1"/>
      <c r="U113" s="1"/>
      <c r="V113" s="1"/>
      <c r="W113" s="2">
        <v>45469</v>
      </c>
      <c r="X113" s="3">
        <v>1478.35</v>
      </c>
      <c r="Y113" s="1">
        <f t="shared" si="20"/>
        <v>-1.5745672436751068E-2</v>
      </c>
      <c r="Z113" s="1"/>
      <c r="AA113" s="2">
        <v>45274</v>
      </c>
      <c r="AB113" s="3">
        <f t="shared" si="24"/>
        <v>1205</v>
      </c>
      <c r="AC113" s="1">
        <f t="shared" si="21"/>
        <v>-6.5952184666117075E-3</v>
      </c>
      <c r="AD113" s="1"/>
      <c r="AE113" s="1"/>
      <c r="AF113" s="1"/>
      <c r="AG113" s="1"/>
      <c r="AH113" s="1"/>
      <c r="AI113" s="1"/>
      <c r="AJ113" s="1"/>
      <c r="AK113" s="1"/>
    </row>
    <row r="114" spans="1:37">
      <c r="A114" s="134">
        <v>45469</v>
      </c>
      <c r="B114" s="135">
        <v>1478.35</v>
      </c>
      <c r="C114" s="133">
        <f t="shared" si="22"/>
        <v>-1.5745672436751068E-2</v>
      </c>
      <c r="D114" s="133">
        <v>23868.799999999999</v>
      </c>
      <c r="E114" s="133">
        <f t="shared" si="23"/>
        <v>6.2180403266263173E-3</v>
      </c>
      <c r="F114" s="135">
        <v>19545.349999999999</v>
      </c>
      <c r="G114" s="67">
        <f t="shared" si="19"/>
        <v>-6.6767798990552407E-4</v>
      </c>
      <c r="H114" s="1"/>
      <c r="I114" s="1"/>
      <c r="J114" s="1"/>
      <c r="K114" s="1"/>
      <c r="L114" s="1"/>
      <c r="M114" s="1"/>
      <c r="N114" s="1"/>
      <c r="O114" s="1"/>
      <c r="P114" s="1"/>
      <c r="Q114" s="1"/>
      <c r="R114" s="1"/>
      <c r="S114" s="1"/>
      <c r="T114" s="1"/>
      <c r="U114" s="1"/>
      <c r="V114" s="1"/>
      <c r="W114" s="2">
        <v>45468</v>
      </c>
      <c r="X114" s="3">
        <v>1502</v>
      </c>
      <c r="Y114" s="1">
        <f t="shared" si="20"/>
        <v>-3.8796962562588355E-3</v>
      </c>
      <c r="Z114" s="1"/>
      <c r="AA114" s="2">
        <v>45273</v>
      </c>
      <c r="AB114" s="3">
        <f t="shared" si="24"/>
        <v>1213</v>
      </c>
      <c r="AC114" s="1">
        <f t="shared" si="21"/>
        <v>1.2520868113522488E-2</v>
      </c>
      <c r="AD114" s="1"/>
      <c r="AE114" s="1"/>
      <c r="AF114" s="1"/>
      <c r="AG114" s="1"/>
      <c r="AH114" s="1"/>
      <c r="AI114" s="1"/>
      <c r="AJ114" s="1"/>
      <c r="AK114" s="1"/>
    </row>
    <row r="115" spans="1:37">
      <c r="A115" s="134">
        <v>45468</v>
      </c>
      <c r="B115" s="135">
        <v>1502</v>
      </c>
      <c r="C115" s="133">
        <f t="shared" si="22"/>
        <v>-3.8796962562588355E-3</v>
      </c>
      <c r="D115" s="133">
        <v>23721.3</v>
      </c>
      <c r="E115" s="133">
        <f t="shared" si="23"/>
        <v>7.7938299377386944E-3</v>
      </c>
      <c r="F115" s="135">
        <v>19532.3</v>
      </c>
      <c r="G115" s="67">
        <f t="shared" si="19"/>
        <v>-5.7084931114093074E-4</v>
      </c>
      <c r="H115" s="1"/>
      <c r="I115" s="1"/>
      <c r="J115" s="1"/>
      <c r="K115" s="1"/>
      <c r="L115" s="1"/>
      <c r="M115" s="1"/>
      <c r="N115" s="1"/>
      <c r="O115" s="1"/>
      <c r="P115" s="1"/>
      <c r="Q115" s="1"/>
      <c r="R115" s="1"/>
      <c r="S115" s="1"/>
      <c r="T115" s="1"/>
      <c r="U115" s="1"/>
      <c r="V115" s="1"/>
      <c r="W115" s="2">
        <v>45467</v>
      </c>
      <c r="X115" s="3">
        <v>1507.85</v>
      </c>
      <c r="Y115" s="1">
        <f t="shared" si="20"/>
        <v>-1.9125060985526132E-2</v>
      </c>
      <c r="Z115" s="1"/>
      <c r="AA115" s="2">
        <v>45272</v>
      </c>
      <c r="AB115" s="3">
        <f t="shared" si="24"/>
        <v>1198</v>
      </c>
      <c r="AC115" s="1">
        <f t="shared" si="21"/>
        <v>-4.983388704318914E-3</v>
      </c>
      <c r="AD115" s="1"/>
      <c r="AE115" s="1"/>
      <c r="AF115" s="1"/>
      <c r="AG115" s="1"/>
      <c r="AH115" s="1"/>
      <c r="AI115" s="1"/>
      <c r="AJ115" s="1"/>
      <c r="AK115" s="1"/>
    </row>
    <row r="116" spans="1:37">
      <c r="A116" s="134">
        <v>45467</v>
      </c>
      <c r="B116" s="135">
        <v>1507.85</v>
      </c>
      <c r="C116" s="133">
        <f t="shared" si="22"/>
        <v>-1.9125060985526132E-2</v>
      </c>
      <c r="D116" s="133">
        <v>23537.85</v>
      </c>
      <c r="E116" s="133">
        <f t="shared" si="23"/>
        <v>1.5637565901169825E-3</v>
      </c>
      <c r="F116" s="135">
        <v>19521.150000000001</v>
      </c>
      <c r="G116" s="67">
        <f t="shared" si="19"/>
        <v>3.7139205425917865E-4</v>
      </c>
      <c r="H116" s="1"/>
      <c r="I116" s="1"/>
      <c r="J116" s="1"/>
      <c r="K116" s="1"/>
      <c r="L116" s="1"/>
      <c r="M116" s="1"/>
      <c r="N116" s="1"/>
      <c r="O116" s="1"/>
      <c r="P116" s="1"/>
      <c r="Q116" s="1"/>
      <c r="R116" s="1"/>
      <c r="S116" s="1"/>
      <c r="T116" s="1"/>
      <c r="U116" s="1"/>
      <c r="V116" s="1"/>
      <c r="W116" s="2">
        <v>45464</v>
      </c>
      <c r="X116" s="3">
        <v>1537.25</v>
      </c>
      <c r="Y116" s="1">
        <f t="shared" si="20"/>
        <v>-5.3058979585234312E-3</v>
      </c>
      <c r="Z116" s="1"/>
      <c r="AA116" s="2">
        <v>45271</v>
      </c>
      <c r="AB116" s="3">
        <f t="shared" si="24"/>
        <v>1204</v>
      </c>
      <c r="AC116" s="1">
        <f t="shared" si="21"/>
        <v>-1.2305168170631653E-2</v>
      </c>
      <c r="AD116" s="1"/>
      <c r="AE116" s="1"/>
      <c r="AF116" s="1"/>
      <c r="AG116" s="1"/>
      <c r="AH116" s="1"/>
      <c r="AI116" s="1"/>
      <c r="AJ116" s="1"/>
      <c r="AK116" s="1"/>
    </row>
    <row r="117" spans="1:37">
      <c r="A117" s="134">
        <v>45464</v>
      </c>
      <c r="B117" s="135">
        <v>1537.25</v>
      </c>
      <c r="C117" s="133">
        <f t="shared" si="22"/>
        <v>-5.3058979585234312E-3</v>
      </c>
      <c r="D117" s="133">
        <v>23501.1</v>
      </c>
      <c r="E117" s="133">
        <f t="shared" si="23"/>
        <v>-2.7962829380066001E-3</v>
      </c>
      <c r="F117" s="135">
        <v>19528.400000000001</v>
      </c>
      <c r="G117" s="67">
        <f t="shared" si="19"/>
        <v>8.2700067593854953E-4</v>
      </c>
      <c r="H117" s="1"/>
      <c r="I117" s="1"/>
      <c r="J117" s="1"/>
      <c r="K117" s="1"/>
      <c r="L117" s="1"/>
      <c r="M117" s="1"/>
      <c r="N117" s="1"/>
      <c r="O117" s="1"/>
      <c r="P117" s="1"/>
      <c r="Q117" s="1"/>
      <c r="R117" s="1"/>
      <c r="S117" s="1"/>
      <c r="T117" s="1"/>
      <c r="U117" s="1"/>
      <c r="V117" s="1"/>
      <c r="W117" s="2">
        <v>45463</v>
      </c>
      <c r="X117" s="3">
        <v>1545.45</v>
      </c>
      <c r="Y117" s="1">
        <f t="shared" si="20"/>
        <v>-9.3586744014614309E-3</v>
      </c>
      <c r="Z117" s="1"/>
      <c r="AA117" s="2">
        <v>45268</v>
      </c>
      <c r="AB117" s="3">
        <f t="shared" si="24"/>
        <v>1219</v>
      </c>
      <c r="AC117" s="1">
        <f t="shared" si="21"/>
        <v>-4.0442828546918275E-3</v>
      </c>
      <c r="AD117" s="1"/>
      <c r="AE117" s="1"/>
      <c r="AF117" s="1"/>
      <c r="AG117" s="1"/>
      <c r="AH117" s="1"/>
      <c r="AI117" s="1"/>
      <c r="AJ117" s="1"/>
      <c r="AK117" s="1"/>
    </row>
    <row r="118" spans="1:37">
      <c r="A118" s="134">
        <v>45463</v>
      </c>
      <c r="B118" s="135">
        <v>1545.45</v>
      </c>
      <c r="C118" s="133">
        <f t="shared" si="22"/>
        <v>-9.3586744014614309E-3</v>
      </c>
      <c r="D118" s="133">
        <v>23567</v>
      </c>
      <c r="E118" s="133">
        <f t="shared" si="23"/>
        <v>2.1687361796223215E-3</v>
      </c>
      <c r="F118" s="135">
        <v>19544.55</v>
      </c>
      <c r="G118" s="67">
        <f t="shared" si="19"/>
        <v>5.1139575994332276E-3</v>
      </c>
      <c r="H118" s="1"/>
      <c r="I118" s="1"/>
      <c r="J118" s="1"/>
      <c r="K118" s="1"/>
      <c r="L118" s="1"/>
      <c r="M118" s="1"/>
      <c r="N118" s="1"/>
      <c r="O118" s="1"/>
      <c r="P118" s="1"/>
      <c r="Q118" s="1"/>
      <c r="R118" s="1"/>
      <c r="S118" s="1"/>
      <c r="T118" s="1"/>
      <c r="U118" s="1"/>
      <c r="V118" s="1"/>
      <c r="W118" s="2">
        <v>45462</v>
      </c>
      <c r="X118" s="3">
        <v>1560.05</v>
      </c>
      <c r="Y118" s="1">
        <f t="shared" si="20"/>
        <v>-9.4920634920635516E-3</v>
      </c>
      <c r="Z118" s="1"/>
      <c r="AA118" s="2">
        <v>45267</v>
      </c>
      <c r="AB118" s="3">
        <f t="shared" si="24"/>
        <v>1223.95</v>
      </c>
      <c r="AC118" s="1">
        <f t="shared" si="21"/>
        <v>1.4043082021541142E-2</v>
      </c>
      <c r="AD118" s="1"/>
      <c r="AE118" s="1"/>
      <c r="AF118" s="1"/>
      <c r="AG118" s="1"/>
      <c r="AH118" s="1"/>
      <c r="AI118" s="1"/>
      <c r="AJ118" s="1"/>
      <c r="AK118" s="1"/>
    </row>
    <row r="119" spans="1:37">
      <c r="A119" s="134">
        <v>45462</v>
      </c>
      <c r="B119" s="135">
        <v>1560.05</v>
      </c>
      <c r="C119" s="133">
        <f t="shared" si="22"/>
        <v>-9.4920634920635516E-3</v>
      </c>
      <c r="D119" s="133">
        <v>23516</v>
      </c>
      <c r="E119" s="133">
        <f t="shared" si="23"/>
        <v>-1.7785965642099777E-3</v>
      </c>
      <c r="F119" s="135">
        <v>19644.5</v>
      </c>
      <c r="G119" s="67">
        <f t="shared" si="19"/>
        <v>9.2723154063478752E-3</v>
      </c>
      <c r="H119" s="1"/>
      <c r="I119" s="1"/>
      <c r="J119" s="1"/>
      <c r="K119" s="1"/>
      <c r="L119" s="1"/>
      <c r="M119" s="1"/>
      <c r="N119" s="1"/>
      <c r="O119" s="1"/>
      <c r="P119" s="1"/>
      <c r="Q119" s="1"/>
      <c r="R119" s="1"/>
      <c r="S119" s="1"/>
      <c r="T119" s="1"/>
      <c r="U119" s="1"/>
      <c r="V119" s="1"/>
      <c r="W119" s="2">
        <v>45461</v>
      </c>
      <c r="X119" s="3">
        <v>1575</v>
      </c>
      <c r="Y119" s="1">
        <f t="shared" si="20"/>
        <v>5.7471264367816577E-3</v>
      </c>
      <c r="Z119" s="1"/>
      <c r="AA119" s="2">
        <v>45266</v>
      </c>
      <c r="AB119" s="3">
        <f t="shared" si="24"/>
        <v>1207</v>
      </c>
      <c r="AC119" s="1">
        <f t="shared" si="21"/>
        <v>-1.1870650839132191E-2</v>
      </c>
      <c r="AD119" s="1"/>
      <c r="AE119" s="1"/>
      <c r="AF119" s="1"/>
      <c r="AG119" s="1"/>
      <c r="AH119" s="1"/>
      <c r="AI119" s="1"/>
      <c r="AJ119" s="1"/>
      <c r="AK119" s="1"/>
    </row>
    <row r="120" spans="1:37">
      <c r="A120" s="134">
        <v>45461</v>
      </c>
      <c r="B120" s="135">
        <v>1575</v>
      </c>
      <c r="C120" s="133">
        <f t="shared" si="22"/>
        <v>5.7471264367816577E-3</v>
      </c>
      <c r="D120" s="133">
        <v>23557.9</v>
      </c>
      <c r="E120" s="133">
        <f t="shared" si="23"/>
        <v>3.933417428064967E-3</v>
      </c>
      <c r="F120" s="135">
        <v>19826.650000000001</v>
      </c>
      <c r="G120" s="67">
        <f t="shared" si="19"/>
        <v>3.4801643242807767E-3</v>
      </c>
      <c r="H120" s="1"/>
      <c r="I120" s="1"/>
      <c r="J120" s="1"/>
      <c r="K120" s="1"/>
      <c r="L120" s="1"/>
      <c r="M120" s="1"/>
      <c r="N120" s="1"/>
      <c r="O120" s="1"/>
      <c r="P120" s="1"/>
      <c r="Q120" s="1"/>
      <c r="R120" s="1"/>
      <c r="S120" s="1"/>
      <c r="T120" s="1"/>
      <c r="U120" s="1"/>
      <c r="V120" s="1"/>
      <c r="W120" s="2">
        <v>45457</v>
      </c>
      <c r="X120" s="3">
        <v>1566</v>
      </c>
      <c r="Y120" s="1">
        <f t="shared" si="20"/>
        <v>1.3592233009708687E-2</v>
      </c>
      <c r="Z120" s="1"/>
      <c r="AA120" s="2">
        <v>45265</v>
      </c>
      <c r="AB120" s="3">
        <f t="shared" si="24"/>
        <v>1221.5</v>
      </c>
      <c r="AC120" s="1">
        <f t="shared" si="21"/>
        <v>2.4620434961017956E-3</v>
      </c>
      <c r="AD120" s="1"/>
      <c r="AE120" s="1"/>
      <c r="AF120" s="1"/>
      <c r="AG120" s="1"/>
      <c r="AH120" s="1"/>
      <c r="AI120" s="1"/>
      <c r="AJ120" s="1"/>
      <c r="AK120" s="1"/>
    </row>
    <row r="121" spans="1:37">
      <c r="A121" s="134">
        <v>45457</v>
      </c>
      <c r="B121" s="135">
        <v>1566</v>
      </c>
      <c r="C121" s="133">
        <f t="shared" si="22"/>
        <v>1.3592233009708687E-2</v>
      </c>
      <c r="D121" s="133">
        <v>23465.599999999999</v>
      </c>
      <c r="E121" s="133">
        <f t="shared" si="23"/>
        <v>2.8505613511744521E-3</v>
      </c>
      <c r="F121" s="135">
        <v>19895.650000000001</v>
      </c>
      <c r="G121" s="67">
        <f t="shared" si="19"/>
        <v>-2.8724872019764147E-3</v>
      </c>
      <c r="H121" s="1"/>
      <c r="I121" s="1"/>
      <c r="J121" s="1"/>
      <c r="K121" s="1"/>
      <c r="L121" s="1"/>
      <c r="M121" s="1"/>
      <c r="N121" s="1"/>
      <c r="O121" s="1"/>
      <c r="P121" s="1"/>
      <c r="Q121" s="1"/>
      <c r="R121" s="1"/>
      <c r="S121" s="1"/>
      <c r="T121" s="1"/>
      <c r="U121" s="1"/>
      <c r="V121" s="1"/>
      <c r="W121" s="2">
        <v>45456</v>
      </c>
      <c r="X121" s="3">
        <v>1545</v>
      </c>
      <c r="Y121" s="1">
        <f t="shared" si="20"/>
        <v>4.3554573230188964E-3</v>
      </c>
      <c r="Z121" s="1"/>
      <c r="AA121" s="2">
        <v>45264</v>
      </c>
      <c r="AB121" s="3">
        <f t="shared" si="24"/>
        <v>1218.5</v>
      </c>
      <c r="AC121" s="1">
        <f t="shared" si="21"/>
        <v>1.1287243754668275E-2</v>
      </c>
      <c r="AD121" s="1"/>
      <c r="AE121" s="1"/>
      <c r="AF121" s="1"/>
      <c r="AG121" s="1"/>
      <c r="AH121" s="1"/>
      <c r="AI121" s="1"/>
      <c r="AJ121" s="1"/>
      <c r="AK121" s="1"/>
    </row>
    <row r="122" spans="1:37">
      <c r="A122" s="134">
        <v>45456</v>
      </c>
      <c r="B122" s="135">
        <v>1545</v>
      </c>
      <c r="C122" s="133">
        <f t="shared" si="22"/>
        <v>4.3554573230188964E-3</v>
      </c>
      <c r="D122" s="133">
        <v>23398.9</v>
      </c>
      <c r="E122" s="133">
        <f t="shared" si="23"/>
        <v>3.2564491198583401E-3</v>
      </c>
      <c r="F122" s="135">
        <v>19838.5</v>
      </c>
      <c r="G122" s="67">
        <f t="shared" si="19"/>
        <v>-5.0104594601406705E-3</v>
      </c>
      <c r="H122" s="1"/>
      <c r="I122" s="1"/>
      <c r="J122" s="1"/>
      <c r="K122" s="1"/>
      <c r="L122" s="1"/>
      <c r="M122" s="1"/>
      <c r="N122" s="1"/>
      <c r="O122" s="1"/>
      <c r="P122" s="1"/>
      <c r="Q122" s="1"/>
      <c r="R122" s="1"/>
      <c r="S122" s="1"/>
      <c r="T122" s="1"/>
      <c r="U122" s="1"/>
      <c r="V122" s="1"/>
      <c r="W122" s="2">
        <v>45455</v>
      </c>
      <c r="X122" s="3">
        <v>1538.3</v>
      </c>
      <c r="Y122" s="1">
        <f t="shared" si="20"/>
        <v>2.1498371335504363E-3</v>
      </c>
      <c r="Z122" s="1"/>
      <c r="AA122" s="2">
        <v>45261</v>
      </c>
      <c r="AB122" s="3">
        <f t="shared" si="24"/>
        <v>1204.9000000000001</v>
      </c>
      <c r="AC122" s="1">
        <f t="shared" si="21"/>
        <v>-7.0869386073341145E-3</v>
      </c>
      <c r="AD122" s="1"/>
      <c r="AE122" s="1"/>
      <c r="AF122" s="1"/>
      <c r="AG122" s="1"/>
      <c r="AH122" s="1"/>
      <c r="AI122" s="1"/>
      <c r="AJ122" s="1"/>
      <c r="AK122" s="1"/>
    </row>
    <row r="123" spans="1:37">
      <c r="A123" s="134">
        <v>45455</v>
      </c>
      <c r="B123" s="135">
        <v>1538.3</v>
      </c>
      <c r="C123" s="133">
        <f t="shared" si="22"/>
        <v>2.1498371335504363E-3</v>
      </c>
      <c r="D123" s="133">
        <v>23322.95</v>
      </c>
      <c r="E123" s="133">
        <f t="shared" si="23"/>
        <v>2.4973296625596664E-3</v>
      </c>
      <c r="F123" s="135">
        <v>19739.099999999999</v>
      </c>
      <c r="G123" s="67">
        <f t="shared" si="19"/>
        <v>-2.50264703051295E-3</v>
      </c>
      <c r="H123" s="1"/>
      <c r="I123" s="1"/>
      <c r="J123" s="1"/>
      <c r="K123" s="1"/>
      <c r="L123" s="1"/>
      <c r="M123" s="1"/>
      <c r="N123" s="1"/>
      <c r="O123" s="1"/>
      <c r="P123" s="1"/>
      <c r="Q123" s="1"/>
      <c r="R123" s="1"/>
      <c r="S123" s="1"/>
      <c r="T123" s="1"/>
      <c r="U123" s="1"/>
      <c r="V123" s="1"/>
      <c r="W123" s="2">
        <v>45454</v>
      </c>
      <c r="X123" s="3">
        <v>1535</v>
      </c>
      <c r="Y123" s="1">
        <f t="shared" si="20"/>
        <v>3.9241334205362133E-3</v>
      </c>
      <c r="Z123" s="1"/>
      <c r="AA123" s="2">
        <v>45260</v>
      </c>
      <c r="AB123" s="3">
        <f t="shared" si="24"/>
        <v>1213.5</v>
      </c>
      <c r="AC123" s="1">
        <f t="shared" si="21"/>
        <v>1.0323869786029505E-2</v>
      </c>
      <c r="AD123" s="1"/>
      <c r="AE123" s="1"/>
      <c r="AF123" s="1"/>
      <c r="AG123" s="1"/>
      <c r="AH123" s="1"/>
      <c r="AI123" s="1"/>
      <c r="AJ123" s="1"/>
      <c r="AK123" s="1"/>
    </row>
    <row r="124" spans="1:37">
      <c r="A124" s="134">
        <v>45454</v>
      </c>
      <c r="B124" s="135">
        <v>1535</v>
      </c>
      <c r="C124" s="133">
        <f t="shared" si="22"/>
        <v>3.9241334205362133E-3</v>
      </c>
      <c r="D124" s="133">
        <v>23264.85</v>
      </c>
      <c r="E124" s="133">
        <f t="shared" si="23"/>
        <v>2.4291463162962046E-4</v>
      </c>
      <c r="F124" s="135">
        <v>19689.7</v>
      </c>
      <c r="G124" s="67">
        <f t="shared" si="19"/>
        <v>4.3169779123095608E-3</v>
      </c>
      <c r="H124" s="1"/>
      <c r="I124" s="1"/>
      <c r="J124" s="1"/>
      <c r="K124" s="1"/>
      <c r="L124" s="1"/>
      <c r="M124" s="1"/>
      <c r="N124" s="1"/>
      <c r="O124" s="1"/>
      <c r="P124" s="1"/>
      <c r="Q124" s="1"/>
      <c r="R124" s="1"/>
      <c r="S124" s="1"/>
      <c r="T124" s="1"/>
      <c r="U124" s="1"/>
      <c r="V124" s="1"/>
      <c r="W124" s="2">
        <v>45453</v>
      </c>
      <c r="X124" s="3">
        <v>1529</v>
      </c>
      <c r="Y124" s="1">
        <f t="shared" si="20"/>
        <v>2.1376085504342113E-2</v>
      </c>
      <c r="Z124" s="1"/>
      <c r="AA124" s="2">
        <v>45259</v>
      </c>
      <c r="AB124" s="3">
        <f t="shared" si="24"/>
        <v>1201.0999999999999</v>
      </c>
      <c r="AC124" s="1">
        <f t="shared" si="21"/>
        <v>8.0570709190095346E-3</v>
      </c>
      <c r="AD124" s="1"/>
      <c r="AE124" s="1"/>
      <c r="AF124" s="1"/>
      <c r="AG124" s="1"/>
      <c r="AH124" s="1"/>
      <c r="AI124" s="1"/>
      <c r="AJ124" s="1"/>
      <c r="AK124" s="1"/>
    </row>
    <row r="125" spans="1:37">
      <c r="A125" s="134">
        <v>45453</v>
      </c>
      <c r="B125" s="135">
        <v>1529</v>
      </c>
      <c r="C125" s="133">
        <f t="shared" si="22"/>
        <v>2.1376085504342113E-2</v>
      </c>
      <c r="D125" s="133">
        <v>23259.200000000001</v>
      </c>
      <c r="E125" s="133">
        <f t="shared" si="23"/>
        <v>-1.3288879633664985E-3</v>
      </c>
      <c r="F125" s="135">
        <v>19774.7</v>
      </c>
      <c r="G125" s="67">
        <f t="shared" si="19"/>
        <v>-9.9470535583346953E-3</v>
      </c>
      <c r="H125" s="1"/>
      <c r="I125" s="1"/>
      <c r="J125" s="1"/>
      <c r="K125" s="1"/>
      <c r="L125" s="1"/>
      <c r="M125" s="1"/>
      <c r="N125" s="1"/>
      <c r="O125" s="1"/>
      <c r="P125" s="1"/>
      <c r="Q125" s="1"/>
      <c r="R125" s="1"/>
      <c r="S125" s="1"/>
      <c r="T125" s="1"/>
      <c r="U125" s="1"/>
      <c r="V125" s="1"/>
      <c r="W125" s="2">
        <v>45450</v>
      </c>
      <c r="X125" s="3">
        <v>1497</v>
      </c>
      <c r="Y125" s="1">
        <f t="shared" si="20"/>
        <v>1.2238826154574278E-2</v>
      </c>
      <c r="Z125" s="1"/>
      <c r="AA125" s="2">
        <v>45258</v>
      </c>
      <c r="AB125" s="3">
        <f t="shared" si="24"/>
        <v>1191.5</v>
      </c>
      <c r="AC125" s="1">
        <f t="shared" si="21"/>
        <v>-3.9707419017763756E-3</v>
      </c>
      <c r="AD125" s="1"/>
      <c r="AE125" s="1"/>
      <c r="AF125" s="1"/>
      <c r="AG125" s="1"/>
      <c r="AH125" s="1"/>
      <c r="AI125" s="1"/>
      <c r="AJ125" s="1"/>
      <c r="AK125" s="1"/>
    </row>
    <row r="126" spans="1:37">
      <c r="A126" s="134">
        <v>45450</v>
      </c>
      <c r="B126" s="135">
        <v>1497</v>
      </c>
      <c r="C126" s="133">
        <f t="shared" si="22"/>
        <v>1.2238826154574278E-2</v>
      </c>
      <c r="D126" s="133">
        <v>23290.15</v>
      </c>
      <c r="E126" s="133">
        <f t="shared" si="23"/>
        <v>2.0539931818380985E-2</v>
      </c>
      <c r="F126" s="135">
        <v>19578</v>
      </c>
      <c r="G126" s="67">
        <f t="shared" si="19"/>
        <v>-1.7667790376953763E-2</v>
      </c>
      <c r="H126" s="1"/>
      <c r="I126" s="1"/>
      <c r="J126" s="1"/>
      <c r="K126" s="1"/>
      <c r="L126" s="1"/>
      <c r="M126" s="1"/>
      <c r="N126" s="1"/>
      <c r="O126" s="1"/>
      <c r="P126" s="1"/>
      <c r="Q126" s="1"/>
      <c r="R126" s="1"/>
      <c r="S126" s="1"/>
      <c r="T126" s="1"/>
      <c r="U126" s="1"/>
      <c r="V126" s="1"/>
      <c r="W126" s="2">
        <v>45449</v>
      </c>
      <c r="X126" s="3">
        <v>1478.9</v>
      </c>
      <c r="Y126" s="1">
        <f t="shared" si="20"/>
        <v>-5.7815126050420051E-3</v>
      </c>
      <c r="Z126" s="1"/>
      <c r="AA126" s="2">
        <v>45254</v>
      </c>
      <c r="AB126" s="3">
        <f t="shared" si="24"/>
        <v>1196.25</v>
      </c>
      <c r="AC126" s="1">
        <f t="shared" si="21"/>
        <v>1.8605245231607448E-2</v>
      </c>
      <c r="AD126" s="1"/>
      <c r="AE126" s="1"/>
      <c r="AF126" s="1"/>
      <c r="AG126" s="1"/>
      <c r="AH126" s="1"/>
      <c r="AI126" s="1"/>
      <c r="AJ126" s="1"/>
      <c r="AK126" s="1"/>
    </row>
    <row r="127" spans="1:37">
      <c r="A127" s="134">
        <v>45449</v>
      </c>
      <c r="B127" s="135">
        <v>1478.9</v>
      </c>
      <c r="C127" s="133">
        <f t="shared" si="22"/>
        <v>-5.7815126050420051E-3</v>
      </c>
      <c r="D127" s="133">
        <v>22821.4</v>
      </c>
      <c r="E127" s="133">
        <f t="shared" si="23"/>
        <v>8.888014553267487E-3</v>
      </c>
      <c r="F127" s="135">
        <v>19232.099999999999</v>
      </c>
      <c r="G127" s="67">
        <f t="shared" si="19"/>
        <v>2.5556231508780947E-3</v>
      </c>
      <c r="H127" s="1"/>
      <c r="I127" s="1"/>
      <c r="J127" s="1"/>
      <c r="K127" s="1"/>
      <c r="L127" s="1"/>
      <c r="M127" s="1"/>
      <c r="N127" s="1"/>
      <c r="O127" s="1"/>
      <c r="P127" s="1"/>
      <c r="Q127" s="1"/>
      <c r="R127" s="1"/>
      <c r="S127" s="1"/>
      <c r="T127" s="1"/>
      <c r="U127" s="1"/>
      <c r="V127" s="1"/>
      <c r="W127" s="2">
        <v>45448</v>
      </c>
      <c r="X127" s="3">
        <v>1487.5</v>
      </c>
      <c r="Y127" s="1">
        <f t="shared" si="20"/>
        <v>1.5358361774743923E-2</v>
      </c>
      <c r="Z127" s="1"/>
      <c r="AA127" s="2">
        <v>45253</v>
      </c>
      <c r="AB127" s="3">
        <f t="shared" si="24"/>
        <v>1174.4000000000001</v>
      </c>
      <c r="AC127" s="1">
        <f t="shared" si="21"/>
        <v>-7.7382355251787271E-2</v>
      </c>
      <c r="AD127" s="1"/>
      <c r="AE127" s="1"/>
      <c r="AF127" s="1"/>
      <c r="AG127" s="1"/>
      <c r="AH127" s="1"/>
      <c r="AI127" s="1"/>
      <c r="AJ127" s="1"/>
      <c r="AK127" s="1"/>
    </row>
    <row r="128" spans="1:37">
      <c r="A128" s="134">
        <v>45448</v>
      </c>
      <c r="B128" s="135">
        <v>1487.5</v>
      </c>
      <c r="C128" s="133">
        <f t="shared" si="22"/>
        <v>1.5358361774743923E-2</v>
      </c>
      <c r="D128" s="133">
        <v>22620.35</v>
      </c>
      <c r="E128" s="133">
        <f t="shared" si="23"/>
        <v>3.3624254609426751E-2</v>
      </c>
      <c r="F128" s="135">
        <v>19281.25</v>
      </c>
      <c r="G128" s="67">
        <f t="shared" si="19"/>
        <v>-3.5168881685575304E-2</v>
      </c>
      <c r="H128" s="1"/>
      <c r="I128" s="1"/>
      <c r="J128" s="1"/>
      <c r="K128" s="1"/>
      <c r="L128" s="1"/>
      <c r="M128" s="1"/>
      <c r="N128" s="1"/>
      <c r="O128" s="1"/>
      <c r="P128" s="1"/>
      <c r="Q128" s="1"/>
      <c r="R128" s="1"/>
      <c r="S128" s="1"/>
      <c r="T128" s="1"/>
      <c r="U128" s="1"/>
      <c r="V128" s="1"/>
      <c r="W128" s="2">
        <v>45447</v>
      </c>
      <c r="X128" s="3">
        <v>1465</v>
      </c>
      <c r="Y128" s="1">
        <f t="shared" si="20"/>
        <v>4.8010973936900569E-3</v>
      </c>
      <c r="Z128" s="1"/>
      <c r="AA128" s="2">
        <v>45252</v>
      </c>
      <c r="AB128" s="3">
        <f t="shared" si="24"/>
        <v>1272.9000000000001</v>
      </c>
      <c r="AC128" s="1">
        <f t="shared" si="21"/>
        <v>1.5071770334928347E-2</v>
      </c>
      <c r="AD128" s="1"/>
      <c r="AE128" s="1"/>
      <c r="AF128" s="1"/>
      <c r="AG128" s="1"/>
      <c r="AH128" s="1"/>
      <c r="AI128" s="1"/>
      <c r="AJ128" s="1"/>
      <c r="AK128" s="1"/>
    </row>
    <row r="129" spans="1:37">
      <c r="A129" s="134">
        <v>45447</v>
      </c>
      <c r="B129" s="135">
        <v>1465</v>
      </c>
      <c r="C129" s="133">
        <f t="shared" si="22"/>
        <v>4.8010973936900569E-3</v>
      </c>
      <c r="D129" s="133">
        <v>21884.5</v>
      </c>
      <c r="E129" s="133">
        <f t="shared" si="23"/>
        <v>-5.9293583620975032E-2</v>
      </c>
      <c r="F129" s="135">
        <v>18603.150000000001</v>
      </c>
      <c r="G129" s="67">
        <f t="shared" si="19"/>
        <v>1.4029882036106889E-2</v>
      </c>
      <c r="H129" s="1"/>
      <c r="I129" s="1"/>
      <c r="J129" s="1"/>
      <c r="K129" s="1"/>
      <c r="L129" s="1"/>
      <c r="M129" s="1"/>
      <c r="N129" s="1"/>
      <c r="O129" s="1"/>
      <c r="P129" s="1"/>
      <c r="Q129" s="1"/>
      <c r="R129" s="1"/>
      <c r="S129" s="1"/>
      <c r="T129" s="1"/>
      <c r="U129" s="1"/>
      <c r="V129" s="1"/>
      <c r="W129" s="2">
        <v>45446</v>
      </c>
      <c r="X129" s="3">
        <v>1458</v>
      </c>
      <c r="Y129" s="1">
        <f t="shared" si="20"/>
        <v>6.2111801242235032E-3</v>
      </c>
      <c r="Z129" s="1"/>
      <c r="AA129" s="2">
        <v>45251</v>
      </c>
      <c r="AB129" s="3">
        <f t="shared" si="24"/>
        <v>1254</v>
      </c>
      <c r="AC129" s="1">
        <f t="shared" si="21"/>
        <v>4.2042042042043093E-3</v>
      </c>
      <c r="AD129" s="1"/>
      <c r="AE129" s="1"/>
      <c r="AF129" s="1"/>
      <c r="AG129" s="1"/>
      <c r="AH129" s="1"/>
      <c r="AI129" s="1"/>
      <c r="AJ129" s="1"/>
      <c r="AK129" s="1"/>
    </row>
    <row r="130" spans="1:37">
      <c r="A130" s="134">
        <v>45446</v>
      </c>
      <c r="B130" s="135">
        <v>1458</v>
      </c>
      <c r="C130" s="133">
        <f t="shared" si="22"/>
        <v>6.2111801242235032E-3</v>
      </c>
      <c r="D130" s="133">
        <v>23263.9</v>
      </c>
      <c r="E130" s="133">
        <f t="shared" si="23"/>
        <v>3.2542264554585643E-2</v>
      </c>
      <c r="F130" s="135">
        <v>18864.150000000001</v>
      </c>
      <c r="G130" s="67">
        <f t="shared" si="19"/>
        <v>-3.5967695337453254E-3</v>
      </c>
      <c r="H130" s="1"/>
      <c r="I130" s="1"/>
      <c r="J130" s="1"/>
      <c r="K130" s="1"/>
      <c r="L130" s="1"/>
      <c r="M130" s="1"/>
      <c r="N130" s="1"/>
      <c r="O130" s="1"/>
      <c r="P130" s="1"/>
      <c r="Q130" s="1"/>
      <c r="R130" s="1"/>
      <c r="S130" s="1"/>
      <c r="T130" s="1"/>
      <c r="U130" s="1"/>
      <c r="V130" s="1"/>
      <c r="W130" s="2">
        <v>45443</v>
      </c>
      <c r="X130" s="3">
        <v>1449</v>
      </c>
      <c r="Y130" s="1">
        <f t="shared" si="20"/>
        <v>-1.4285714285714235E-2</v>
      </c>
      <c r="Z130" s="1"/>
      <c r="AA130" s="2">
        <v>45250</v>
      </c>
      <c r="AB130" s="3">
        <f t="shared" si="24"/>
        <v>1248.75</v>
      </c>
      <c r="AC130" s="1"/>
      <c r="AD130" s="1"/>
      <c r="AE130" s="1"/>
      <c r="AF130" s="1"/>
      <c r="AG130" s="1"/>
      <c r="AH130" s="1"/>
      <c r="AI130" s="1"/>
      <c r="AJ130" s="1"/>
      <c r="AK130" s="1"/>
    </row>
    <row r="131" spans="1:37">
      <c r="A131" s="134">
        <v>45443</v>
      </c>
      <c r="B131" s="135">
        <v>1449</v>
      </c>
      <c r="C131" s="133">
        <f t="shared" si="22"/>
        <v>-1.4285714285714235E-2</v>
      </c>
      <c r="D131" s="133">
        <v>22530.7</v>
      </c>
      <c r="E131" s="133">
        <f t="shared" si="23"/>
        <v>1.8698321153114428E-3</v>
      </c>
      <c r="F131" s="135">
        <v>18796.3</v>
      </c>
      <c r="G131" s="67">
        <f t="shared" si="19"/>
        <v>9.294382405047763E-3</v>
      </c>
      <c r="H131" s="1"/>
      <c r="I131" s="1"/>
      <c r="J131" s="1"/>
      <c r="K131" s="1"/>
      <c r="L131" s="1"/>
      <c r="M131" s="1"/>
      <c r="N131" s="1"/>
      <c r="O131" s="1"/>
      <c r="P131" s="1"/>
      <c r="Q131" s="1"/>
      <c r="R131" s="1"/>
      <c r="S131" s="1"/>
      <c r="T131" s="1"/>
      <c r="U131" s="1"/>
      <c r="V131" s="1"/>
      <c r="W131" s="2">
        <v>45442</v>
      </c>
      <c r="X131" s="3">
        <v>1470</v>
      </c>
      <c r="Y131" s="1">
        <f t="shared" si="20"/>
        <v>-1.5701898289196214E-2</v>
      </c>
      <c r="Z131" s="1"/>
      <c r="AA131" s="1"/>
      <c r="AB131" s="1"/>
      <c r="AC131" s="1"/>
      <c r="AD131" s="1"/>
      <c r="AE131" s="1"/>
      <c r="AF131" s="1"/>
      <c r="AG131" s="1"/>
      <c r="AH131" s="1"/>
      <c r="AI131" s="1"/>
      <c r="AJ131" s="1"/>
      <c r="AK131" s="1"/>
    </row>
    <row r="132" spans="1:37">
      <c r="A132" s="134">
        <v>45442</v>
      </c>
      <c r="B132" s="135">
        <v>1470</v>
      </c>
      <c r="C132" s="133">
        <f t="shared" si="22"/>
        <v>-1.5701898289196214E-2</v>
      </c>
      <c r="D132" s="133">
        <v>22488.65</v>
      </c>
      <c r="E132" s="133">
        <f t="shared" si="23"/>
        <v>-9.515650944518117E-3</v>
      </c>
      <c r="F132" s="135">
        <v>18971</v>
      </c>
      <c r="G132" s="67">
        <f t="shared" si="19"/>
        <v>1.8467661167044458E-2</v>
      </c>
      <c r="H132" s="1"/>
      <c r="I132" s="1"/>
      <c r="J132" s="1"/>
      <c r="K132" s="1"/>
      <c r="L132" s="1"/>
      <c r="M132" s="1"/>
      <c r="N132" s="1"/>
      <c r="O132" s="1"/>
      <c r="P132" s="1"/>
      <c r="Q132" s="1"/>
      <c r="R132" s="1"/>
      <c r="S132" s="1"/>
      <c r="T132" s="1"/>
      <c r="U132" s="1"/>
      <c r="V132" s="1"/>
      <c r="W132" s="2">
        <v>45441</v>
      </c>
      <c r="X132" s="3">
        <v>1493.45</v>
      </c>
      <c r="Y132" s="1">
        <f t="shared" si="20"/>
        <v>9.0878378378378422E-3</v>
      </c>
      <c r="Z132" s="1"/>
      <c r="AA132" s="1"/>
      <c r="AB132" s="1"/>
      <c r="AC132" s="1"/>
      <c r="AD132" s="1"/>
      <c r="AE132" s="1"/>
      <c r="AF132" s="1"/>
      <c r="AG132" s="1"/>
      <c r="AH132" s="1"/>
      <c r="AI132" s="1"/>
      <c r="AJ132" s="1"/>
      <c r="AK132" s="1"/>
    </row>
    <row r="133" spans="1:37">
      <c r="A133" s="134">
        <v>45441</v>
      </c>
      <c r="B133" s="135">
        <v>1493.45</v>
      </c>
      <c r="C133" s="133">
        <f t="shared" si="22"/>
        <v>9.0878378378378422E-3</v>
      </c>
      <c r="D133" s="133">
        <v>22704.7</v>
      </c>
      <c r="E133" s="133">
        <f t="shared" si="23"/>
        <v>-8.015064563977492E-3</v>
      </c>
      <c r="F133" s="135">
        <v>19321.349999999999</v>
      </c>
      <c r="G133" s="67">
        <f t="shared" si="19"/>
        <v>-5.4654566062929399E-3</v>
      </c>
      <c r="H133" s="1"/>
      <c r="I133" s="1"/>
      <c r="J133" s="1"/>
      <c r="K133" s="1"/>
      <c r="L133" s="1"/>
      <c r="M133" s="1"/>
      <c r="N133" s="1"/>
      <c r="O133" s="1"/>
      <c r="P133" s="1"/>
      <c r="Q133" s="1"/>
      <c r="R133" s="1"/>
      <c r="S133" s="1"/>
      <c r="T133" s="1"/>
      <c r="U133" s="1"/>
      <c r="V133" s="1"/>
      <c r="W133" s="2">
        <v>45440</v>
      </c>
      <c r="X133" s="3">
        <v>1480</v>
      </c>
      <c r="Y133" s="1">
        <f t="shared" si="20"/>
        <v>1.0822510822510178E-3</v>
      </c>
      <c r="Z133" s="1"/>
      <c r="AA133" s="1"/>
      <c r="AB133" s="1"/>
      <c r="AC133" s="1"/>
      <c r="AD133" s="1"/>
      <c r="AE133" s="1"/>
      <c r="AF133" s="1"/>
      <c r="AG133" s="1"/>
      <c r="AH133" s="1"/>
      <c r="AI133" s="1"/>
      <c r="AJ133" s="1"/>
      <c r="AK133" s="1"/>
    </row>
    <row r="134" spans="1:37">
      <c r="A134" s="134">
        <v>45440</v>
      </c>
      <c r="B134" s="135">
        <v>1480</v>
      </c>
      <c r="C134" s="133">
        <f t="shared" si="22"/>
        <v>1.0822510822510178E-3</v>
      </c>
      <c r="D134" s="133">
        <v>22888.15</v>
      </c>
      <c r="E134" s="133">
        <f t="shared" si="23"/>
        <v>-1.9317604529824894E-3</v>
      </c>
      <c r="F134" s="135">
        <v>19215.75</v>
      </c>
      <c r="G134" s="67">
        <f t="shared" si="19"/>
        <v>-5.4018188204987272E-3</v>
      </c>
      <c r="H134" s="1"/>
      <c r="I134" s="1"/>
      <c r="J134" s="1"/>
      <c r="K134" s="1"/>
      <c r="L134" s="1"/>
      <c r="M134" s="1"/>
      <c r="N134" s="1"/>
      <c r="O134" s="1"/>
      <c r="P134" s="1"/>
      <c r="Q134" s="1"/>
      <c r="R134" s="1"/>
      <c r="S134" s="1"/>
      <c r="T134" s="1"/>
      <c r="U134" s="1"/>
      <c r="V134" s="1"/>
      <c r="W134" s="2">
        <v>45439</v>
      </c>
      <c r="X134" s="3">
        <v>1478.4</v>
      </c>
      <c r="Y134" s="1">
        <f t="shared" si="20"/>
        <v>-5.5828344655949325E-3</v>
      </c>
      <c r="Z134" s="1"/>
      <c r="AA134" s="1"/>
      <c r="AB134" s="1"/>
      <c r="AC134" s="1"/>
      <c r="AD134" s="1"/>
      <c r="AE134" s="1"/>
      <c r="AF134" s="1"/>
      <c r="AG134" s="1"/>
      <c r="AH134" s="1"/>
      <c r="AI134" s="1"/>
      <c r="AJ134" s="1"/>
      <c r="AK134" s="1"/>
    </row>
    <row r="135" spans="1:37">
      <c r="A135" s="134">
        <v>45439</v>
      </c>
      <c r="B135" s="135">
        <v>1478.4</v>
      </c>
      <c r="C135" s="133">
        <f t="shared" si="22"/>
        <v>-5.5828344655949325E-3</v>
      </c>
      <c r="D135" s="133">
        <v>22932.45</v>
      </c>
      <c r="E135" s="133">
        <f t="shared" si="23"/>
        <v>-1.073741892486324E-3</v>
      </c>
      <c r="F135" s="135">
        <v>19111.95</v>
      </c>
      <c r="G135" s="67">
        <f t="shared" si="19"/>
        <v>3.9504079908114775E-4</v>
      </c>
      <c r="H135" s="1"/>
      <c r="I135" s="1"/>
      <c r="J135" s="1"/>
      <c r="K135" s="1"/>
      <c r="L135" s="1"/>
      <c r="M135" s="1"/>
      <c r="N135" s="1"/>
      <c r="O135" s="1"/>
      <c r="P135" s="1"/>
      <c r="Q135" s="1"/>
      <c r="R135" s="1"/>
      <c r="S135" s="1"/>
      <c r="T135" s="1"/>
      <c r="U135" s="1"/>
      <c r="V135" s="1"/>
      <c r="W135" s="2">
        <v>45436</v>
      </c>
      <c r="X135" s="3">
        <v>1486.7</v>
      </c>
      <c r="Y135" s="1">
        <f t="shared" si="20"/>
        <v>-5.378151260504449E-4</v>
      </c>
      <c r="Z135" s="1"/>
      <c r="AA135" s="1"/>
      <c r="AB135" s="1"/>
      <c r="AC135" s="1"/>
      <c r="AD135" s="1"/>
      <c r="AE135" s="1"/>
      <c r="AF135" s="1"/>
      <c r="AG135" s="1"/>
      <c r="AH135" s="1"/>
      <c r="AI135" s="1"/>
      <c r="AJ135" s="1"/>
      <c r="AK135" s="1"/>
    </row>
    <row r="136" spans="1:37">
      <c r="A136" s="134">
        <v>45436</v>
      </c>
      <c r="B136" s="135">
        <v>1486.7</v>
      </c>
      <c r="C136" s="133">
        <f t="shared" si="22"/>
        <v>-5.378151260504449E-4</v>
      </c>
      <c r="D136" s="133">
        <v>22957.1</v>
      </c>
      <c r="E136" s="133">
        <f t="shared" si="23"/>
        <v>-4.5934172629780168E-4</v>
      </c>
      <c r="F136" s="135">
        <v>19119.5</v>
      </c>
      <c r="G136" s="67">
        <f t="shared" si="19"/>
        <v>5.0655090352780263E-3</v>
      </c>
      <c r="H136" s="1"/>
      <c r="I136" s="1"/>
      <c r="J136" s="1"/>
      <c r="K136" s="1"/>
      <c r="L136" s="1"/>
      <c r="M136" s="1"/>
      <c r="N136" s="1"/>
      <c r="O136" s="1"/>
      <c r="P136" s="1"/>
      <c r="Q136" s="1"/>
      <c r="R136" s="1"/>
      <c r="S136" s="1"/>
      <c r="T136" s="1"/>
      <c r="U136" s="1"/>
      <c r="V136" s="1"/>
      <c r="W136" s="2">
        <v>45435</v>
      </c>
      <c r="X136" s="3">
        <v>1487.5</v>
      </c>
      <c r="Y136" s="1">
        <f t="shared" si="20"/>
        <v>3.3726812816188279E-3</v>
      </c>
      <c r="Z136" s="1"/>
      <c r="AA136" s="1"/>
      <c r="AB136" s="1"/>
      <c r="AC136" s="1"/>
      <c r="AD136" s="1"/>
      <c r="AE136" s="1"/>
      <c r="AF136" s="1"/>
      <c r="AG136" s="1"/>
      <c r="AH136" s="1"/>
      <c r="AI136" s="1"/>
      <c r="AJ136" s="1"/>
      <c r="AK136" s="1"/>
    </row>
    <row r="137" spans="1:37">
      <c r="A137" s="134">
        <v>45435</v>
      </c>
      <c r="B137" s="135">
        <v>1487.5</v>
      </c>
      <c r="C137" s="133">
        <f t="shared" si="22"/>
        <v>3.3726812816188279E-3</v>
      </c>
      <c r="D137" s="133">
        <v>22967.65</v>
      </c>
      <c r="E137" s="133">
        <f t="shared" si="23"/>
        <v>1.6366637460283773E-2</v>
      </c>
      <c r="F137" s="135">
        <v>19216.349999999999</v>
      </c>
      <c r="G137" s="67">
        <f t="shared" ref="G137:G200" si="25">F138/F137-1</f>
        <v>5.2585428554332569E-3</v>
      </c>
      <c r="H137" s="1"/>
      <c r="I137" s="1"/>
      <c r="J137" s="1"/>
      <c r="K137" s="1"/>
      <c r="L137" s="1"/>
      <c r="M137" s="1"/>
      <c r="N137" s="1"/>
      <c r="O137" s="1"/>
      <c r="P137" s="1"/>
      <c r="Q137" s="1"/>
      <c r="R137" s="1"/>
      <c r="S137" s="1"/>
      <c r="T137" s="1"/>
      <c r="U137" s="1"/>
      <c r="V137" s="1"/>
      <c r="W137" s="2">
        <v>45434</v>
      </c>
      <c r="X137" s="3">
        <v>1482.5</v>
      </c>
      <c r="Y137" s="1">
        <f t="shared" ref="Y137:Y200" si="26">X137/X138-1</f>
        <v>2.7373527373527384E-2</v>
      </c>
      <c r="Z137" s="1"/>
      <c r="AA137" s="1"/>
      <c r="AB137" s="1"/>
      <c r="AC137" s="1"/>
      <c r="AD137" s="1"/>
      <c r="AE137" s="1"/>
      <c r="AF137" s="1"/>
      <c r="AG137" s="1"/>
      <c r="AH137" s="1"/>
      <c r="AI137" s="1"/>
      <c r="AJ137" s="1"/>
      <c r="AK137" s="1"/>
    </row>
    <row r="138" spans="1:37">
      <c r="A138" s="134">
        <v>45434</v>
      </c>
      <c r="B138" s="135">
        <v>1482.5</v>
      </c>
      <c r="C138" s="133">
        <f t="shared" ref="C138:C201" si="27">B138/B139-1</f>
        <v>2.7373527373527384E-2</v>
      </c>
      <c r="D138" s="133">
        <v>22597.8</v>
      </c>
      <c r="E138" s="133">
        <f t="shared" ref="E138:E201" si="28">D138/D139-1</f>
        <v>3.0516155807722711E-3</v>
      </c>
      <c r="F138" s="135">
        <v>19317.400000000001</v>
      </c>
      <c r="G138" s="67">
        <f t="shared" si="25"/>
        <v>-5.8082350626896817E-3</v>
      </c>
      <c r="H138" s="1"/>
      <c r="I138" s="1"/>
      <c r="J138" s="1"/>
      <c r="K138" s="1"/>
      <c r="L138" s="1"/>
      <c r="M138" s="1"/>
      <c r="N138" s="1"/>
      <c r="O138" s="1"/>
      <c r="P138" s="1"/>
      <c r="Q138" s="1"/>
      <c r="R138" s="1"/>
      <c r="S138" s="1"/>
      <c r="T138" s="1"/>
      <c r="U138" s="1"/>
      <c r="V138" s="1"/>
      <c r="W138" s="2">
        <v>45433</v>
      </c>
      <c r="X138" s="3">
        <v>1443</v>
      </c>
      <c r="Y138" s="1">
        <f t="shared" si="26"/>
        <v>2.8510334996436182E-2</v>
      </c>
      <c r="Z138" s="1"/>
      <c r="AA138" s="1"/>
      <c r="AB138" s="1"/>
      <c r="AC138" s="1"/>
      <c r="AD138" s="1"/>
      <c r="AE138" s="1"/>
      <c r="AF138" s="1"/>
      <c r="AG138" s="1"/>
      <c r="AH138" s="1"/>
      <c r="AI138" s="1"/>
      <c r="AJ138" s="1"/>
      <c r="AK138" s="1"/>
    </row>
    <row r="139" spans="1:37">
      <c r="A139" s="134">
        <v>45433</v>
      </c>
      <c r="B139" s="135">
        <v>1443</v>
      </c>
      <c r="C139" s="133">
        <f t="shared" si="27"/>
        <v>2.8510334996436182E-2</v>
      </c>
      <c r="D139" s="133">
        <v>22529.05</v>
      </c>
      <c r="E139" s="133">
        <f t="shared" si="28"/>
        <v>1.2021153675227936E-3</v>
      </c>
      <c r="F139" s="135">
        <v>19205.2</v>
      </c>
      <c r="G139" s="67">
        <f t="shared" si="25"/>
        <v>-5.061129277487364E-3</v>
      </c>
      <c r="H139" s="1"/>
      <c r="I139" s="1"/>
      <c r="J139" s="1"/>
      <c r="K139" s="1"/>
      <c r="L139" s="1"/>
      <c r="M139" s="1"/>
      <c r="N139" s="1"/>
      <c r="O139" s="1"/>
      <c r="P139" s="1"/>
      <c r="Q139" s="1"/>
      <c r="R139" s="1"/>
      <c r="S139" s="1"/>
      <c r="T139" s="1"/>
      <c r="U139" s="1"/>
      <c r="V139" s="1"/>
      <c r="W139" s="2">
        <v>45430</v>
      </c>
      <c r="X139" s="3">
        <v>1403</v>
      </c>
      <c r="Y139" s="1">
        <f t="shared" si="26"/>
        <v>3.5765379113019691E-3</v>
      </c>
      <c r="Z139" s="1"/>
      <c r="AA139" s="1"/>
      <c r="AB139" s="1"/>
      <c r="AC139" s="1"/>
      <c r="AD139" s="1"/>
      <c r="AE139" s="1"/>
      <c r="AF139" s="1"/>
      <c r="AG139" s="1"/>
      <c r="AH139" s="1"/>
      <c r="AI139" s="1"/>
      <c r="AJ139" s="1"/>
      <c r="AK139" s="1"/>
    </row>
    <row r="140" spans="1:37">
      <c r="A140" s="134">
        <v>45430</v>
      </c>
      <c r="B140" s="135">
        <v>1403</v>
      </c>
      <c r="C140" s="133">
        <f t="shared" si="27"/>
        <v>3.5765379113019691E-3</v>
      </c>
      <c r="D140" s="133">
        <v>22502</v>
      </c>
      <c r="E140" s="133">
        <f t="shared" si="28"/>
        <v>1.5979631533733496E-3</v>
      </c>
      <c r="F140" s="135">
        <v>19108</v>
      </c>
      <c r="G140" s="67">
        <f t="shared" si="25"/>
        <v>-6.6150303537786392E-3</v>
      </c>
      <c r="H140" s="1"/>
      <c r="I140" s="1"/>
      <c r="J140" s="1"/>
      <c r="K140" s="1"/>
      <c r="L140" s="1"/>
      <c r="M140" s="1"/>
      <c r="N140" s="1"/>
      <c r="O140" s="1"/>
      <c r="P140" s="1"/>
      <c r="Q140" s="1"/>
      <c r="R140" s="1"/>
      <c r="S140" s="1"/>
      <c r="T140" s="1"/>
      <c r="U140" s="1"/>
      <c r="V140" s="1"/>
      <c r="W140" s="2">
        <v>45429</v>
      </c>
      <c r="X140" s="3">
        <v>1398</v>
      </c>
      <c r="Y140" s="1">
        <f t="shared" si="26"/>
        <v>-1.5943406187308717E-2</v>
      </c>
      <c r="Z140" s="1"/>
      <c r="AA140" s="1"/>
      <c r="AB140" s="1"/>
      <c r="AC140" s="1"/>
      <c r="AD140" s="1"/>
      <c r="AE140" s="1"/>
      <c r="AF140" s="1"/>
      <c r="AG140" s="1"/>
      <c r="AH140" s="1"/>
      <c r="AI140" s="1"/>
      <c r="AJ140" s="1"/>
      <c r="AK140" s="1"/>
    </row>
    <row r="141" spans="1:37">
      <c r="A141" s="134">
        <v>45429</v>
      </c>
      <c r="B141" s="135">
        <v>1398</v>
      </c>
      <c r="C141" s="133">
        <f t="shared" si="27"/>
        <v>-1.5943406187308717E-2</v>
      </c>
      <c r="D141" s="133">
        <v>22466.1</v>
      </c>
      <c r="E141" s="133">
        <f t="shared" si="28"/>
        <v>2.7785402955295968E-3</v>
      </c>
      <c r="F141" s="135">
        <v>18981.599999999999</v>
      </c>
      <c r="G141" s="67">
        <f t="shared" si="25"/>
        <v>7.6653179921626347E-4</v>
      </c>
      <c r="H141" s="1"/>
      <c r="I141" s="1"/>
      <c r="J141" s="1"/>
      <c r="K141" s="1"/>
      <c r="L141" s="1"/>
      <c r="M141" s="1"/>
      <c r="N141" s="1"/>
      <c r="O141" s="1"/>
      <c r="P141" s="1"/>
      <c r="Q141" s="1"/>
      <c r="R141" s="1"/>
      <c r="S141" s="1"/>
      <c r="T141" s="1"/>
      <c r="U141" s="1"/>
      <c r="V141" s="1"/>
      <c r="W141" s="2">
        <v>45428</v>
      </c>
      <c r="X141" s="3">
        <v>1420.65</v>
      </c>
      <c r="Y141" s="1">
        <f t="shared" si="26"/>
        <v>1.077908217716117E-2</v>
      </c>
      <c r="Z141" s="1"/>
      <c r="AA141" s="1"/>
      <c r="AB141" s="1"/>
      <c r="AC141" s="1"/>
      <c r="AD141" s="1"/>
      <c r="AE141" s="1"/>
      <c r="AF141" s="1"/>
      <c r="AG141" s="1"/>
      <c r="AH141" s="1"/>
      <c r="AI141" s="1"/>
      <c r="AJ141" s="1"/>
      <c r="AK141" s="1"/>
    </row>
    <row r="142" spans="1:37">
      <c r="A142" s="134">
        <v>45428</v>
      </c>
      <c r="B142" s="135">
        <v>1420.65</v>
      </c>
      <c r="C142" s="133">
        <f t="shared" si="27"/>
        <v>1.077908217716117E-2</v>
      </c>
      <c r="D142" s="133">
        <v>22403.85</v>
      </c>
      <c r="E142" s="133">
        <f t="shared" si="28"/>
        <v>9.1574307843724778E-3</v>
      </c>
      <c r="F142" s="135">
        <v>18996.150000000001</v>
      </c>
      <c r="G142" s="67">
        <f t="shared" si="25"/>
        <v>-5.7695901537944128E-3</v>
      </c>
      <c r="H142" s="1"/>
      <c r="I142" s="1"/>
      <c r="J142" s="1"/>
      <c r="K142" s="1"/>
      <c r="L142" s="1"/>
      <c r="M142" s="1"/>
      <c r="N142" s="1"/>
      <c r="O142" s="1"/>
      <c r="P142" s="1"/>
      <c r="Q142" s="1"/>
      <c r="R142" s="1"/>
      <c r="S142" s="1"/>
      <c r="T142" s="1"/>
      <c r="U142" s="1"/>
      <c r="V142" s="1"/>
      <c r="W142" s="2">
        <v>45427</v>
      </c>
      <c r="X142" s="3">
        <v>1405.5</v>
      </c>
      <c r="Y142" s="1">
        <f t="shared" si="26"/>
        <v>3.4825504343984681E-2</v>
      </c>
      <c r="Z142" s="1"/>
      <c r="AA142" s="1"/>
      <c r="AB142" s="1"/>
      <c r="AC142" s="1"/>
      <c r="AD142" s="1"/>
      <c r="AE142" s="1"/>
      <c r="AF142" s="1"/>
      <c r="AG142" s="1"/>
      <c r="AH142" s="1"/>
      <c r="AI142" s="1"/>
      <c r="AJ142" s="1"/>
      <c r="AK142" s="1"/>
    </row>
    <row r="143" spans="1:37">
      <c r="A143" s="134">
        <v>45427</v>
      </c>
      <c r="B143" s="135">
        <v>1405.5</v>
      </c>
      <c r="C143" s="133">
        <f t="shared" si="27"/>
        <v>3.4825504343984681E-2</v>
      </c>
      <c r="D143" s="133">
        <v>22200.55</v>
      </c>
      <c r="E143" s="133">
        <f t="shared" si="28"/>
        <v>-7.7865320001702099E-4</v>
      </c>
      <c r="F143" s="135">
        <v>18886.55</v>
      </c>
      <c r="G143" s="67">
        <f t="shared" si="25"/>
        <v>-1.3607567289950495E-3</v>
      </c>
      <c r="H143" s="1"/>
      <c r="I143" s="1"/>
      <c r="J143" s="1"/>
      <c r="K143" s="1"/>
      <c r="L143" s="1"/>
      <c r="M143" s="1"/>
      <c r="N143" s="1"/>
      <c r="O143" s="1"/>
      <c r="P143" s="1"/>
      <c r="Q143" s="1"/>
      <c r="R143" s="1"/>
      <c r="S143" s="1"/>
      <c r="T143" s="1"/>
      <c r="U143" s="1"/>
      <c r="V143" s="1"/>
      <c r="W143" s="2">
        <v>45426</v>
      </c>
      <c r="X143" s="3">
        <v>1358.2</v>
      </c>
      <c r="Y143" s="1">
        <f t="shared" si="26"/>
        <v>-4.4194229415904229E-2</v>
      </c>
      <c r="Z143" s="1"/>
      <c r="AA143" s="1"/>
      <c r="AB143" s="1"/>
      <c r="AC143" s="1"/>
      <c r="AD143" s="1"/>
      <c r="AE143" s="1"/>
      <c r="AF143" s="1"/>
      <c r="AG143" s="1"/>
      <c r="AH143" s="1"/>
      <c r="AI143" s="1"/>
      <c r="AJ143" s="1"/>
      <c r="AK143" s="1"/>
    </row>
    <row r="144" spans="1:37">
      <c r="A144" s="134">
        <v>45426</v>
      </c>
      <c r="B144" s="135">
        <v>1358.2</v>
      </c>
      <c r="C144" s="133">
        <f t="shared" si="27"/>
        <v>-4.4194229415904229E-2</v>
      </c>
      <c r="D144" s="133">
        <v>22217.85</v>
      </c>
      <c r="E144" s="133">
        <f t="shared" si="28"/>
        <v>5.1483777859713253E-3</v>
      </c>
      <c r="F144" s="135">
        <v>18860.849999999999</v>
      </c>
      <c r="G144" s="67">
        <f t="shared" si="25"/>
        <v>4.1435036066774789E-3</v>
      </c>
      <c r="H144" s="1"/>
      <c r="I144" s="1"/>
      <c r="J144" s="1"/>
      <c r="K144" s="1"/>
      <c r="L144" s="1"/>
      <c r="M144" s="1"/>
      <c r="N144" s="1"/>
      <c r="O144" s="1"/>
      <c r="P144" s="1"/>
      <c r="Q144" s="1"/>
      <c r="R144" s="1"/>
      <c r="S144" s="1"/>
      <c r="T144" s="1"/>
      <c r="U144" s="1"/>
      <c r="V144" s="1"/>
      <c r="W144" s="2">
        <v>45425</v>
      </c>
      <c r="X144" s="3">
        <v>1421</v>
      </c>
      <c r="Y144" s="1">
        <f t="shared" si="26"/>
        <v>6.0447761194029948E-2</v>
      </c>
      <c r="Z144" s="1"/>
      <c r="AA144" s="1"/>
      <c r="AB144" s="1"/>
      <c r="AC144" s="1"/>
      <c r="AD144" s="1"/>
      <c r="AE144" s="1"/>
      <c r="AF144" s="1"/>
      <c r="AG144" s="1"/>
      <c r="AH144" s="1"/>
      <c r="AI144" s="1"/>
      <c r="AJ144" s="1"/>
      <c r="AK144" s="1"/>
    </row>
    <row r="145" spans="1:37">
      <c r="A145" s="134">
        <v>45425</v>
      </c>
      <c r="B145" s="135">
        <v>1421</v>
      </c>
      <c r="C145" s="133">
        <f t="shared" si="27"/>
        <v>6.0447761194029948E-2</v>
      </c>
      <c r="D145" s="133">
        <v>22104.05</v>
      </c>
      <c r="E145" s="133">
        <f t="shared" si="28"/>
        <v>2.2148971671078765E-3</v>
      </c>
      <c r="F145" s="135">
        <v>18939</v>
      </c>
      <c r="G145" s="67">
        <f t="shared" si="25"/>
        <v>-1.7400601932520132E-2</v>
      </c>
      <c r="H145" s="1"/>
      <c r="I145" s="1"/>
      <c r="J145" s="1"/>
      <c r="K145" s="1"/>
      <c r="L145" s="1"/>
      <c r="M145" s="1"/>
      <c r="N145" s="1"/>
      <c r="O145" s="1"/>
      <c r="P145" s="1"/>
      <c r="Q145" s="1"/>
      <c r="R145" s="1"/>
      <c r="S145" s="1"/>
      <c r="T145" s="1"/>
      <c r="U145" s="1"/>
      <c r="V145" s="1"/>
      <c r="W145" s="2">
        <v>45422</v>
      </c>
      <c r="X145" s="3">
        <v>1340</v>
      </c>
      <c r="Y145" s="1">
        <f t="shared" si="26"/>
        <v>-1.8925943551634461E-2</v>
      </c>
      <c r="Z145" s="1"/>
      <c r="AA145" s="1"/>
      <c r="AB145" s="1"/>
      <c r="AC145" s="1"/>
      <c r="AD145" s="1"/>
      <c r="AE145" s="1"/>
      <c r="AF145" s="1"/>
      <c r="AG145" s="1"/>
      <c r="AH145" s="1"/>
      <c r="AI145" s="1"/>
      <c r="AJ145" s="1"/>
      <c r="AK145" s="1"/>
    </row>
    <row r="146" spans="1:37">
      <c r="A146" s="134">
        <v>45422</v>
      </c>
      <c r="B146" s="135">
        <v>1340</v>
      </c>
      <c r="C146" s="133">
        <f t="shared" si="27"/>
        <v>-1.8925943551634461E-2</v>
      </c>
      <c r="D146" s="133">
        <v>22055.200000000001</v>
      </c>
      <c r="E146" s="133">
        <f t="shared" si="28"/>
        <v>4.4495047250370234E-3</v>
      </c>
      <c r="F146" s="135">
        <v>18609.45</v>
      </c>
      <c r="G146" s="67">
        <f t="shared" si="25"/>
        <v>-9.2641104385138284E-3</v>
      </c>
      <c r="H146" s="1"/>
      <c r="I146" s="1"/>
      <c r="J146" s="1"/>
      <c r="K146" s="1"/>
      <c r="L146" s="1"/>
      <c r="M146" s="1"/>
      <c r="N146" s="1"/>
      <c r="O146" s="1"/>
      <c r="P146" s="1"/>
      <c r="Q146" s="1"/>
      <c r="R146" s="1"/>
      <c r="S146" s="1"/>
      <c r="T146" s="1"/>
      <c r="U146" s="1"/>
      <c r="V146" s="1"/>
      <c r="W146" s="2">
        <v>45421</v>
      </c>
      <c r="X146" s="3">
        <v>1365.85</v>
      </c>
      <c r="Y146" s="1">
        <f t="shared" si="26"/>
        <v>-1.4467133270798849E-2</v>
      </c>
      <c r="Z146" s="1"/>
      <c r="AA146" s="1"/>
      <c r="AB146" s="1"/>
      <c r="AC146" s="1"/>
      <c r="AD146" s="1"/>
      <c r="AE146" s="1"/>
      <c r="AF146" s="1"/>
      <c r="AG146" s="1"/>
      <c r="AH146" s="1"/>
      <c r="AI146" s="1"/>
      <c r="AJ146" s="1"/>
      <c r="AK146" s="1"/>
    </row>
    <row r="147" spans="1:37">
      <c r="A147" s="134">
        <v>45421</v>
      </c>
      <c r="B147" s="135">
        <v>1365.85</v>
      </c>
      <c r="C147" s="133">
        <f t="shared" si="27"/>
        <v>-1.4467133270798849E-2</v>
      </c>
      <c r="D147" s="133">
        <v>21957.5</v>
      </c>
      <c r="E147" s="133">
        <f t="shared" si="28"/>
        <v>-1.546911781190452E-2</v>
      </c>
      <c r="F147" s="135">
        <v>18437.05</v>
      </c>
      <c r="G147" s="67">
        <f t="shared" si="25"/>
        <v>2.2443937614748499E-2</v>
      </c>
      <c r="H147" s="1"/>
      <c r="I147" s="1"/>
      <c r="J147" s="1"/>
      <c r="K147" s="1"/>
      <c r="L147" s="1"/>
      <c r="M147" s="1"/>
      <c r="N147" s="1"/>
      <c r="O147" s="1"/>
      <c r="P147" s="1"/>
      <c r="Q147" s="1"/>
      <c r="R147" s="1"/>
      <c r="S147" s="1"/>
      <c r="T147" s="1"/>
      <c r="U147" s="1"/>
      <c r="V147" s="1"/>
      <c r="W147" s="2">
        <v>45420</v>
      </c>
      <c r="X147" s="3">
        <v>1385.9</v>
      </c>
      <c r="Y147" s="1">
        <f t="shared" si="26"/>
        <v>-2.9496402877696726E-3</v>
      </c>
      <c r="Z147" s="1"/>
      <c r="AA147" s="1"/>
      <c r="AB147" s="1"/>
      <c r="AC147" s="1"/>
      <c r="AD147" s="1"/>
      <c r="AE147" s="1"/>
      <c r="AF147" s="1"/>
      <c r="AG147" s="1"/>
      <c r="AH147" s="1"/>
      <c r="AI147" s="1"/>
      <c r="AJ147" s="1"/>
      <c r="AK147" s="1"/>
    </row>
    <row r="148" spans="1:37">
      <c r="A148" s="134">
        <v>45420</v>
      </c>
      <c r="B148" s="135">
        <v>1385.9</v>
      </c>
      <c r="C148" s="133">
        <f t="shared" si="27"/>
        <v>-2.9496402877696726E-3</v>
      </c>
      <c r="D148" s="133">
        <v>22302.5</v>
      </c>
      <c r="E148" s="133">
        <f t="shared" si="28"/>
        <v>0</v>
      </c>
      <c r="F148" s="135">
        <v>18850.849999999999</v>
      </c>
      <c r="G148" s="67">
        <f t="shared" si="25"/>
        <v>-2.4136842635735789E-4</v>
      </c>
      <c r="H148" s="1"/>
      <c r="I148" s="1"/>
      <c r="J148" s="1"/>
      <c r="K148" s="1"/>
      <c r="L148" s="1"/>
      <c r="M148" s="1"/>
      <c r="N148" s="1"/>
      <c r="O148" s="1"/>
      <c r="P148" s="1"/>
      <c r="Q148" s="1"/>
      <c r="R148" s="1"/>
      <c r="S148" s="1"/>
      <c r="T148" s="1"/>
      <c r="U148" s="1"/>
      <c r="V148" s="1"/>
      <c r="W148" s="2">
        <v>45419</v>
      </c>
      <c r="X148" s="3">
        <v>1390</v>
      </c>
      <c r="Y148" s="1">
        <f t="shared" si="26"/>
        <v>-2.3876404494381998E-2</v>
      </c>
      <c r="Z148" s="1"/>
      <c r="AA148" s="1"/>
      <c r="AB148" s="1"/>
      <c r="AC148" s="1"/>
      <c r="AD148" s="1"/>
      <c r="AE148" s="1"/>
      <c r="AF148" s="1"/>
      <c r="AG148" s="1"/>
      <c r="AH148" s="1"/>
      <c r="AI148" s="1"/>
      <c r="AJ148" s="1"/>
      <c r="AK148" s="1"/>
    </row>
    <row r="149" spans="1:37">
      <c r="A149" s="134">
        <v>45419</v>
      </c>
      <c r="B149" s="135">
        <v>1390</v>
      </c>
      <c r="C149" s="133">
        <f t="shared" si="27"/>
        <v>-2.3876404494381998E-2</v>
      </c>
      <c r="D149" s="133">
        <v>22302.5</v>
      </c>
      <c r="E149" s="133">
        <f t="shared" si="28"/>
        <v>-6.2470201891929866E-3</v>
      </c>
      <c r="F149" s="135">
        <v>18846.3</v>
      </c>
      <c r="G149" s="67">
        <f t="shared" si="25"/>
        <v>1.8942710240206218E-2</v>
      </c>
      <c r="H149" s="1"/>
      <c r="I149" s="1"/>
      <c r="J149" s="1"/>
      <c r="K149" s="1"/>
      <c r="L149" s="1"/>
      <c r="M149" s="1"/>
      <c r="N149" s="1"/>
      <c r="O149" s="1"/>
      <c r="P149" s="1"/>
      <c r="Q149" s="1"/>
      <c r="R149" s="1"/>
      <c r="S149" s="1"/>
      <c r="T149" s="1"/>
      <c r="U149" s="1"/>
      <c r="V149" s="1"/>
      <c r="W149" s="2">
        <v>45418</v>
      </c>
      <c r="X149" s="3">
        <v>1424</v>
      </c>
      <c r="Y149" s="1">
        <f t="shared" si="26"/>
        <v>-8.4198708953131529E-4</v>
      </c>
      <c r="Z149" s="1"/>
      <c r="AA149" s="1"/>
      <c r="AB149" s="1"/>
      <c r="AC149" s="1"/>
      <c r="AD149" s="1"/>
      <c r="AE149" s="1"/>
      <c r="AF149" s="1"/>
      <c r="AG149" s="1"/>
      <c r="AH149" s="1"/>
      <c r="AI149" s="1"/>
      <c r="AJ149" s="1"/>
      <c r="AK149" s="1"/>
    </row>
    <row r="150" spans="1:37">
      <c r="A150" s="134">
        <v>45418</v>
      </c>
      <c r="B150" s="135">
        <v>1424</v>
      </c>
      <c r="C150" s="133">
        <f t="shared" si="27"/>
        <v>-8.4198708953131529E-4</v>
      </c>
      <c r="D150" s="133">
        <v>22442.7</v>
      </c>
      <c r="E150" s="133">
        <f t="shared" si="28"/>
        <v>-1.4749164102803025E-3</v>
      </c>
      <c r="F150" s="135">
        <v>19203.3</v>
      </c>
      <c r="G150" s="67">
        <f t="shared" si="25"/>
        <v>-3.6399993751072834E-3</v>
      </c>
      <c r="H150" s="1"/>
      <c r="I150" s="1"/>
      <c r="J150" s="1"/>
      <c r="K150" s="1"/>
      <c r="L150" s="1"/>
      <c r="M150" s="1"/>
      <c r="N150" s="1"/>
      <c r="O150" s="1"/>
      <c r="P150" s="1"/>
      <c r="Q150" s="1"/>
      <c r="R150" s="1"/>
      <c r="S150" s="1"/>
      <c r="T150" s="1"/>
      <c r="U150" s="1"/>
      <c r="V150" s="1"/>
      <c r="W150" s="2">
        <v>45415</v>
      </c>
      <c r="X150" s="3">
        <v>1425.2</v>
      </c>
      <c r="Y150" s="1">
        <f t="shared" si="26"/>
        <v>2.9556650246305161E-3</v>
      </c>
      <c r="Z150" s="1"/>
      <c r="AA150" s="1"/>
      <c r="AB150" s="1"/>
      <c r="AC150" s="1"/>
      <c r="AD150" s="1"/>
      <c r="AE150" s="1"/>
      <c r="AF150" s="1"/>
      <c r="AG150" s="1"/>
      <c r="AH150" s="1"/>
      <c r="AI150" s="1"/>
      <c r="AJ150" s="1"/>
      <c r="AK150" s="1"/>
    </row>
    <row r="151" spans="1:37">
      <c r="A151" s="134">
        <v>45415</v>
      </c>
      <c r="B151" s="135">
        <v>1425.2</v>
      </c>
      <c r="C151" s="133">
        <f t="shared" si="27"/>
        <v>2.9556650246305161E-3</v>
      </c>
      <c r="D151" s="133">
        <v>22475.85</v>
      </c>
      <c r="E151" s="133">
        <f t="shared" si="28"/>
        <v>-7.6098762815588472E-3</v>
      </c>
      <c r="F151" s="135">
        <v>19133.400000000001</v>
      </c>
      <c r="G151" s="67">
        <f t="shared" si="25"/>
        <v>-4.6776840498818917E-4</v>
      </c>
      <c r="H151" s="1"/>
      <c r="I151" s="1"/>
      <c r="J151" s="1"/>
      <c r="K151" s="1"/>
      <c r="L151" s="1"/>
      <c r="M151" s="1"/>
      <c r="N151" s="1"/>
      <c r="O151" s="1"/>
      <c r="P151" s="1"/>
      <c r="Q151" s="1"/>
      <c r="R151" s="1"/>
      <c r="S151" s="1"/>
      <c r="T151" s="1"/>
      <c r="U151" s="1"/>
      <c r="V151" s="1"/>
      <c r="W151" s="2">
        <v>45414</v>
      </c>
      <c r="X151" s="3">
        <v>1421</v>
      </c>
      <c r="Y151" s="1">
        <f t="shared" si="26"/>
        <v>1.4601406590268207E-2</v>
      </c>
      <c r="Z151" s="1"/>
      <c r="AA151" s="1"/>
      <c r="AB151" s="1"/>
      <c r="AC151" s="1"/>
      <c r="AD151" s="1"/>
      <c r="AE151" s="1"/>
      <c r="AF151" s="1"/>
      <c r="AG151" s="1"/>
      <c r="AH151" s="1"/>
      <c r="AI151" s="1"/>
      <c r="AJ151" s="1"/>
      <c r="AK151" s="1"/>
    </row>
    <row r="152" spans="1:37">
      <c r="A152" s="134">
        <v>45414</v>
      </c>
      <c r="B152" s="135">
        <v>1421</v>
      </c>
      <c r="C152" s="133">
        <f t="shared" si="27"/>
        <v>1.4601406590268207E-2</v>
      </c>
      <c r="D152" s="133">
        <v>22648.2</v>
      </c>
      <c r="E152" s="133">
        <f t="shared" si="28"/>
        <v>1.917730044658672E-3</v>
      </c>
      <c r="F152" s="135">
        <v>19124.45</v>
      </c>
      <c r="G152" s="67">
        <f t="shared" si="25"/>
        <v>-8.0446757945981107E-3</v>
      </c>
      <c r="H152" s="1"/>
      <c r="I152" s="1"/>
      <c r="J152" s="1"/>
      <c r="K152" s="1"/>
      <c r="L152" s="1"/>
      <c r="M152" s="1"/>
      <c r="N152" s="1"/>
      <c r="O152" s="1"/>
      <c r="P152" s="1"/>
      <c r="Q152" s="1"/>
      <c r="R152" s="1"/>
      <c r="S152" s="1"/>
      <c r="T152" s="1"/>
      <c r="U152" s="1"/>
      <c r="V152" s="1"/>
      <c r="W152" s="2">
        <v>45412</v>
      </c>
      <c r="X152" s="3">
        <v>1400.55</v>
      </c>
      <c r="Y152" s="1">
        <f t="shared" si="26"/>
        <v>-7.3709203019243219E-3</v>
      </c>
      <c r="Z152" s="1"/>
      <c r="AA152" s="1"/>
      <c r="AB152" s="1"/>
      <c r="AC152" s="1"/>
      <c r="AD152" s="1"/>
      <c r="AE152" s="1"/>
      <c r="AF152" s="1"/>
      <c r="AG152" s="1"/>
      <c r="AH152" s="1"/>
      <c r="AI152" s="1"/>
      <c r="AJ152" s="1"/>
      <c r="AK152" s="1"/>
    </row>
    <row r="153" spans="1:37">
      <c r="A153" s="134">
        <v>45412</v>
      </c>
      <c r="B153" s="135">
        <v>1400.55</v>
      </c>
      <c r="C153" s="133">
        <f t="shared" si="27"/>
        <v>-7.3709203019243219E-3</v>
      </c>
      <c r="D153" s="133">
        <v>22604.85</v>
      </c>
      <c r="E153" s="133">
        <f t="shared" si="28"/>
        <v>-1.7024828426828176E-3</v>
      </c>
      <c r="F153" s="135">
        <v>18970.599999999999</v>
      </c>
      <c r="G153" s="67">
        <f t="shared" si="25"/>
        <v>6.6576702898171192E-3</v>
      </c>
      <c r="H153" s="1"/>
      <c r="I153" s="1"/>
      <c r="J153" s="1"/>
      <c r="K153" s="1"/>
      <c r="L153" s="1"/>
      <c r="M153" s="1"/>
      <c r="N153" s="1"/>
      <c r="O153" s="1"/>
      <c r="P153" s="1"/>
      <c r="Q153" s="1"/>
      <c r="R153" s="1"/>
      <c r="S153" s="1"/>
      <c r="T153" s="1"/>
      <c r="U153" s="1"/>
      <c r="V153" s="1"/>
      <c r="W153" s="2">
        <v>45411</v>
      </c>
      <c r="X153" s="3">
        <v>1410.95</v>
      </c>
      <c r="Y153" s="1">
        <f t="shared" si="26"/>
        <v>-1.450813871196055E-3</v>
      </c>
      <c r="Z153" s="1"/>
      <c r="AA153" s="1"/>
      <c r="AB153" s="1"/>
      <c r="AC153" s="1"/>
      <c r="AD153" s="1"/>
      <c r="AE153" s="1"/>
      <c r="AF153" s="1"/>
      <c r="AG153" s="1"/>
      <c r="AH153" s="1"/>
      <c r="AI153" s="1"/>
      <c r="AJ153" s="1"/>
      <c r="AK153" s="1"/>
    </row>
    <row r="154" spans="1:37">
      <c r="A154" s="134">
        <v>45411</v>
      </c>
      <c r="B154" s="135">
        <v>1410.95</v>
      </c>
      <c r="C154" s="133">
        <f t="shared" si="27"/>
        <v>-1.450813871196055E-3</v>
      </c>
      <c r="D154" s="133">
        <v>22643.4</v>
      </c>
      <c r="E154" s="133">
        <f t="shared" si="28"/>
        <v>9.9665699522077933E-3</v>
      </c>
      <c r="F154" s="135">
        <v>19096.900000000001</v>
      </c>
      <c r="G154" s="67">
        <f t="shared" si="25"/>
        <v>-5.3542721593556886E-3</v>
      </c>
      <c r="H154" s="1"/>
      <c r="I154" s="1"/>
      <c r="J154" s="1"/>
      <c r="K154" s="1"/>
      <c r="L154" s="1"/>
      <c r="M154" s="1"/>
      <c r="N154" s="1"/>
      <c r="O154" s="1"/>
      <c r="P154" s="1"/>
      <c r="Q154" s="1"/>
      <c r="R154" s="1"/>
      <c r="S154" s="1"/>
      <c r="T154" s="1"/>
      <c r="U154" s="1"/>
      <c r="V154" s="1"/>
      <c r="W154" s="2">
        <v>45408</v>
      </c>
      <c r="X154" s="3">
        <v>1413</v>
      </c>
      <c r="Y154" s="1">
        <f t="shared" si="26"/>
        <v>9.2857142857143415E-3</v>
      </c>
      <c r="Z154" s="1"/>
      <c r="AA154" s="1"/>
      <c r="AB154" s="1"/>
      <c r="AC154" s="1"/>
      <c r="AD154" s="1"/>
      <c r="AE154" s="1"/>
      <c r="AF154" s="1"/>
      <c r="AG154" s="1"/>
      <c r="AH154" s="1"/>
      <c r="AI154" s="1"/>
      <c r="AJ154" s="1"/>
      <c r="AK154" s="1"/>
    </row>
    <row r="155" spans="1:37">
      <c r="A155" s="134">
        <v>45408</v>
      </c>
      <c r="B155" s="135">
        <v>1413</v>
      </c>
      <c r="C155" s="133">
        <f t="shared" si="27"/>
        <v>9.2857142857143415E-3</v>
      </c>
      <c r="D155" s="133">
        <v>22419.95</v>
      </c>
      <c r="E155" s="133">
        <f t="shared" si="28"/>
        <v>-6.6636095585579369E-3</v>
      </c>
      <c r="F155" s="135">
        <v>18994.650000000001</v>
      </c>
      <c r="G155" s="67">
        <f t="shared" si="25"/>
        <v>-6.1333059572037385E-3</v>
      </c>
      <c r="H155" s="1"/>
      <c r="I155" s="1"/>
      <c r="J155" s="1"/>
      <c r="K155" s="1"/>
      <c r="L155" s="1"/>
      <c r="M155" s="1"/>
      <c r="N155" s="1"/>
      <c r="O155" s="1"/>
      <c r="P155" s="1"/>
      <c r="Q155" s="1"/>
      <c r="R155" s="1"/>
      <c r="S155" s="1"/>
      <c r="T155" s="1"/>
      <c r="U155" s="1"/>
      <c r="V155" s="1"/>
      <c r="W155" s="2">
        <v>45407</v>
      </c>
      <c r="X155" s="3">
        <v>1400</v>
      </c>
      <c r="Y155" s="1">
        <f t="shared" si="26"/>
        <v>3.5727045373357136E-4</v>
      </c>
      <c r="Z155" s="1"/>
      <c r="AA155" s="1"/>
      <c r="AB155" s="1"/>
      <c r="AC155" s="1"/>
      <c r="AD155" s="1"/>
      <c r="AE155" s="1"/>
      <c r="AF155" s="1"/>
      <c r="AG155" s="1"/>
      <c r="AH155" s="1"/>
      <c r="AI155" s="1"/>
      <c r="AJ155" s="1"/>
      <c r="AK155" s="1"/>
    </row>
    <row r="156" spans="1:37">
      <c r="A156" s="134">
        <v>45407</v>
      </c>
      <c r="B156" s="135">
        <v>1400</v>
      </c>
      <c r="C156" s="133">
        <f t="shared" si="27"/>
        <v>3.5727045373357136E-4</v>
      </c>
      <c r="D156" s="133">
        <v>22570.35</v>
      </c>
      <c r="E156" s="133">
        <f t="shared" si="28"/>
        <v>7.496964610934409E-3</v>
      </c>
      <c r="F156" s="135">
        <v>18878.150000000001</v>
      </c>
      <c r="G156" s="67">
        <f t="shared" si="25"/>
        <v>-1.5464968760180442E-2</v>
      </c>
      <c r="H156" s="1"/>
      <c r="I156" s="1"/>
      <c r="J156" s="1"/>
      <c r="K156" s="1"/>
      <c r="L156" s="1"/>
      <c r="M156" s="1"/>
      <c r="N156" s="1"/>
      <c r="O156" s="1"/>
      <c r="P156" s="1"/>
      <c r="Q156" s="1"/>
      <c r="R156" s="1"/>
      <c r="S156" s="1"/>
      <c r="T156" s="1"/>
      <c r="U156" s="1"/>
      <c r="V156" s="1"/>
      <c r="W156" s="2">
        <v>45406</v>
      </c>
      <c r="X156" s="3">
        <v>1399.5</v>
      </c>
      <c r="Y156" s="1">
        <f t="shared" si="26"/>
        <v>3.7819799777530694E-2</v>
      </c>
      <c r="Z156" s="1"/>
      <c r="AA156" s="1"/>
      <c r="AB156" s="1"/>
      <c r="AC156" s="1"/>
      <c r="AD156" s="1"/>
      <c r="AE156" s="1"/>
      <c r="AF156" s="1"/>
      <c r="AG156" s="1"/>
      <c r="AH156" s="1"/>
      <c r="AI156" s="1"/>
      <c r="AJ156" s="1"/>
      <c r="AK156" s="1"/>
    </row>
    <row r="157" spans="1:37">
      <c r="A157" s="134">
        <v>45406</v>
      </c>
      <c r="B157" s="135">
        <v>1399.5</v>
      </c>
      <c r="C157" s="133">
        <f t="shared" si="27"/>
        <v>3.7819799777530694E-2</v>
      </c>
      <c r="D157" s="133">
        <v>22402.400000000001</v>
      </c>
      <c r="E157" s="133">
        <f t="shared" si="28"/>
        <v>1.5379113018598733E-3</v>
      </c>
      <c r="F157" s="135">
        <v>18586.2</v>
      </c>
      <c r="G157" s="67">
        <f t="shared" si="25"/>
        <v>-6.588221368542313E-3</v>
      </c>
      <c r="H157" s="1"/>
      <c r="I157" s="1"/>
      <c r="J157" s="1"/>
      <c r="K157" s="1"/>
      <c r="L157" s="1"/>
      <c r="M157" s="1"/>
      <c r="N157" s="1"/>
      <c r="O157" s="1"/>
      <c r="P157" s="1"/>
      <c r="Q157" s="1"/>
      <c r="R157" s="1"/>
      <c r="S157" s="1"/>
      <c r="T157" s="1"/>
      <c r="U157" s="1"/>
      <c r="V157" s="1"/>
      <c r="W157" s="2">
        <v>45405</v>
      </c>
      <c r="X157" s="3">
        <v>1348.5</v>
      </c>
      <c r="Y157" s="1">
        <f t="shared" si="26"/>
        <v>-7.7262693156733286E-3</v>
      </c>
      <c r="Z157" s="1"/>
      <c r="AA157" s="1"/>
      <c r="AB157" s="1"/>
      <c r="AC157" s="1"/>
      <c r="AD157" s="1"/>
      <c r="AE157" s="1"/>
      <c r="AF157" s="1"/>
      <c r="AG157" s="1"/>
      <c r="AH157" s="1"/>
      <c r="AI157" s="1"/>
      <c r="AJ157" s="1"/>
      <c r="AK157" s="1"/>
    </row>
    <row r="158" spans="1:37">
      <c r="A158" s="134">
        <v>45405</v>
      </c>
      <c r="B158" s="135">
        <v>1348.5</v>
      </c>
      <c r="C158" s="133">
        <f t="shared" si="27"/>
        <v>-7.7262693156733286E-3</v>
      </c>
      <c r="D158" s="133">
        <v>22368</v>
      </c>
      <c r="E158" s="133">
        <f t="shared" si="28"/>
        <v>1.4147311115488836E-3</v>
      </c>
      <c r="F158" s="135">
        <v>18463.75</v>
      </c>
      <c r="G158" s="67">
        <f t="shared" si="25"/>
        <v>9.708212037099706E-3</v>
      </c>
      <c r="H158" s="1"/>
      <c r="I158" s="1"/>
      <c r="J158" s="1"/>
      <c r="K158" s="1"/>
      <c r="L158" s="1"/>
      <c r="M158" s="1"/>
      <c r="N158" s="1"/>
      <c r="O158" s="1"/>
      <c r="P158" s="1"/>
      <c r="Q158" s="1"/>
      <c r="R158" s="1"/>
      <c r="S158" s="1"/>
      <c r="T158" s="1"/>
      <c r="U158" s="1"/>
      <c r="V158" s="1"/>
      <c r="W158" s="2">
        <v>45404</v>
      </c>
      <c r="X158" s="3">
        <v>1359</v>
      </c>
      <c r="Y158" s="1">
        <f t="shared" si="26"/>
        <v>8.9086859688196629E-3</v>
      </c>
      <c r="Z158" s="1"/>
      <c r="AA158" s="1"/>
      <c r="AB158" s="1"/>
      <c r="AC158" s="1"/>
      <c r="AD158" s="1"/>
      <c r="AE158" s="1"/>
      <c r="AF158" s="1"/>
      <c r="AG158" s="1"/>
      <c r="AH158" s="1"/>
      <c r="AI158" s="1"/>
      <c r="AJ158" s="1"/>
      <c r="AK158" s="1"/>
    </row>
    <row r="159" spans="1:37">
      <c r="A159" s="134">
        <v>45404</v>
      </c>
      <c r="B159" s="135">
        <v>1359</v>
      </c>
      <c r="C159" s="133">
        <f t="shared" si="27"/>
        <v>8.9086859688196629E-3</v>
      </c>
      <c r="D159" s="133">
        <v>22336.400000000001</v>
      </c>
      <c r="E159" s="133">
        <f t="shared" si="28"/>
        <v>8.5519483451483858E-3</v>
      </c>
      <c r="F159" s="135">
        <v>18643</v>
      </c>
      <c r="G159" s="67">
        <f t="shared" si="25"/>
        <v>-1.2787641474011791E-2</v>
      </c>
      <c r="H159" s="1"/>
      <c r="I159" s="1"/>
      <c r="J159" s="1"/>
      <c r="K159" s="1"/>
      <c r="L159" s="1"/>
      <c r="M159" s="1"/>
      <c r="N159" s="1"/>
      <c r="O159" s="1"/>
      <c r="P159" s="1"/>
      <c r="Q159" s="1"/>
      <c r="R159" s="1"/>
      <c r="S159" s="1"/>
      <c r="T159" s="1"/>
      <c r="U159" s="1"/>
      <c r="V159" s="1"/>
      <c r="W159" s="2">
        <v>45401</v>
      </c>
      <c r="X159" s="3">
        <v>1347</v>
      </c>
      <c r="Y159" s="1">
        <f t="shared" si="26"/>
        <v>-4.9126435932479451E-3</v>
      </c>
      <c r="Z159" s="1"/>
      <c r="AA159" s="1"/>
      <c r="AB159" s="1"/>
      <c r="AC159" s="1"/>
      <c r="AD159" s="1"/>
      <c r="AE159" s="1"/>
      <c r="AF159" s="1"/>
      <c r="AG159" s="1"/>
      <c r="AH159" s="1"/>
      <c r="AI159" s="1"/>
      <c r="AJ159" s="1"/>
      <c r="AK159" s="1"/>
    </row>
    <row r="160" spans="1:37">
      <c r="A160" s="134">
        <v>45401</v>
      </c>
      <c r="B160" s="135">
        <v>1347</v>
      </c>
      <c r="C160" s="133">
        <f t="shared" si="27"/>
        <v>-4.9126435932479451E-3</v>
      </c>
      <c r="D160" s="133">
        <v>22147</v>
      </c>
      <c r="E160" s="133">
        <f t="shared" si="28"/>
        <v>6.8717508075386569E-3</v>
      </c>
      <c r="F160" s="135">
        <v>18404.599999999999</v>
      </c>
      <c r="G160" s="67">
        <f t="shared" si="25"/>
        <v>6.5825934820642473E-3</v>
      </c>
      <c r="H160" s="1"/>
      <c r="I160" s="1"/>
      <c r="J160" s="1"/>
      <c r="K160" s="1"/>
      <c r="L160" s="1"/>
      <c r="M160" s="1"/>
      <c r="N160" s="1"/>
      <c r="O160" s="1"/>
      <c r="P160" s="1"/>
      <c r="Q160" s="1"/>
      <c r="R160" s="1"/>
      <c r="S160" s="1"/>
      <c r="T160" s="1"/>
      <c r="U160" s="1"/>
      <c r="V160" s="1"/>
      <c r="W160" s="2">
        <v>45400</v>
      </c>
      <c r="X160" s="3">
        <v>1353.65</v>
      </c>
      <c r="Y160" s="1">
        <f t="shared" si="26"/>
        <v>-1.880979994201204E-2</v>
      </c>
      <c r="Z160" s="1"/>
      <c r="AA160" s="1"/>
      <c r="AB160" s="1"/>
      <c r="AC160" s="1"/>
      <c r="AD160" s="1"/>
      <c r="AE160" s="1"/>
      <c r="AF160" s="1"/>
      <c r="AG160" s="1"/>
      <c r="AH160" s="1"/>
      <c r="AI160" s="1"/>
      <c r="AJ160" s="1"/>
      <c r="AK160" s="1"/>
    </row>
    <row r="161" spans="1:37">
      <c r="A161" s="134">
        <v>45400</v>
      </c>
      <c r="B161" s="135">
        <v>1353.65</v>
      </c>
      <c r="C161" s="133">
        <f t="shared" si="27"/>
        <v>-1.880979994201204E-2</v>
      </c>
      <c r="D161" s="133">
        <v>21995.85</v>
      </c>
      <c r="E161" s="133">
        <f t="shared" si="28"/>
        <v>-6.8652106971768267E-3</v>
      </c>
      <c r="F161" s="135">
        <v>18525.75</v>
      </c>
      <c r="G161" s="67">
        <f t="shared" si="25"/>
        <v>9.1683197711291964E-3</v>
      </c>
      <c r="H161" s="1"/>
      <c r="I161" s="1"/>
      <c r="J161" s="1"/>
      <c r="K161" s="1"/>
      <c r="L161" s="1"/>
      <c r="M161" s="1"/>
      <c r="N161" s="1"/>
      <c r="O161" s="1"/>
      <c r="P161" s="1"/>
      <c r="Q161" s="1"/>
      <c r="R161" s="1"/>
      <c r="S161" s="1"/>
      <c r="T161" s="1"/>
      <c r="U161" s="1"/>
      <c r="V161" s="1"/>
      <c r="W161" s="2">
        <v>45398</v>
      </c>
      <c r="X161" s="3">
        <v>1379.6</v>
      </c>
      <c r="Y161" s="1">
        <f t="shared" si="26"/>
        <v>-2.2780690652685065E-3</v>
      </c>
      <c r="Z161" s="1"/>
      <c r="AA161" s="1"/>
      <c r="AB161" s="1"/>
      <c r="AC161" s="1"/>
      <c r="AD161" s="1"/>
      <c r="AE161" s="1"/>
      <c r="AF161" s="1"/>
      <c r="AG161" s="1"/>
      <c r="AH161" s="1"/>
      <c r="AI161" s="1"/>
      <c r="AJ161" s="1"/>
      <c r="AK161" s="1"/>
    </row>
    <row r="162" spans="1:37">
      <c r="A162" s="134">
        <v>45398</v>
      </c>
      <c r="B162" s="135">
        <v>1379.6</v>
      </c>
      <c r="C162" s="133">
        <f t="shared" si="27"/>
        <v>-2.2780690652685065E-3</v>
      </c>
      <c r="D162" s="133">
        <v>22147.9</v>
      </c>
      <c r="E162" s="133">
        <f t="shared" si="28"/>
        <v>-5.5943427994162853E-3</v>
      </c>
      <c r="F162" s="135">
        <v>18695.599999999999</v>
      </c>
      <c r="G162" s="67">
        <f t="shared" si="25"/>
        <v>-4.1694302402702776E-3</v>
      </c>
      <c r="H162" s="1"/>
      <c r="I162" s="1"/>
      <c r="J162" s="1"/>
      <c r="K162" s="1"/>
      <c r="L162" s="1"/>
      <c r="M162" s="1"/>
      <c r="N162" s="1"/>
      <c r="O162" s="1"/>
      <c r="P162" s="1"/>
      <c r="Q162" s="1"/>
      <c r="R162" s="1"/>
      <c r="S162" s="1"/>
      <c r="T162" s="1"/>
      <c r="U162" s="1"/>
      <c r="V162" s="1"/>
      <c r="W162" s="2">
        <v>45397</v>
      </c>
      <c r="X162" s="3">
        <v>1382.75</v>
      </c>
      <c r="Y162" s="1">
        <f t="shared" si="26"/>
        <v>-1.2003858383051624E-2</v>
      </c>
      <c r="Z162" s="1"/>
      <c r="AA162" s="1"/>
      <c r="AB162" s="1"/>
      <c r="AC162" s="1"/>
      <c r="AD162" s="1"/>
      <c r="AE162" s="1"/>
      <c r="AF162" s="1"/>
      <c r="AG162" s="1"/>
      <c r="AH162" s="1"/>
      <c r="AI162" s="1"/>
      <c r="AJ162" s="1"/>
      <c r="AK162" s="1"/>
    </row>
    <row r="163" spans="1:37">
      <c r="A163" s="134">
        <v>45397</v>
      </c>
      <c r="B163" s="135">
        <v>1382.75</v>
      </c>
      <c r="C163" s="133">
        <f t="shared" si="27"/>
        <v>-1.2003858383051624E-2</v>
      </c>
      <c r="D163" s="133">
        <v>22272.5</v>
      </c>
      <c r="E163" s="133">
        <f t="shared" si="28"/>
        <v>-1.0963880032327733E-2</v>
      </c>
      <c r="F163" s="135">
        <v>18617.650000000001</v>
      </c>
      <c r="G163" s="67">
        <f t="shared" si="25"/>
        <v>9.184832672222365E-3</v>
      </c>
      <c r="H163" s="1"/>
      <c r="I163" s="1"/>
      <c r="J163" s="1"/>
      <c r="K163" s="1"/>
      <c r="L163" s="1"/>
      <c r="M163" s="1"/>
      <c r="N163" s="1"/>
      <c r="O163" s="1"/>
      <c r="P163" s="1"/>
      <c r="Q163" s="1"/>
      <c r="R163" s="1"/>
      <c r="S163" s="1"/>
      <c r="T163" s="1"/>
      <c r="U163" s="1"/>
      <c r="V163" s="1"/>
      <c r="W163" s="2">
        <v>45394</v>
      </c>
      <c r="X163" s="3">
        <v>1399.55</v>
      </c>
      <c r="Y163" s="1">
        <f t="shared" si="26"/>
        <v>-1.8548387096774199E-2</v>
      </c>
      <c r="Z163" s="1"/>
      <c r="AA163" s="1"/>
      <c r="AB163" s="1"/>
      <c r="AC163" s="1"/>
      <c r="AD163" s="1"/>
      <c r="AE163" s="1"/>
      <c r="AF163" s="1"/>
      <c r="AG163" s="1"/>
      <c r="AH163" s="1"/>
      <c r="AI163" s="1"/>
      <c r="AJ163" s="1"/>
      <c r="AK163" s="1"/>
    </row>
    <row r="164" spans="1:37">
      <c r="A164" s="134">
        <v>45394</v>
      </c>
      <c r="B164" s="135">
        <v>1399.55</v>
      </c>
      <c r="C164" s="133">
        <f t="shared" si="27"/>
        <v>-1.8548387096774199E-2</v>
      </c>
      <c r="D164" s="133">
        <v>22519.4</v>
      </c>
      <c r="E164" s="133">
        <f t="shared" si="28"/>
        <v>-1.0301576000492085E-2</v>
      </c>
      <c r="F164" s="135">
        <v>18788.650000000001</v>
      </c>
      <c r="G164" s="67">
        <f t="shared" si="25"/>
        <v>1.7475976187751652E-2</v>
      </c>
      <c r="H164" s="1"/>
      <c r="I164" s="1"/>
      <c r="J164" s="1"/>
      <c r="K164" s="1"/>
      <c r="L164" s="1"/>
      <c r="M164" s="1"/>
      <c r="N164" s="1"/>
      <c r="O164" s="1"/>
      <c r="P164" s="1"/>
      <c r="Q164" s="1"/>
      <c r="R164" s="1"/>
      <c r="S164" s="1"/>
      <c r="T164" s="1"/>
      <c r="U164" s="1"/>
      <c r="V164" s="1"/>
      <c r="W164" s="2">
        <v>45392</v>
      </c>
      <c r="X164" s="3">
        <v>1426</v>
      </c>
      <c r="Y164" s="1">
        <f t="shared" si="26"/>
        <v>-1.5873015873015928E-2</v>
      </c>
      <c r="Z164" s="1"/>
      <c r="AA164" s="1"/>
      <c r="AB164" s="1"/>
      <c r="AC164" s="1"/>
      <c r="AD164" s="1"/>
      <c r="AE164" s="1"/>
      <c r="AF164" s="1"/>
      <c r="AG164" s="1"/>
      <c r="AH164" s="1"/>
      <c r="AI164" s="1"/>
      <c r="AJ164" s="1"/>
      <c r="AK164" s="1"/>
    </row>
    <row r="165" spans="1:37">
      <c r="A165" s="134">
        <v>45392</v>
      </c>
      <c r="B165" s="135">
        <v>1426</v>
      </c>
      <c r="C165" s="133">
        <f t="shared" si="27"/>
        <v>-1.5873015873015928E-2</v>
      </c>
      <c r="D165" s="133">
        <v>22753.8</v>
      </c>
      <c r="E165" s="133">
        <f t="shared" si="28"/>
        <v>4.904439610913025E-3</v>
      </c>
      <c r="F165" s="135">
        <v>19117</v>
      </c>
      <c r="G165" s="67">
        <f t="shared" si="25"/>
        <v>3.4158079196526803E-3</v>
      </c>
      <c r="H165" s="1"/>
      <c r="I165" s="1"/>
      <c r="J165" s="1"/>
      <c r="K165" s="1"/>
      <c r="L165" s="1"/>
      <c r="M165" s="1"/>
      <c r="N165" s="1"/>
      <c r="O165" s="1"/>
      <c r="P165" s="1"/>
      <c r="Q165" s="1"/>
      <c r="R165" s="1"/>
      <c r="S165" s="1"/>
      <c r="T165" s="1"/>
      <c r="U165" s="1"/>
      <c r="V165" s="1"/>
      <c r="W165" s="2">
        <v>45391</v>
      </c>
      <c r="X165" s="3">
        <v>1449</v>
      </c>
      <c r="Y165" s="1">
        <f t="shared" si="26"/>
        <v>-8.3493019436080562E-3</v>
      </c>
      <c r="Z165" s="1"/>
      <c r="AA165" s="1"/>
      <c r="AB165" s="1"/>
      <c r="AC165" s="1"/>
      <c r="AD165" s="1"/>
      <c r="AE165" s="1"/>
      <c r="AF165" s="1"/>
      <c r="AG165" s="1"/>
      <c r="AH165" s="1"/>
      <c r="AI165" s="1"/>
      <c r="AJ165" s="1"/>
      <c r="AK165" s="1"/>
    </row>
    <row r="166" spans="1:37">
      <c r="A166" s="134">
        <v>45391</v>
      </c>
      <c r="B166" s="135">
        <v>1449</v>
      </c>
      <c r="C166" s="133">
        <f t="shared" si="27"/>
        <v>-8.3493019436080562E-3</v>
      </c>
      <c r="D166" s="133">
        <v>22642.75</v>
      </c>
      <c r="E166" s="133">
        <f t="shared" si="28"/>
        <v>-1.0389873953843276E-3</v>
      </c>
      <c r="F166" s="135">
        <v>19182.3</v>
      </c>
      <c r="G166" s="67">
        <f t="shared" si="25"/>
        <v>1.9054023761488903E-3</v>
      </c>
      <c r="H166" s="1"/>
      <c r="I166" s="1"/>
      <c r="J166" s="1"/>
      <c r="K166" s="1"/>
      <c r="L166" s="1"/>
      <c r="M166" s="1"/>
      <c r="N166" s="1"/>
      <c r="O166" s="1"/>
      <c r="P166" s="1"/>
      <c r="Q166" s="1"/>
      <c r="R166" s="1"/>
      <c r="S166" s="1"/>
      <c r="T166" s="1"/>
      <c r="U166" s="1"/>
      <c r="V166" s="1"/>
      <c r="W166" s="2">
        <v>45390</v>
      </c>
      <c r="X166" s="3">
        <v>1461.2</v>
      </c>
      <c r="Y166" s="1">
        <f t="shared" si="26"/>
        <v>9.3948604586904239E-3</v>
      </c>
      <c r="Z166" s="1"/>
      <c r="AA166" s="1"/>
      <c r="AB166" s="1"/>
      <c r="AC166" s="1"/>
      <c r="AD166" s="1"/>
      <c r="AE166" s="1"/>
      <c r="AF166" s="1"/>
      <c r="AG166" s="1"/>
      <c r="AH166" s="1"/>
      <c r="AI166" s="1"/>
      <c r="AJ166" s="1"/>
      <c r="AK166" s="1"/>
    </row>
    <row r="167" spans="1:37">
      <c r="A167" s="134">
        <v>45390</v>
      </c>
      <c r="B167" s="135">
        <v>1461.2</v>
      </c>
      <c r="C167" s="133">
        <f t="shared" si="27"/>
        <v>9.3948604586904239E-3</v>
      </c>
      <c r="D167" s="133">
        <v>22666.3</v>
      </c>
      <c r="E167" s="133">
        <f t="shared" si="28"/>
        <v>6.7780951154186031E-3</v>
      </c>
      <c r="F167" s="135">
        <v>19218.849999999999</v>
      </c>
      <c r="G167" s="67">
        <f t="shared" si="25"/>
        <v>-3.0230737010799036E-3</v>
      </c>
      <c r="H167" s="1"/>
      <c r="I167" s="1"/>
      <c r="J167" s="1"/>
      <c r="K167" s="1"/>
      <c r="L167" s="1"/>
      <c r="M167" s="1"/>
      <c r="N167" s="1"/>
      <c r="O167" s="1"/>
      <c r="P167" s="1"/>
      <c r="Q167" s="1"/>
      <c r="R167" s="1"/>
      <c r="S167" s="1"/>
      <c r="T167" s="1"/>
      <c r="U167" s="1"/>
      <c r="V167" s="1"/>
      <c r="W167" s="2">
        <v>45387</v>
      </c>
      <c r="X167" s="3">
        <v>1447.6</v>
      </c>
      <c r="Y167" s="1">
        <f t="shared" si="26"/>
        <v>-7.1671067521690279E-3</v>
      </c>
      <c r="Z167" s="1"/>
      <c r="AA167" s="1"/>
      <c r="AB167" s="1"/>
      <c r="AC167" s="1"/>
      <c r="AD167" s="1"/>
      <c r="AE167" s="1"/>
      <c r="AF167" s="1"/>
      <c r="AG167" s="1"/>
      <c r="AH167" s="1"/>
      <c r="AI167" s="1"/>
      <c r="AJ167" s="1"/>
      <c r="AK167" s="1"/>
    </row>
    <row r="168" spans="1:37">
      <c r="A168" s="134">
        <v>45387</v>
      </c>
      <c r="B168" s="135">
        <v>1447.6</v>
      </c>
      <c r="C168" s="133">
        <f t="shared" si="27"/>
        <v>-7.1671067521690279E-3</v>
      </c>
      <c r="D168" s="133">
        <v>22513.7</v>
      </c>
      <c r="E168" s="133">
        <f t="shared" si="28"/>
        <v>-4.2194748752555356E-5</v>
      </c>
      <c r="F168" s="135">
        <v>19160.75</v>
      </c>
      <c r="G168" s="67">
        <f t="shared" si="25"/>
        <v>-1.8553553488250829E-3</v>
      </c>
      <c r="H168" s="1"/>
      <c r="I168" s="1"/>
      <c r="J168" s="1"/>
      <c r="K168" s="1"/>
      <c r="L168" s="1"/>
      <c r="M168" s="1"/>
      <c r="N168" s="1"/>
      <c r="O168" s="1"/>
      <c r="P168" s="1"/>
      <c r="Q168" s="1"/>
      <c r="R168" s="1"/>
      <c r="S168" s="1"/>
      <c r="T168" s="1"/>
      <c r="U168" s="1"/>
      <c r="V168" s="1"/>
      <c r="W168" s="2">
        <v>45386</v>
      </c>
      <c r="X168" s="3">
        <v>1458.05</v>
      </c>
      <c r="Y168" s="1">
        <f t="shared" si="26"/>
        <v>-9.3086461695260914E-3</v>
      </c>
      <c r="Z168" s="1"/>
      <c r="AA168" s="1"/>
      <c r="AB168" s="1"/>
      <c r="AC168" s="1"/>
      <c r="AD168" s="1"/>
      <c r="AE168" s="1"/>
      <c r="AF168" s="1"/>
      <c r="AG168" s="1"/>
      <c r="AH168" s="1"/>
      <c r="AI168" s="1"/>
      <c r="AJ168" s="1"/>
      <c r="AK168" s="1"/>
    </row>
    <row r="169" spans="1:37">
      <c r="A169" s="134">
        <v>45386</v>
      </c>
      <c r="B169" s="135">
        <v>1458.05</v>
      </c>
      <c r="C169" s="133">
        <f t="shared" si="27"/>
        <v>-9.3086461695260914E-3</v>
      </c>
      <c r="D169" s="133">
        <v>22514.65</v>
      </c>
      <c r="E169" s="133">
        <f t="shared" si="28"/>
        <v>3.5659125504521327E-3</v>
      </c>
      <c r="F169" s="135">
        <v>19125.2</v>
      </c>
      <c r="G169" s="67">
        <f t="shared" si="25"/>
        <v>1.4561939221549025E-3</v>
      </c>
      <c r="H169" s="1"/>
      <c r="I169" s="1"/>
      <c r="J169" s="1"/>
      <c r="K169" s="1"/>
      <c r="L169" s="1"/>
      <c r="M169" s="1"/>
      <c r="N169" s="1"/>
      <c r="O169" s="1"/>
      <c r="P169" s="1"/>
      <c r="Q169" s="1"/>
      <c r="R169" s="1"/>
      <c r="S169" s="1"/>
      <c r="T169" s="1"/>
      <c r="U169" s="1"/>
      <c r="V169" s="1"/>
      <c r="W169" s="2">
        <v>45385</v>
      </c>
      <c r="X169" s="3">
        <v>1471.75</v>
      </c>
      <c r="Y169" s="1">
        <f t="shared" si="26"/>
        <v>-1.2248322147651036E-2</v>
      </c>
      <c r="Z169" s="1"/>
      <c r="AA169" s="1"/>
      <c r="AB169" s="1"/>
      <c r="AC169" s="1"/>
      <c r="AD169" s="1"/>
      <c r="AE169" s="1"/>
      <c r="AF169" s="1"/>
      <c r="AG169" s="1"/>
      <c r="AH169" s="1"/>
      <c r="AI169" s="1"/>
      <c r="AJ169" s="1"/>
      <c r="AK169" s="1"/>
    </row>
    <row r="170" spans="1:37">
      <c r="A170" s="134">
        <v>45385</v>
      </c>
      <c r="B170" s="135">
        <v>1471.75</v>
      </c>
      <c r="C170" s="133">
        <f t="shared" si="27"/>
        <v>-1.2248322147651036E-2</v>
      </c>
      <c r="D170" s="133">
        <v>22434.65</v>
      </c>
      <c r="E170" s="133">
        <f t="shared" si="28"/>
        <v>-8.306128720498851E-4</v>
      </c>
      <c r="F170" s="135">
        <v>19153.05</v>
      </c>
      <c r="G170" s="67">
        <f t="shared" si="25"/>
        <v>1.6759732784075165E-3</v>
      </c>
      <c r="H170" s="1"/>
      <c r="I170" s="1"/>
      <c r="J170" s="1"/>
      <c r="K170" s="1"/>
      <c r="L170" s="1"/>
      <c r="M170" s="1"/>
      <c r="N170" s="1"/>
      <c r="O170" s="1"/>
      <c r="P170" s="1"/>
      <c r="Q170" s="1"/>
      <c r="R170" s="1"/>
      <c r="S170" s="1"/>
      <c r="T170" s="1"/>
      <c r="U170" s="1"/>
      <c r="V170" s="1"/>
      <c r="W170" s="2">
        <v>45384</v>
      </c>
      <c r="X170" s="3">
        <v>1490</v>
      </c>
      <c r="Y170" s="1">
        <f t="shared" si="26"/>
        <v>-4.676018704074858E-3</v>
      </c>
      <c r="Z170" s="1"/>
      <c r="AA170" s="1"/>
      <c r="AB170" s="1"/>
      <c r="AC170" s="1"/>
      <c r="AD170" s="1"/>
      <c r="AE170" s="1"/>
      <c r="AF170" s="1"/>
      <c r="AG170" s="1"/>
      <c r="AH170" s="1"/>
      <c r="AI170" s="1"/>
      <c r="AJ170" s="1"/>
      <c r="AK170" s="1"/>
    </row>
    <row r="171" spans="1:37">
      <c r="A171" s="134">
        <v>45384</v>
      </c>
      <c r="B171" s="135">
        <v>1490</v>
      </c>
      <c r="C171" s="133">
        <f t="shared" si="27"/>
        <v>-4.676018704074858E-3</v>
      </c>
      <c r="D171" s="133">
        <v>22453.3</v>
      </c>
      <c r="E171" s="133">
        <f t="shared" si="28"/>
        <v>-3.8732080847658779E-4</v>
      </c>
      <c r="F171" s="135">
        <v>19185.150000000001</v>
      </c>
      <c r="G171" s="67">
        <f t="shared" si="25"/>
        <v>1.1858129855644162E-3</v>
      </c>
      <c r="H171" s="1"/>
      <c r="I171" s="1"/>
      <c r="J171" s="1"/>
      <c r="K171" s="1"/>
      <c r="L171" s="1"/>
      <c r="M171" s="1"/>
      <c r="N171" s="1"/>
      <c r="O171" s="1"/>
      <c r="P171" s="1"/>
      <c r="Q171" s="1"/>
      <c r="R171" s="1"/>
      <c r="S171" s="1"/>
      <c r="T171" s="1"/>
      <c r="U171" s="1"/>
      <c r="V171" s="1"/>
      <c r="W171" s="2">
        <v>45383</v>
      </c>
      <c r="X171" s="3">
        <v>1497</v>
      </c>
      <c r="Y171" s="1">
        <f t="shared" si="26"/>
        <v>6.6844919786102075E-4</v>
      </c>
      <c r="Z171" s="1"/>
      <c r="AA171" s="1"/>
      <c r="AB171" s="1"/>
      <c r="AC171" s="1"/>
      <c r="AD171" s="1"/>
      <c r="AE171" s="1"/>
      <c r="AF171" s="1"/>
      <c r="AG171" s="1"/>
      <c r="AH171" s="1"/>
      <c r="AI171" s="1"/>
      <c r="AJ171" s="1"/>
      <c r="AK171" s="1"/>
    </row>
    <row r="172" spans="1:37">
      <c r="A172" s="134">
        <v>45383</v>
      </c>
      <c r="B172" s="135">
        <v>1497</v>
      </c>
      <c r="C172" s="133">
        <f t="shared" si="27"/>
        <v>6.6844919786102075E-4</v>
      </c>
      <c r="D172" s="133">
        <v>22462</v>
      </c>
      <c r="E172" s="133">
        <f t="shared" si="28"/>
        <v>6.0509967796693598E-3</v>
      </c>
      <c r="F172" s="135">
        <v>19207.900000000001</v>
      </c>
      <c r="G172" s="67">
        <f t="shared" si="25"/>
        <v>-1.1024109871459187E-2</v>
      </c>
      <c r="H172" s="1"/>
      <c r="I172" s="1"/>
      <c r="J172" s="1"/>
      <c r="K172" s="1"/>
      <c r="L172" s="1"/>
      <c r="M172" s="1"/>
      <c r="N172" s="1"/>
      <c r="O172" s="1"/>
      <c r="P172" s="1"/>
      <c r="Q172" s="1"/>
      <c r="R172" s="1"/>
      <c r="S172" s="1"/>
      <c r="T172" s="1"/>
      <c r="U172" s="1"/>
      <c r="V172" s="1"/>
      <c r="W172" s="2">
        <v>45379</v>
      </c>
      <c r="X172" s="3">
        <v>1496</v>
      </c>
      <c r="Y172" s="1">
        <f t="shared" si="26"/>
        <v>1.8137271582672643E-2</v>
      </c>
      <c r="Z172" s="1"/>
      <c r="AA172" s="1"/>
      <c r="AB172" s="1"/>
      <c r="AC172" s="1"/>
      <c r="AD172" s="1"/>
      <c r="AE172" s="1"/>
      <c r="AF172" s="1"/>
      <c r="AG172" s="1"/>
      <c r="AH172" s="1"/>
      <c r="AI172" s="1"/>
      <c r="AJ172" s="1"/>
      <c r="AK172" s="1"/>
    </row>
    <row r="173" spans="1:37">
      <c r="A173" s="134">
        <v>45379</v>
      </c>
      <c r="B173" s="135">
        <v>1496</v>
      </c>
      <c r="C173" s="133">
        <f t="shared" si="27"/>
        <v>1.8137271582672643E-2</v>
      </c>
      <c r="D173" s="133">
        <v>22326.9</v>
      </c>
      <c r="E173" s="133">
        <f t="shared" si="28"/>
        <v>9.1870012407537782E-3</v>
      </c>
      <c r="F173" s="135">
        <v>18996.150000000001</v>
      </c>
      <c r="G173" s="67">
        <f t="shared" si="25"/>
        <v>-1.1989271510279731E-2</v>
      </c>
      <c r="H173" s="1"/>
      <c r="I173" s="1"/>
      <c r="J173" s="1"/>
      <c r="K173" s="1"/>
      <c r="L173" s="1"/>
      <c r="M173" s="1"/>
      <c r="N173" s="1"/>
      <c r="O173" s="1"/>
      <c r="P173" s="1"/>
      <c r="Q173" s="1"/>
      <c r="R173" s="1"/>
      <c r="S173" s="1"/>
      <c r="T173" s="1"/>
      <c r="U173" s="1"/>
      <c r="V173" s="1"/>
      <c r="W173" s="2">
        <v>45378</v>
      </c>
      <c r="X173" s="3">
        <v>1469.35</v>
      </c>
      <c r="Y173" s="1">
        <f t="shared" si="26"/>
        <v>1.0209637898173085E-4</v>
      </c>
      <c r="Z173" s="1"/>
      <c r="AA173" s="1"/>
      <c r="AB173" s="1"/>
      <c r="AC173" s="1"/>
      <c r="AD173" s="1"/>
      <c r="AE173" s="1"/>
      <c r="AF173" s="1"/>
      <c r="AG173" s="1"/>
      <c r="AH173" s="1"/>
      <c r="AI173" s="1"/>
      <c r="AJ173" s="1"/>
      <c r="AK173" s="1"/>
    </row>
    <row r="174" spans="1:37">
      <c r="A174" s="134">
        <v>45378</v>
      </c>
      <c r="B174" s="135">
        <v>1469.35</v>
      </c>
      <c r="C174" s="133">
        <f t="shared" si="27"/>
        <v>1.0209637898173085E-4</v>
      </c>
      <c r="D174" s="133">
        <v>22123.65</v>
      </c>
      <c r="E174" s="133">
        <f t="shared" si="28"/>
        <v>5.4056633355601402E-3</v>
      </c>
      <c r="F174" s="135">
        <v>18768.400000000001</v>
      </c>
      <c r="G174" s="67">
        <f t="shared" si="25"/>
        <v>2.1871869738496752E-3</v>
      </c>
      <c r="H174" s="1"/>
      <c r="I174" s="1"/>
      <c r="J174" s="1"/>
      <c r="K174" s="1"/>
      <c r="L174" s="1"/>
      <c r="M174" s="1"/>
      <c r="N174" s="1"/>
      <c r="O174" s="1"/>
      <c r="P174" s="1"/>
      <c r="Q174" s="1"/>
      <c r="R174" s="1"/>
      <c r="S174" s="1"/>
      <c r="T174" s="1"/>
      <c r="U174" s="1"/>
      <c r="V174" s="1"/>
      <c r="W174" s="2">
        <v>45377</v>
      </c>
      <c r="X174" s="3">
        <v>1469.2</v>
      </c>
      <c r="Y174" s="1">
        <f t="shared" si="26"/>
        <v>-5.684894423389153E-3</v>
      </c>
      <c r="Z174" s="1"/>
      <c r="AA174" s="1"/>
      <c r="AB174" s="1"/>
      <c r="AC174" s="1"/>
      <c r="AD174" s="1"/>
      <c r="AE174" s="1"/>
      <c r="AF174" s="1"/>
      <c r="AG174" s="1"/>
      <c r="AH174" s="1"/>
      <c r="AI174" s="1"/>
      <c r="AJ174" s="1"/>
      <c r="AK174" s="1"/>
    </row>
    <row r="175" spans="1:37">
      <c r="A175" s="134">
        <v>45377</v>
      </c>
      <c r="B175" s="135">
        <v>1469.2</v>
      </c>
      <c r="C175" s="133">
        <f t="shared" si="27"/>
        <v>-5.684894423389153E-3</v>
      </c>
      <c r="D175" s="133">
        <v>22004.7</v>
      </c>
      <c r="E175" s="133">
        <f t="shared" si="28"/>
        <v>-4.1657709844207247E-3</v>
      </c>
      <c r="F175" s="135">
        <v>18809.45</v>
      </c>
      <c r="G175" s="67">
        <f t="shared" si="25"/>
        <v>3.26963308336925E-4</v>
      </c>
      <c r="H175" s="1"/>
      <c r="I175" s="1"/>
      <c r="J175" s="1"/>
      <c r="K175" s="1"/>
      <c r="L175" s="1"/>
      <c r="M175" s="1"/>
      <c r="N175" s="1"/>
      <c r="O175" s="1"/>
      <c r="P175" s="1"/>
      <c r="Q175" s="1"/>
      <c r="R175" s="1"/>
      <c r="S175" s="1"/>
      <c r="T175" s="1"/>
      <c r="U175" s="1"/>
      <c r="V175" s="1"/>
      <c r="W175" s="2">
        <v>45373</v>
      </c>
      <c r="X175" s="3">
        <v>1477.6</v>
      </c>
      <c r="Y175" s="1">
        <f t="shared" si="26"/>
        <v>1.83321847002067E-2</v>
      </c>
      <c r="Z175" s="1"/>
      <c r="AA175" s="1"/>
      <c r="AB175" s="1"/>
      <c r="AC175" s="1"/>
      <c r="AD175" s="1"/>
      <c r="AE175" s="1"/>
      <c r="AF175" s="1"/>
      <c r="AG175" s="1"/>
      <c r="AH175" s="1"/>
      <c r="AI175" s="1"/>
      <c r="AJ175" s="1"/>
      <c r="AK175" s="1"/>
    </row>
    <row r="176" spans="1:37">
      <c r="A176" s="134">
        <v>45373</v>
      </c>
      <c r="B176" s="135">
        <v>1477.6</v>
      </c>
      <c r="C176" s="133">
        <f t="shared" si="27"/>
        <v>1.83321847002067E-2</v>
      </c>
      <c r="D176" s="133">
        <v>22096.75</v>
      </c>
      <c r="E176" s="133">
        <f t="shared" si="28"/>
        <v>3.8524528721899376E-3</v>
      </c>
      <c r="F176" s="135">
        <v>18815.599999999999</v>
      </c>
      <c r="G176" s="67">
        <f t="shared" si="25"/>
        <v>-1.2383341482599564E-2</v>
      </c>
      <c r="H176" s="1"/>
      <c r="I176" s="1"/>
      <c r="J176" s="1"/>
      <c r="K176" s="1"/>
      <c r="L176" s="1"/>
      <c r="M176" s="1"/>
      <c r="N176" s="1"/>
      <c r="O176" s="1"/>
      <c r="P176" s="1"/>
      <c r="Q176" s="1"/>
      <c r="R176" s="1"/>
      <c r="S176" s="1"/>
      <c r="T176" s="1"/>
      <c r="U176" s="1"/>
      <c r="V176" s="1"/>
      <c r="W176" s="2">
        <v>45372</v>
      </c>
      <c r="X176" s="3">
        <v>1451</v>
      </c>
      <c r="Y176" s="1">
        <f t="shared" si="26"/>
        <v>2.3524847458822551E-2</v>
      </c>
      <c r="Z176" s="1"/>
      <c r="AA176" s="1"/>
      <c r="AB176" s="1"/>
      <c r="AC176" s="1"/>
      <c r="AD176" s="1"/>
      <c r="AE176" s="1"/>
      <c r="AF176" s="1"/>
      <c r="AG176" s="1"/>
      <c r="AH176" s="1"/>
      <c r="AI176" s="1"/>
      <c r="AJ176" s="1"/>
      <c r="AK176" s="1"/>
    </row>
    <row r="177" spans="1:37">
      <c r="A177" s="134">
        <v>45372</v>
      </c>
      <c r="B177" s="135">
        <v>1451</v>
      </c>
      <c r="C177" s="133">
        <f t="shared" si="27"/>
        <v>2.3524847458822551E-2</v>
      </c>
      <c r="D177" s="133">
        <v>22011.95</v>
      </c>
      <c r="E177" s="133">
        <f t="shared" si="28"/>
        <v>7.9147034447391018E-3</v>
      </c>
      <c r="F177" s="135">
        <v>18582.599999999999</v>
      </c>
      <c r="G177" s="67">
        <f t="shared" si="25"/>
        <v>-1.1903608752273476E-2</v>
      </c>
      <c r="H177" s="1"/>
      <c r="I177" s="1"/>
      <c r="J177" s="1"/>
      <c r="K177" s="1"/>
      <c r="L177" s="1"/>
      <c r="M177" s="1"/>
      <c r="N177" s="1"/>
      <c r="O177" s="1"/>
      <c r="P177" s="1"/>
      <c r="Q177" s="1"/>
      <c r="R177" s="1"/>
      <c r="S177" s="1"/>
      <c r="T177" s="1"/>
      <c r="U177" s="1"/>
      <c r="V177" s="1"/>
      <c r="W177" s="2">
        <v>45371</v>
      </c>
      <c r="X177" s="3">
        <v>1417.65</v>
      </c>
      <c r="Y177" s="1">
        <f t="shared" si="26"/>
        <v>-1.2056169204501921E-2</v>
      </c>
      <c r="Z177" s="1"/>
      <c r="AA177" s="1"/>
      <c r="AB177" s="1"/>
      <c r="AC177" s="1"/>
      <c r="AD177" s="1"/>
      <c r="AE177" s="1"/>
      <c r="AF177" s="1"/>
      <c r="AG177" s="1"/>
      <c r="AH177" s="1"/>
      <c r="AI177" s="1"/>
      <c r="AJ177" s="1"/>
      <c r="AK177" s="1"/>
    </row>
    <row r="178" spans="1:37">
      <c r="A178" s="134">
        <v>45371</v>
      </c>
      <c r="B178" s="135">
        <v>1417.65</v>
      </c>
      <c r="C178" s="133">
        <f t="shared" si="27"/>
        <v>-1.2056169204501921E-2</v>
      </c>
      <c r="D178" s="133">
        <v>21839.1</v>
      </c>
      <c r="E178" s="133">
        <f t="shared" si="28"/>
        <v>9.9232495089940365E-4</v>
      </c>
      <c r="F178" s="135">
        <v>18361.400000000001</v>
      </c>
      <c r="G178" s="67">
        <f t="shared" si="25"/>
        <v>2.4099469539360374E-3</v>
      </c>
      <c r="H178" s="1"/>
      <c r="I178" s="1"/>
      <c r="J178" s="1"/>
      <c r="K178" s="1"/>
      <c r="L178" s="1"/>
      <c r="M178" s="1"/>
      <c r="N178" s="1"/>
      <c r="O178" s="1"/>
      <c r="P178" s="1"/>
      <c r="Q178" s="1"/>
      <c r="R178" s="1"/>
      <c r="S178" s="1"/>
      <c r="T178" s="1"/>
      <c r="U178" s="1"/>
      <c r="V178" s="1"/>
      <c r="W178" s="2">
        <v>45370</v>
      </c>
      <c r="X178" s="3">
        <v>1434.95</v>
      </c>
      <c r="Y178" s="1">
        <f t="shared" si="26"/>
        <v>-3.2726659925850998E-2</v>
      </c>
      <c r="Z178" s="1"/>
      <c r="AA178" s="1"/>
      <c r="AB178" s="1"/>
      <c r="AC178" s="1"/>
      <c r="AD178" s="1"/>
      <c r="AE178" s="1"/>
      <c r="AF178" s="1"/>
      <c r="AG178" s="1"/>
      <c r="AH178" s="1"/>
      <c r="AI178" s="1"/>
      <c r="AJ178" s="1"/>
      <c r="AK178" s="1"/>
    </row>
    <row r="179" spans="1:37">
      <c r="A179" s="134">
        <v>45370</v>
      </c>
      <c r="B179" s="135">
        <v>1434.95</v>
      </c>
      <c r="C179" s="133">
        <f t="shared" si="27"/>
        <v>-3.2726659925850998E-2</v>
      </c>
      <c r="D179" s="133">
        <v>21817.45</v>
      </c>
      <c r="E179" s="133">
        <f t="shared" si="28"/>
        <v>-1.0802196257656771E-2</v>
      </c>
      <c r="F179" s="135">
        <v>18405.650000000001</v>
      </c>
      <c r="G179" s="67">
        <f t="shared" si="25"/>
        <v>2.2205138096182298E-2</v>
      </c>
      <c r="H179" s="1"/>
      <c r="I179" s="1"/>
      <c r="J179" s="1"/>
      <c r="K179" s="1"/>
      <c r="L179" s="1"/>
      <c r="M179" s="1"/>
      <c r="N179" s="1"/>
      <c r="O179" s="1"/>
      <c r="P179" s="1"/>
      <c r="Q179" s="1"/>
      <c r="R179" s="1"/>
      <c r="S179" s="1"/>
      <c r="T179" s="1"/>
      <c r="U179" s="1"/>
      <c r="V179" s="1"/>
      <c r="W179" s="2">
        <v>45369</v>
      </c>
      <c r="X179" s="3">
        <v>1483.5</v>
      </c>
      <c r="Y179" s="1">
        <f t="shared" si="26"/>
        <v>6.0704168352909704E-4</v>
      </c>
      <c r="Z179" s="1"/>
      <c r="AA179" s="1"/>
      <c r="AB179" s="1"/>
      <c r="AC179" s="1"/>
      <c r="AD179" s="1"/>
      <c r="AE179" s="1"/>
      <c r="AF179" s="1"/>
      <c r="AG179" s="1"/>
      <c r="AH179" s="1"/>
      <c r="AI179" s="1"/>
      <c r="AJ179" s="1"/>
      <c r="AK179" s="1"/>
    </row>
    <row r="180" spans="1:37">
      <c r="A180" s="134">
        <v>45369</v>
      </c>
      <c r="B180" s="135">
        <v>1483.5</v>
      </c>
      <c r="C180" s="133">
        <f t="shared" si="27"/>
        <v>6.0704168352909704E-4</v>
      </c>
      <c r="D180" s="133">
        <v>22055.7</v>
      </c>
      <c r="E180" s="133">
        <f t="shared" si="28"/>
        <v>1.4688955131714199E-3</v>
      </c>
      <c r="F180" s="135">
        <v>18814.349999999999</v>
      </c>
      <c r="G180" s="67">
        <f t="shared" si="25"/>
        <v>-5.0971731683527866E-3</v>
      </c>
      <c r="H180" s="1"/>
      <c r="I180" s="1"/>
      <c r="J180" s="1"/>
      <c r="K180" s="1"/>
      <c r="L180" s="1"/>
      <c r="M180" s="1"/>
      <c r="N180" s="1"/>
      <c r="O180" s="1"/>
      <c r="P180" s="1"/>
      <c r="Q180" s="1"/>
      <c r="R180" s="1"/>
      <c r="S180" s="1"/>
      <c r="T180" s="1"/>
      <c r="U180" s="1"/>
      <c r="V180" s="1"/>
      <c r="W180" s="2">
        <v>45366</v>
      </c>
      <c r="X180" s="3">
        <v>1482.6</v>
      </c>
      <c r="Y180" s="1">
        <f t="shared" si="26"/>
        <v>-1.1600000000000055E-2</v>
      </c>
      <c r="Z180" s="1"/>
      <c r="AA180" s="1"/>
      <c r="AB180" s="1"/>
      <c r="AC180" s="1"/>
      <c r="AD180" s="1"/>
      <c r="AE180" s="1"/>
      <c r="AF180" s="1"/>
      <c r="AG180" s="1"/>
      <c r="AH180" s="1"/>
      <c r="AI180" s="1"/>
      <c r="AJ180" s="1"/>
      <c r="AK180" s="1"/>
    </row>
    <row r="181" spans="1:37">
      <c r="A181" s="134">
        <v>45366</v>
      </c>
      <c r="B181" s="135">
        <v>1482.6</v>
      </c>
      <c r="C181" s="133">
        <f t="shared" si="27"/>
        <v>-1.1600000000000055E-2</v>
      </c>
      <c r="D181" s="133">
        <v>22023.35</v>
      </c>
      <c r="E181" s="133">
        <f t="shared" si="28"/>
        <v>-5.5674334493028832E-3</v>
      </c>
      <c r="F181" s="135">
        <v>18718.45</v>
      </c>
      <c r="G181" s="67">
        <f t="shared" si="25"/>
        <v>9.5440594707358883E-3</v>
      </c>
      <c r="H181" s="1"/>
      <c r="I181" s="1"/>
      <c r="J181" s="1"/>
      <c r="K181" s="1"/>
      <c r="L181" s="1"/>
      <c r="M181" s="1"/>
      <c r="N181" s="1"/>
      <c r="O181" s="1"/>
      <c r="P181" s="1"/>
      <c r="Q181" s="1"/>
      <c r="R181" s="1"/>
      <c r="S181" s="1"/>
      <c r="T181" s="1"/>
      <c r="U181" s="1"/>
      <c r="V181" s="1"/>
      <c r="W181" s="2">
        <v>45365</v>
      </c>
      <c r="X181" s="3">
        <v>1500</v>
      </c>
      <c r="Y181" s="1">
        <f t="shared" si="26"/>
        <v>2.2042039995911811E-2</v>
      </c>
      <c r="Z181" s="1"/>
      <c r="AA181" s="1"/>
      <c r="AB181" s="1"/>
      <c r="AC181" s="1"/>
      <c r="AD181" s="1"/>
      <c r="AE181" s="1"/>
      <c r="AF181" s="1"/>
      <c r="AG181" s="1"/>
      <c r="AH181" s="1"/>
      <c r="AI181" s="1"/>
      <c r="AJ181" s="1"/>
      <c r="AK181" s="1"/>
    </row>
    <row r="182" spans="1:37">
      <c r="A182" s="134">
        <v>45365</v>
      </c>
      <c r="B182" s="135">
        <v>1500</v>
      </c>
      <c r="C182" s="133">
        <f t="shared" si="27"/>
        <v>2.2042039995911811E-2</v>
      </c>
      <c r="D182" s="133">
        <v>22146.65</v>
      </c>
      <c r="E182" s="133">
        <f t="shared" si="28"/>
        <v>6.7711624397095438E-3</v>
      </c>
      <c r="F182" s="135">
        <v>18897.099999999999</v>
      </c>
      <c r="G182" s="67">
        <f t="shared" si="25"/>
        <v>-1.3832810325393741E-2</v>
      </c>
      <c r="H182" s="1"/>
      <c r="I182" s="1"/>
      <c r="J182" s="1"/>
      <c r="K182" s="1"/>
      <c r="L182" s="1"/>
      <c r="M182" s="1"/>
      <c r="N182" s="1"/>
      <c r="O182" s="1"/>
      <c r="P182" s="1"/>
      <c r="Q182" s="1"/>
      <c r="R182" s="1"/>
      <c r="S182" s="1"/>
      <c r="T182" s="1"/>
      <c r="U182" s="1"/>
      <c r="V182" s="1"/>
      <c r="W182" s="2">
        <v>45364</v>
      </c>
      <c r="X182" s="3">
        <v>1467.65</v>
      </c>
      <c r="Y182" s="1">
        <f t="shared" si="26"/>
        <v>-2.1416915964099781E-3</v>
      </c>
      <c r="Z182" s="1"/>
      <c r="AA182" s="1"/>
      <c r="AB182" s="1"/>
      <c r="AC182" s="1"/>
      <c r="AD182" s="1"/>
      <c r="AE182" s="1"/>
      <c r="AF182" s="1"/>
      <c r="AG182" s="1"/>
      <c r="AH182" s="1"/>
      <c r="AI182" s="1"/>
      <c r="AJ182" s="1"/>
      <c r="AK182" s="1"/>
    </row>
    <row r="183" spans="1:37">
      <c r="A183" s="134">
        <v>45364</v>
      </c>
      <c r="B183" s="135">
        <v>1467.65</v>
      </c>
      <c r="C183" s="133">
        <f t="shared" si="27"/>
        <v>-2.1416915964099781E-3</v>
      </c>
      <c r="D183" s="133">
        <v>21997.7</v>
      </c>
      <c r="E183" s="133">
        <f t="shared" si="28"/>
        <v>-1.5132724741109493E-2</v>
      </c>
      <c r="F183" s="135">
        <v>18635.7</v>
      </c>
      <c r="G183" s="67">
        <f t="shared" si="25"/>
        <v>1.7332324516921904E-2</v>
      </c>
      <c r="H183" s="1"/>
      <c r="I183" s="1"/>
      <c r="J183" s="1"/>
      <c r="K183" s="1"/>
      <c r="L183" s="1"/>
      <c r="M183" s="1"/>
      <c r="N183" s="1"/>
      <c r="O183" s="1"/>
      <c r="P183" s="1"/>
      <c r="Q183" s="1"/>
      <c r="R183" s="1"/>
      <c r="S183" s="1"/>
      <c r="T183" s="1"/>
      <c r="U183" s="1"/>
      <c r="V183" s="1"/>
      <c r="W183" s="2">
        <v>45363</v>
      </c>
      <c r="X183" s="3">
        <v>1470.8</v>
      </c>
      <c r="Y183" s="1">
        <f t="shared" si="26"/>
        <v>-2.2724252491694408E-2</v>
      </c>
      <c r="Z183" s="1"/>
      <c r="AA183" s="1"/>
      <c r="AB183" s="1"/>
      <c r="AC183" s="1"/>
      <c r="AD183" s="1"/>
      <c r="AE183" s="1"/>
      <c r="AF183" s="1"/>
      <c r="AG183" s="1"/>
      <c r="AH183" s="1"/>
      <c r="AI183" s="1"/>
      <c r="AJ183" s="1"/>
      <c r="AK183" s="1"/>
    </row>
    <row r="184" spans="1:37">
      <c r="A184" s="134">
        <v>45363</v>
      </c>
      <c r="B184" s="135">
        <v>1470.8</v>
      </c>
      <c r="C184" s="133">
        <f t="shared" si="27"/>
        <v>-2.2724252491694408E-2</v>
      </c>
      <c r="D184" s="133">
        <v>22335.7</v>
      </c>
      <c r="E184" s="133">
        <f t="shared" si="28"/>
        <v>1.3657134285449679E-4</v>
      </c>
      <c r="F184" s="135">
        <v>18958.7</v>
      </c>
      <c r="G184" s="67">
        <f t="shared" si="25"/>
        <v>1.2835795703291852E-2</v>
      </c>
      <c r="H184" s="1"/>
      <c r="I184" s="1"/>
      <c r="J184" s="1"/>
      <c r="K184" s="1"/>
      <c r="L184" s="1"/>
      <c r="M184" s="1"/>
      <c r="N184" s="1"/>
      <c r="O184" s="1"/>
      <c r="P184" s="1"/>
      <c r="Q184" s="1"/>
      <c r="R184" s="1"/>
      <c r="S184" s="1"/>
      <c r="T184" s="1"/>
      <c r="U184" s="1"/>
      <c r="V184" s="1"/>
      <c r="W184" s="2">
        <v>45362</v>
      </c>
      <c r="X184" s="3">
        <v>1505</v>
      </c>
      <c r="Y184" s="1">
        <f t="shared" si="26"/>
        <v>1.4321819713563499E-2</v>
      </c>
      <c r="Z184" s="1"/>
      <c r="AA184" s="1"/>
      <c r="AB184" s="1"/>
      <c r="AC184" s="1"/>
      <c r="AD184" s="1"/>
      <c r="AE184" s="1"/>
      <c r="AF184" s="1"/>
      <c r="AG184" s="1"/>
      <c r="AH184" s="1"/>
      <c r="AI184" s="1"/>
      <c r="AJ184" s="1"/>
      <c r="AK184" s="1"/>
    </row>
    <row r="185" spans="1:37">
      <c r="A185" s="134">
        <v>45362</v>
      </c>
      <c r="B185" s="135">
        <v>1505</v>
      </c>
      <c r="C185" s="133">
        <f t="shared" si="27"/>
        <v>1.4321819713563499E-2</v>
      </c>
      <c r="D185" s="133">
        <v>22332.65</v>
      </c>
      <c r="E185" s="133">
        <f t="shared" si="28"/>
        <v>-7.1531616841271628E-3</v>
      </c>
      <c r="F185" s="135">
        <v>19202.05</v>
      </c>
      <c r="G185" s="67">
        <f t="shared" si="25"/>
        <v>-4.1401829492171416E-4</v>
      </c>
      <c r="H185" s="1"/>
      <c r="I185" s="1"/>
      <c r="J185" s="1"/>
      <c r="K185" s="1"/>
      <c r="L185" s="1"/>
      <c r="M185" s="1"/>
      <c r="N185" s="1"/>
      <c r="O185" s="1"/>
      <c r="P185" s="1"/>
      <c r="Q185" s="1"/>
      <c r="R185" s="1"/>
      <c r="S185" s="1"/>
      <c r="T185" s="1"/>
      <c r="U185" s="1"/>
      <c r="V185" s="1"/>
      <c r="W185" s="2">
        <v>45358</v>
      </c>
      <c r="X185" s="3">
        <v>1483.75</v>
      </c>
      <c r="Y185" s="1">
        <f t="shared" si="26"/>
        <v>-2.8561827956988806E-3</v>
      </c>
      <c r="Z185" s="1"/>
      <c r="AA185" s="1"/>
      <c r="AB185" s="1"/>
      <c r="AC185" s="1"/>
      <c r="AD185" s="1"/>
      <c r="AE185" s="1"/>
      <c r="AF185" s="1"/>
      <c r="AG185" s="1"/>
      <c r="AH185" s="1"/>
      <c r="AI185" s="1"/>
      <c r="AJ185" s="1"/>
      <c r="AK185" s="1"/>
    </row>
    <row r="186" spans="1:37">
      <c r="A186" s="134">
        <v>45358</v>
      </c>
      <c r="B186" s="135">
        <v>1483.75</v>
      </c>
      <c r="C186" s="133">
        <f t="shared" si="27"/>
        <v>-2.8561827956988806E-3</v>
      </c>
      <c r="D186" s="133">
        <v>22493.55</v>
      </c>
      <c r="E186" s="133">
        <f t="shared" si="28"/>
        <v>8.6766737637411495E-4</v>
      </c>
      <c r="F186" s="135">
        <v>19194.099999999999</v>
      </c>
      <c r="G186" s="67">
        <f t="shared" si="25"/>
        <v>-2.8185744577760019E-3</v>
      </c>
      <c r="H186" s="1"/>
      <c r="I186" s="1"/>
      <c r="J186" s="1"/>
      <c r="K186" s="1"/>
      <c r="L186" s="1"/>
      <c r="M186" s="1"/>
      <c r="N186" s="1"/>
      <c r="O186" s="1"/>
      <c r="P186" s="1"/>
      <c r="Q186" s="1"/>
      <c r="R186" s="1"/>
      <c r="S186" s="1"/>
      <c r="T186" s="1"/>
      <c r="U186" s="1"/>
      <c r="V186" s="1"/>
      <c r="W186" s="2">
        <v>45357</v>
      </c>
      <c r="X186" s="3">
        <v>1488</v>
      </c>
      <c r="Y186" s="1">
        <f t="shared" si="26"/>
        <v>6.1532219893163376E-3</v>
      </c>
      <c r="Z186" s="1"/>
      <c r="AA186" s="1"/>
      <c r="AB186" s="1"/>
      <c r="AC186" s="1"/>
      <c r="AD186" s="1"/>
      <c r="AE186" s="1"/>
      <c r="AF186" s="1"/>
      <c r="AG186" s="1"/>
      <c r="AH186" s="1"/>
      <c r="AI186" s="1"/>
      <c r="AJ186" s="1"/>
      <c r="AK186" s="1"/>
    </row>
    <row r="187" spans="1:37">
      <c r="A187" s="134">
        <v>45357</v>
      </c>
      <c r="B187" s="135">
        <v>1488</v>
      </c>
      <c r="C187" s="133">
        <f t="shared" si="27"/>
        <v>6.1532219893163376E-3</v>
      </c>
      <c r="D187" s="133">
        <v>22474.05</v>
      </c>
      <c r="E187" s="133">
        <f t="shared" si="28"/>
        <v>5.2669717260906967E-3</v>
      </c>
      <c r="F187" s="135">
        <v>19140</v>
      </c>
      <c r="G187" s="67">
        <f t="shared" si="25"/>
        <v>-6.3479623824451714E-3</v>
      </c>
      <c r="H187" s="1"/>
      <c r="I187" s="1"/>
      <c r="J187" s="1"/>
      <c r="K187" s="1"/>
      <c r="L187" s="1"/>
      <c r="M187" s="1"/>
      <c r="N187" s="1"/>
      <c r="O187" s="1"/>
      <c r="P187" s="1"/>
      <c r="Q187" s="1"/>
      <c r="R187" s="1"/>
      <c r="S187" s="1"/>
      <c r="T187" s="1"/>
      <c r="U187" s="1"/>
      <c r="V187" s="1"/>
      <c r="W187" s="2">
        <v>45356</v>
      </c>
      <c r="X187" s="3">
        <v>1478.9</v>
      </c>
      <c r="Y187" s="1">
        <f t="shared" si="26"/>
        <v>4.6874999999999556E-3</v>
      </c>
      <c r="Z187" s="1"/>
      <c r="AA187" s="1"/>
      <c r="AB187" s="1"/>
      <c r="AC187" s="1"/>
      <c r="AD187" s="1"/>
      <c r="AE187" s="1"/>
      <c r="AF187" s="1"/>
      <c r="AG187" s="1"/>
      <c r="AH187" s="1"/>
      <c r="AI187" s="1"/>
      <c r="AJ187" s="1"/>
      <c r="AK187" s="1"/>
    </row>
    <row r="188" spans="1:37">
      <c r="A188" s="134">
        <v>45356</v>
      </c>
      <c r="B188" s="135">
        <v>1478.9</v>
      </c>
      <c r="C188" s="133">
        <f t="shared" si="27"/>
        <v>4.6874999999999556E-3</v>
      </c>
      <c r="D188" s="133">
        <v>22356.3</v>
      </c>
      <c r="E188" s="133">
        <f t="shared" si="28"/>
        <v>-2.2003427714499812E-3</v>
      </c>
      <c r="F188" s="135">
        <v>19018.5</v>
      </c>
      <c r="G188" s="67">
        <f t="shared" si="25"/>
        <v>-3.0654362857217565E-3</v>
      </c>
      <c r="H188" s="1"/>
      <c r="I188" s="1"/>
      <c r="J188" s="1"/>
      <c r="K188" s="1"/>
      <c r="L188" s="1"/>
      <c r="M188" s="1"/>
      <c r="N188" s="1"/>
      <c r="O188" s="1"/>
      <c r="P188" s="1"/>
      <c r="Q188" s="1"/>
      <c r="R188" s="1"/>
      <c r="S188" s="1"/>
      <c r="T188" s="1"/>
      <c r="U188" s="1"/>
      <c r="V188" s="1"/>
      <c r="W188" s="2">
        <v>45355</v>
      </c>
      <c r="X188" s="3">
        <v>1472</v>
      </c>
      <c r="Y188" s="1">
        <f t="shared" si="26"/>
        <v>3.37411812821653E-3</v>
      </c>
      <c r="Z188" s="1"/>
      <c r="AA188" s="1"/>
      <c r="AB188" s="1"/>
      <c r="AC188" s="1"/>
      <c r="AD188" s="1"/>
      <c r="AE188" s="1"/>
      <c r="AF188" s="1"/>
      <c r="AG188" s="1"/>
      <c r="AH188" s="1"/>
      <c r="AI188" s="1"/>
      <c r="AJ188" s="1"/>
      <c r="AK188" s="1"/>
    </row>
    <row r="189" spans="1:37">
      <c r="A189" s="134">
        <v>45355</v>
      </c>
      <c r="B189" s="135">
        <v>1472</v>
      </c>
      <c r="C189" s="133">
        <f t="shared" si="27"/>
        <v>3.37411812821653E-3</v>
      </c>
      <c r="D189" s="133">
        <v>22405.599999999999</v>
      </c>
      <c r="E189" s="133">
        <f t="shared" si="28"/>
        <v>2.9925577751663823E-3</v>
      </c>
      <c r="F189" s="135">
        <v>18960.2</v>
      </c>
      <c r="G189" s="67">
        <f t="shared" si="25"/>
        <v>-2.8823535616713247E-3</v>
      </c>
      <c r="H189" s="1"/>
      <c r="I189" s="1"/>
      <c r="J189" s="1"/>
      <c r="K189" s="1"/>
      <c r="L189" s="1"/>
      <c r="M189" s="1"/>
      <c r="N189" s="1"/>
      <c r="O189" s="1"/>
      <c r="P189" s="1"/>
      <c r="Q189" s="1"/>
      <c r="R189" s="1"/>
      <c r="S189" s="1"/>
      <c r="T189" s="1"/>
      <c r="U189" s="1"/>
      <c r="V189" s="1"/>
      <c r="W189" s="2">
        <v>45352</v>
      </c>
      <c r="X189" s="3">
        <v>1467.05</v>
      </c>
      <c r="Y189" s="1">
        <f t="shared" si="26"/>
        <v>-5.2886734244159683E-3</v>
      </c>
      <c r="Z189" s="1"/>
      <c r="AA189" s="1"/>
      <c r="AB189" s="1"/>
      <c r="AC189" s="1"/>
      <c r="AD189" s="1"/>
      <c r="AE189" s="1"/>
      <c r="AF189" s="1"/>
      <c r="AG189" s="1"/>
      <c r="AH189" s="1"/>
      <c r="AI189" s="1"/>
      <c r="AJ189" s="1"/>
      <c r="AK189" s="1"/>
    </row>
    <row r="190" spans="1:37">
      <c r="A190" s="134">
        <v>45352</v>
      </c>
      <c r="B190" s="135">
        <v>1467.05</v>
      </c>
      <c r="C190" s="133">
        <f t="shared" si="27"/>
        <v>-5.2886734244159683E-3</v>
      </c>
      <c r="D190" s="133">
        <v>22338.75</v>
      </c>
      <c r="E190" s="133">
        <f t="shared" si="28"/>
        <v>1.6192204814673428E-2</v>
      </c>
      <c r="F190" s="135">
        <v>18905.55</v>
      </c>
      <c r="G190" s="67">
        <f t="shared" si="25"/>
        <v>-4.4034688226473051E-3</v>
      </c>
      <c r="H190" s="1"/>
      <c r="I190" s="1"/>
      <c r="J190" s="1"/>
      <c r="K190" s="1"/>
      <c r="L190" s="1"/>
      <c r="M190" s="1"/>
      <c r="N190" s="1"/>
      <c r="O190" s="1"/>
      <c r="P190" s="1"/>
      <c r="Q190" s="1"/>
      <c r="R190" s="1"/>
      <c r="S190" s="1"/>
      <c r="T190" s="1"/>
      <c r="U190" s="1"/>
      <c r="V190" s="1"/>
      <c r="W190" s="2">
        <v>45351</v>
      </c>
      <c r="X190" s="3">
        <v>1474.85</v>
      </c>
      <c r="Y190" s="1">
        <f t="shared" si="26"/>
        <v>1.1539897498555884E-3</v>
      </c>
      <c r="Z190" s="1"/>
      <c r="AA190" s="1"/>
      <c r="AB190" s="1"/>
      <c r="AC190" s="1"/>
      <c r="AD190" s="1"/>
      <c r="AE190" s="1"/>
      <c r="AF190" s="1"/>
      <c r="AG190" s="1"/>
      <c r="AH190" s="1"/>
      <c r="AI190" s="1"/>
      <c r="AJ190" s="1"/>
      <c r="AK190" s="1"/>
    </row>
    <row r="191" spans="1:37">
      <c r="A191" s="134">
        <v>45351</v>
      </c>
      <c r="B191" s="135">
        <v>1474.85</v>
      </c>
      <c r="C191" s="133">
        <f t="shared" si="27"/>
        <v>1.1539897498555884E-3</v>
      </c>
      <c r="D191" s="133">
        <v>21982.799999999999</v>
      </c>
      <c r="E191" s="133">
        <f t="shared" si="28"/>
        <v>1.4418378991531977E-3</v>
      </c>
      <c r="F191" s="135">
        <v>18822.3</v>
      </c>
      <c r="G191" s="67">
        <f t="shared" si="25"/>
        <v>9.608283791035177E-3</v>
      </c>
      <c r="H191" s="1"/>
      <c r="I191" s="1"/>
      <c r="J191" s="1"/>
      <c r="K191" s="1"/>
      <c r="L191" s="1"/>
      <c r="M191" s="1"/>
      <c r="N191" s="1"/>
      <c r="O191" s="1"/>
      <c r="P191" s="1"/>
      <c r="Q191" s="1"/>
      <c r="R191" s="1"/>
      <c r="S191" s="1"/>
      <c r="T191" s="1"/>
      <c r="U191" s="1"/>
      <c r="V191" s="1"/>
      <c r="W191" s="2">
        <v>45350</v>
      </c>
      <c r="X191" s="3">
        <v>1473.15</v>
      </c>
      <c r="Y191" s="1">
        <f t="shared" si="26"/>
        <v>-1.1673543322934354E-2</v>
      </c>
      <c r="Z191" s="1"/>
      <c r="AA191" s="1"/>
      <c r="AB191" s="1"/>
      <c r="AC191" s="1"/>
      <c r="AD191" s="1"/>
      <c r="AE191" s="1"/>
      <c r="AF191" s="1"/>
      <c r="AG191" s="1"/>
      <c r="AH191" s="1"/>
      <c r="AI191" s="1"/>
      <c r="AJ191" s="1"/>
      <c r="AK191" s="1"/>
    </row>
    <row r="192" spans="1:37">
      <c r="A192" s="134">
        <v>45350</v>
      </c>
      <c r="B192" s="135">
        <v>1473.15</v>
      </c>
      <c r="C192" s="133">
        <f t="shared" si="27"/>
        <v>-1.1673543322934354E-2</v>
      </c>
      <c r="D192" s="133">
        <v>21951.15</v>
      </c>
      <c r="E192" s="133">
        <f t="shared" si="28"/>
        <v>-1.1135962808046407E-2</v>
      </c>
      <c r="F192" s="135">
        <v>19003.150000000001</v>
      </c>
      <c r="G192" s="67">
        <f t="shared" si="25"/>
        <v>-3.1889449906989942E-3</v>
      </c>
      <c r="H192" s="1"/>
      <c r="I192" s="1"/>
      <c r="J192" s="1"/>
      <c r="K192" s="1"/>
      <c r="L192" s="1"/>
      <c r="M192" s="1"/>
      <c r="N192" s="1"/>
      <c r="O192" s="1"/>
      <c r="P192" s="1"/>
      <c r="Q192" s="1"/>
      <c r="R192" s="1"/>
      <c r="S192" s="1"/>
      <c r="T192" s="1"/>
      <c r="U192" s="1"/>
      <c r="V192" s="1"/>
      <c r="W192" s="2">
        <v>45349</v>
      </c>
      <c r="X192" s="3">
        <v>1490.55</v>
      </c>
      <c r="Y192" s="1">
        <f t="shared" si="26"/>
        <v>1.6746248294679411E-2</v>
      </c>
      <c r="Z192" s="1"/>
      <c r="AA192" s="1"/>
      <c r="AB192" s="1"/>
      <c r="AC192" s="1"/>
      <c r="AD192" s="1"/>
      <c r="AE192" s="1"/>
      <c r="AF192" s="1"/>
      <c r="AG192" s="1"/>
      <c r="AH192" s="1"/>
      <c r="AI192" s="1"/>
      <c r="AJ192" s="1"/>
      <c r="AK192" s="1"/>
    </row>
    <row r="193" spans="1:37">
      <c r="A193" s="134">
        <v>45349</v>
      </c>
      <c r="B193" s="135">
        <v>1490.55</v>
      </c>
      <c r="C193" s="133">
        <f t="shared" si="27"/>
        <v>1.6746248294679411E-2</v>
      </c>
      <c r="D193" s="133">
        <v>22198.35</v>
      </c>
      <c r="E193" s="133">
        <f t="shared" si="28"/>
        <v>3.4490474436139618E-3</v>
      </c>
      <c r="F193" s="135">
        <v>18942.55</v>
      </c>
      <c r="G193" s="67">
        <f t="shared" si="25"/>
        <v>6.4220498296163608E-3</v>
      </c>
      <c r="H193" s="1"/>
      <c r="I193" s="1"/>
      <c r="J193" s="1"/>
      <c r="K193" s="1"/>
      <c r="L193" s="1"/>
      <c r="M193" s="1"/>
      <c r="N193" s="1"/>
      <c r="O193" s="1"/>
      <c r="P193" s="1"/>
      <c r="Q193" s="1"/>
      <c r="R193" s="1"/>
      <c r="S193" s="1"/>
      <c r="T193" s="1"/>
      <c r="U193" s="1"/>
      <c r="V193" s="1"/>
      <c r="W193" s="2">
        <v>45348</v>
      </c>
      <c r="X193" s="3">
        <v>1466</v>
      </c>
      <c r="Y193" s="1">
        <f t="shared" si="26"/>
        <v>7.1674801187748827E-4</v>
      </c>
      <c r="Z193" s="1"/>
      <c r="AA193" s="1"/>
      <c r="AB193" s="1"/>
      <c r="AC193" s="1"/>
      <c r="AD193" s="1"/>
      <c r="AE193" s="1"/>
      <c r="AF193" s="1"/>
      <c r="AG193" s="1"/>
      <c r="AH193" s="1"/>
      <c r="AI193" s="1"/>
      <c r="AJ193" s="1"/>
      <c r="AK193" s="1"/>
    </row>
    <row r="194" spans="1:37">
      <c r="A194" s="134">
        <v>45348</v>
      </c>
      <c r="B194" s="135">
        <v>1466</v>
      </c>
      <c r="C194" s="133">
        <f t="shared" si="27"/>
        <v>7.1674801187748827E-4</v>
      </c>
      <c r="D194" s="133">
        <v>22122.05</v>
      </c>
      <c r="E194" s="133">
        <f t="shared" si="28"/>
        <v>-4.0809987079464261E-3</v>
      </c>
      <c r="F194" s="135">
        <v>19064.2</v>
      </c>
      <c r="G194" s="67">
        <f t="shared" si="25"/>
        <v>-5.6519549731958163E-3</v>
      </c>
      <c r="H194" s="1"/>
      <c r="I194" s="1"/>
      <c r="J194" s="1"/>
      <c r="K194" s="1"/>
      <c r="L194" s="1"/>
      <c r="M194" s="1"/>
      <c r="N194" s="1"/>
      <c r="O194" s="1"/>
      <c r="P194" s="1"/>
      <c r="Q194" s="1"/>
      <c r="R194" s="1"/>
      <c r="S194" s="1"/>
      <c r="T194" s="1"/>
      <c r="U194" s="1"/>
      <c r="V194" s="1"/>
      <c r="W194" s="2">
        <v>45345</v>
      </c>
      <c r="X194" s="3">
        <v>1464.95</v>
      </c>
      <c r="Y194" s="1">
        <f t="shared" si="26"/>
        <v>1.1740736903898652E-2</v>
      </c>
      <c r="Z194" s="1"/>
      <c r="AA194" s="1"/>
      <c r="AB194" s="1"/>
      <c r="AC194" s="1"/>
      <c r="AD194" s="1"/>
      <c r="AE194" s="1"/>
      <c r="AF194" s="1"/>
      <c r="AG194" s="1"/>
      <c r="AH194" s="1"/>
      <c r="AI194" s="1"/>
      <c r="AJ194" s="1"/>
      <c r="AK194" s="1"/>
    </row>
    <row r="195" spans="1:37">
      <c r="A195" s="134">
        <v>45345</v>
      </c>
      <c r="B195" s="135">
        <v>1464.95</v>
      </c>
      <c r="C195" s="133">
        <f t="shared" si="27"/>
        <v>1.1740736903898652E-2</v>
      </c>
      <c r="D195" s="133">
        <v>22212.7</v>
      </c>
      <c r="E195" s="133">
        <f t="shared" si="28"/>
        <v>-2.1379591267223219E-4</v>
      </c>
      <c r="F195" s="135">
        <v>18956.45</v>
      </c>
      <c r="G195" s="67">
        <f t="shared" si="25"/>
        <v>4.8505917510925922E-3</v>
      </c>
      <c r="H195" s="1"/>
      <c r="I195" s="1"/>
      <c r="J195" s="1"/>
      <c r="K195" s="1"/>
      <c r="L195" s="1"/>
      <c r="M195" s="1"/>
      <c r="N195" s="1"/>
      <c r="O195" s="1"/>
      <c r="P195" s="1"/>
      <c r="Q195" s="1"/>
      <c r="R195" s="1"/>
      <c r="S195" s="1"/>
      <c r="T195" s="1"/>
      <c r="U195" s="1"/>
      <c r="V195" s="1"/>
      <c r="W195" s="2">
        <v>45344</v>
      </c>
      <c r="X195" s="3">
        <v>1447.95</v>
      </c>
      <c r="Y195" s="1">
        <f t="shared" si="26"/>
        <v>0</v>
      </c>
      <c r="Z195" s="1"/>
      <c r="AA195" s="1"/>
      <c r="AB195" s="1"/>
      <c r="AC195" s="1"/>
      <c r="AD195" s="1"/>
      <c r="AE195" s="1"/>
      <c r="AF195" s="1"/>
      <c r="AG195" s="1"/>
      <c r="AH195" s="1"/>
      <c r="AI195" s="1"/>
      <c r="AJ195" s="1"/>
      <c r="AK195" s="1"/>
    </row>
    <row r="196" spans="1:37">
      <c r="A196" s="134">
        <v>45344</v>
      </c>
      <c r="B196" s="135">
        <v>1447.95</v>
      </c>
      <c r="C196" s="133">
        <f t="shared" si="27"/>
        <v>0</v>
      </c>
      <c r="D196" s="133">
        <v>22217.45</v>
      </c>
      <c r="E196" s="133">
        <f t="shared" si="28"/>
        <v>7.3633929644232321E-3</v>
      </c>
      <c r="F196" s="135">
        <v>19048.400000000001</v>
      </c>
      <c r="G196" s="67">
        <f t="shared" si="25"/>
        <v>-4.1447050670923025E-3</v>
      </c>
      <c r="H196" s="1"/>
      <c r="I196" s="1"/>
      <c r="J196" s="1"/>
      <c r="K196" s="1"/>
      <c r="L196" s="1"/>
      <c r="M196" s="1"/>
      <c r="N196" s="1"/>
      <c r="O196" s="1"/>
      <c r="P196" s="1"/>
      <c r="Q196" s="1"/>
      <c r="R196" s="1"/>
      <c r="S196" s="1"/>
      <c r="T196" s="1"/>
      <c r="U196" s="1"/>
      <c r="V196" s="1"/>
      <c r="W196" s="2">
        <v>45343</v>
      </c>
      <c r="X196" s="3">
        <v>1447.95</v>
      </c>
      <c r="Y196" s="1">
        <f t="shared" si="26"/>
        <v>-1.4137931034482465E-3</v>
      </c>
      <c r="Z196" s="1"/>
      <c r="AA196" s="1"/>
      <c r="AB196" s="1"/>
      <c r="AC196" s="1"/>
      <c r="AD196" s="1"/>
      <c r="AE196" s="1"/>
      <c r="AF196" s="1"/>
      <c r="AG196" s="1"/>
      <c r="AH196" s="1"/>
      <c r="AI196" s="1"/>
      <c r="AJ196" s="1"/>
      <c r="AK196" s="1"/>
    </row>
    <row r="197" spans="1:37">
      <c r="A197" s="134">
        <v>45343</v>
      </c>
      <c r="B197" s="135">
        <v>1447.95</v>
      </c>
      <c r="C197" s="133">
        <f t="shared" si="27"/>
        <v>-1.4137931034482465E-3</v>
      </c>
      <c r="D197" s="133">
        <v>22055.05</v>
      </c>
      <c r="E197" s="133">
        <f t="shared" si="28"/>
        <v>-6.3927701778848656E-3</v>
      </c>
      <c r="F197" s="135">
        <v>18969.45</v>
      </c>
      <c r="G197" s="67">
        <f t="shared" si="25"/>
        <v>-2.7939660875776484E-3</v>
      </c>
      <c r="H197" s="1"/>
      <c r="I197" s="1"/>
      <c r="J197" s="1"/>
      <c r="K197" s="1"/>
      <c r="L197" s="1"/>
      <c r="M197" s="1"/>
      <c r="N197" s="1"/>
      <c r="O197" s="1"/>
      <c r="P197" s="1"/>
      <c r="Q197" s="1"/>
      <c r="R197" s="1"/>
      <c r="S197" s="1"/>
      <c r="T197" s="1"/>
      <c r="U197" s="1"/>
      <c r="V197" s="1"/>
      <c r="W197" s="2">
        <v>45342</v>
      </c>
      <c r="X197" s="3">
        <v>1450</v>
      </c>
      <c r="Y197" s="1">
        <f t="shared" si="26"/>
        <v>-1.4510483569510901E-2</v>
      </c>
      <c r="Z197" s="1"/>
      <c r="AA197" s="1"/>
      <c r="AB197" s="1"/>
      <c r="AC197" s="1"/>
      <c r="AD197" s="1"/>
      <c r="AE197" s="1"/>
      <c r="AF197" s="1"/>
      <c r="AG197" s="1"/>
      <c r="AH197" s="1"/>
      <c r="AI197" s="1"/>
      <c r="AJ197" s="1"/>
      <c r="AK197" s="1"/>
    </row>
    <row r="198" spans="1:37">
      <c r="A198" s="134">
        <v>45342</v>
      </c>
      <c r="B198" s="135">
        <v>1450</v>
      </c>
      <c r="C198" s="133">
        <f t="shared" si="27"/>
        <v>-1.4510483569510901E-2</v>
      </c>
      <c r="D198" s="133">
        <v>22196.95</v>
      </c>
      <c r="E198" s="133">
        <f t="shared" si="28"/>
        <v>3.3766908881329716E-3</v>
      </c>
      <c r="F198" s="135">
        <v>18916.45</v>
      </c>
      <c r="G198" s="67">
        <f t="shared" si="25"/>
        <v>4.0467423855956586E-3</v>
      </c>
      <c r="H198" s="1"/>
      <c r="I198" s="1"/>
      <c r="J198" s="1"/>
      <c r="K198" s="1"/>
      <c r="L198" s="1"/>
      <c r="M198" s="1"/>
      <c r="N198" s="1"/>
      <c r="O198" s="1"/>
      <c r="P198" s="1"/>
      <c r="Q198" s="1"/>
      <c r="R198" s="1"/>
      <c r="S198" s="1"/>
      <c r="T198" s="1"/>
      <c r="U198" s="1"/>
      <c r="V198" s="1"/>
      <c r="W198" s="2">
        <v>45341</v>
      </c>
      <c r="X198" s="3">
        <v>1471.35</v>
      </c>
      <c r="Y198" s="1">
        <f t="shared" si="26"/>
        <v>2.1061762664815964E-2</v>
      </c>
      <c r="Z198" s="1"/>
      <c r="AA198" s="1"/>
      <c r="AB198" s="1"/>
      <c r="AC198" s="1"/>
      <c r="AD198" s="1"/>
      <c r="AE198" s="1"/>
      <c r="AF198" s="1"/>
      <c r="AG198" s="1"/>
      <c r="AH198" s="1"/>
      <c r="AI198" s="1"/>
      <c r="AJ198" s="1"/>
      <c r="AK198" s="1"/>
    </row>
    <row r="199" spans="1:37">
      <c r="A199" s="134">
        <v>45341</v>
      </c>
      <c r="B199" s="135">
        <v>1471.35</v>
      </c>
      <c r="C199" s="133">
        <f t="shared" si="27"/>
        <v>2.1061762664815964E-2</v>
      </c>
      <c r="D199" s="133">
        <v>22122.25</v>
      </c>
      <c r="E199" s="133">
        <f t="shared" si="28"/>
        <v>3.6999732313400813E-3</v>
      </c>
      <c r="F199" s="135">
        <v>18993</v>
      </c>
      <c r="G199" s="67">
        <f t="shared" si="25"/>
        <v>2.3534986574000882E-3</v>
      </c>
      <c r="H199" s="1"/>
      <c r="I199" s="1"/>
      <c r="J199" s="1"/>
      <c r="K199" s="1"/>
      <c r="L199" s="1"/>
      <c r="M199" s="1"/>
      <c r="N199" s="1"/>
      <c r="O199" s="1"/>
      <c r="P199" s="1"/>
      <c r="Q199" s="1"/>
      <c r="R199" s="1"/>
      <c r="S199" s="1"/>
      <c r="T199" s="1"/>
      <c r="U199" s="1"/>
      <c r="V199" s="1"/>
      <c r="W199" s="2">
        <v>45338</v>
      </c>
      <c r="X199" s="3">
        <v>1441</v>
      </c>
      <c r="Y199" s="1">
        <f t="shared" si="26"/>
        <v>1.1263553107126567E-2</v>
      </c>
      <c r="Z199" s="1"/>
      <c r="AA199" s="1"/>
      <c r="AB199" s="1"/>
      <c r="AC199" s="1"/>
      <c r="AD199" s="1"/>
      <c r="AE199" s="1"/>
      <c r="AF199" s="1"/>
      <c r="AG199" s="1"/>
      <c r="AH199" s="1"/>
      <c r="AI199" s="1"/>
      <c r="AJ199" s="1"/>
      <c r="AK199" s="1"/>
    </row>
    <row r="200" spans="1:37">
      <c r="A200" s="134">
        <v>45338</v>
      </c>
      <c r="B200" s="135">
        <v>1441</v>
      </c>
      <c r="C200" s="133">
        <f t="shared" si="27"/>
        <v>1.1263553107126567E-2</v>
      </c>
      <c r="D200" s="133">
        <v>22040.7</v>
      </c>
      <c r="E200" s="133">
        <f t="shared" si="28"/>
        <v>5.9308786782743539E-3</v>
      </c>
      <c r="F200" s="135">
        <v>19037.7</v>
      </c>
      <c r="G200" s="67">
        <f t="shared" si="25"/>
        <v>-8.7668153190775255E-3</v>
      </c>
      <c r="H200" s="1"/>
      <c r="I200" s="1"/>
      <c r="J200" s="1"/>
      <c r="K200" s="1"/>
      <c r="L200" s="1"/>
      <c r="M200" s="1"/>
      <c r="N200" s="1"/>
      <c r="O200" s="1"/>
      <c r="P200" s="1"/>
      <c r="Q200" s="1"/>
      <c r="R200" s="1"/>
      <c r="S200" s="1"/>
      <c r="T200" s="1"/>
      <c r="U200" s="1"/>
      <c r="V200" s="1"/>
      <c r="W200" s="2">
        <v>45337</v>
      </c>
      <c r="X200" s="3">
        <v>1424.95</v>
      </c>
      <c r="Y200" s="1">
        <f t="shared" si="26"/>
        <v>1.0537777933892212E-3</v>
      </c>
      <c r="Z200" s="1"/>
      <c r="AA200" s="1"/>
      <c r="AB200" s="1"/>
      <c r="AC200" s="1"/>
      <c r="AD200" s="1"/>
      <c r="AE200" s="1"/>
      <c r="AF200" s="1"/>
      <c r="AG200" s="1"/>
      <c r="AH200" s="1"/>
      <c r="AI200" s="1"/>
      <c r="AJ200" s="1"/>
      <c r="AK200" s="1"/>
    </row>
    <row r="201" spans="1:37">
      <c r="A201" s="134">
        <v>45337</v>
      </c>
      <c r="B201" s="135">
        <v>1424.95</v>
      </c>
      <c r="C201" s="133">
        <f t="shared" si="27"/>
        <v>1.0537777933892212E-3</v>
      </c>
      <c r="D201" s="133">
        <v>21910.75</v>
      </c>
      <c r="E201" s="133">
        <f t="shared" si="28"/>
        <v>3.2371720760713263E-3</v>
      </c>
      <c r="F201" s="135">
        <v>18870.8</v>
      </c>
      <c r="G201" s="67">
        <f t="shared" ref="G201:G264" si="29">F202/F201-1</f>
        <v>-1.6061852173728686E-2</v>
      </c>
      <c r="H201" s="1"/>
      <c r="I201" s="1"/>
      <c r="J201" s="1"/>
      <c r="K201" s="1"/>
      <c r="L201" s="1"/>
      <c r="M201" s="1"/>
      <c r="N201" s="1"/>
      <c r="O201" s="1"/>
      <c r="P201" s="1"/>
      <c r="Q201" s="1"/>
      <c r="R201" s="1"/>
      <c r="S201" s="1"/>
      <c r="T201" s="1"/>
      <c r="U201" s="1"/>
      <c r="V201" s="1"/>
      <c r="W201" s="2">
        <v>45336</v>
      </c>
      <c r="X201" s="3">
        <v>1423.45</v>
      </c>
      <c r="Y201" s="1">
        <f t="shared" ref="Y201:Y259" si="30">X201/X202-1</f>
        <v>-2.0472061657032747E-2</v>
      </c>
      <c r="Z201" s="1"/>
      <c r="AA201" s="1"/>
      <c r="AB201" s="1"/>
      <c r="AC201" s="1"/>
      <c r="AD201" s="1"/>
      <c r="AE201" s="1"/>
      <c r="AF201" s="1"/>
      <c r="AG201" s="1"/>
      <c r="AH201" s="1"/>
      <c r="AI201" s="1"/>
      <c r="AJ201" s="1"/>
      <c r="AK201" s="1"/>
    </row>
    <row r="202" spans="1:37">
      <c r="A202" s="134">
        <v>45336</v>
      </c>
      <c r="B202" s="135">
        <v>1423.45</v>
      </c>
      <c r="C202" s="133">
        <f t="shared" ref="C202:C265" si="31">B202/B203-1</f>
        <v>-2.0472061657032747E-2</v>
      </c>
      <c r="D202" s="133">
        <v>21840.05</v>
      </c>
      <c r="E202" s="133">
        <f t="shared" ref="E202:E265" si="32">D202/D203-1</f>
        <v>4.4519563542708696E-3</v>
      </c>
      <c r="F202" s="135">
        <v>18567.7</v>
      </c>
      <c r="G202" s="67">
        <f t="shared" si="29"/>
        <v>8.9671849502082068E-4</v>
      </c>
      <c r="H202" s="1"/>
      <c r="I202" s="1"/>
      <c r="J202" s="1"/>
      <c r="K202" s="1"/>
      <c r="L202" s="1"/>
      <c r="M202" s="1"/>
      <c r="N202" s="1"/>
      <c r="O202" s="1"/>
      <c r="P202" s="1"/>
      <c r="Q202" s="1"/>
      <c r="R202" s="1"/>
      <c r="S202" s="1"/>
      <c r="T202" s="1"/>
      <c r="U202" s="1"/>
      <c r="V202" s="1"/>
      <c r="W202" s="2">
        <v>45335</v>
      </c>
      <c r="X202" s="3">
        <v>1453.2</v>
      </c>
      <c r="Y202" s="1">
        <f t="shared" si="30"/>
        <v>1.6223776223776243E-2</v>
      </c>
      <c r="Z202" s="1"/>
      <c r="AA202" s="1"/>
      <c r="AB202" s="1"/>
      <c r="AC202" s="1"/>
      <c r="AD202" s="1"/>
      <c r="AE202" s="1"/>
      <c r="AF202" s="1"/>
      <c r="AG202" s="1"/>
      <c r="AH202" s="1"/>
      <c r="AI202" s="1"/>
      <c r="AJ202" s="1"/>
      <c r="AK202" s="1"/>
    </row>
    <row r="203" spans="1:37">
      <c r="A203" s="134">
        <v>45335</v>
      </c>
      <c r="B203" s="135">
        <v>1453.2</v>
      </c>
      <c r="C203" s="133">
        <f t="shared" si="31"/>
        <v>1.6223776223776243E-2</v>
      </c>
      <c r="D203" s="133">
        <v>21743.25</v>
      </c>
      <c r="E203" s="133">
        <f t="shared" si="32"/>
        <v>5.8845163663112654E-3</v>
      </c>
      <c r="F203" s="135">
        <v>18584.349999999999</v>
      </c>
      <c r="G203" s="67">
        <f t="shared" si="29"/>
        <v>9.1259581314386828E-3</v>
      </c>
      <c r="H203" s="1"/>
      <c r="I203" s="1"/>
      <c r="J203" s="1"/>
      <c r="K203" s="1"/>
      <c r="L203" s="1"/>
      <c r="M203" s="1"/>
      <c r="N203" s="1"/>
      <c r="O203" s="1"/>
      <c r="P203" s="1"/>
      <c r="Q203" s="1"/>
      <c r="R203" s="1"/>
      <c r="S203" s="1"/>
      <c r="T203" s="1"/>
      <c r="U203" s="1"/>
      <c r="V203" s="1"/>
      <c r="W203" s="2">
        <v>45334</v>
      </c>
      <c r="X203" s="3">
        <v>1430</v>
      </c>
      <c r="Y203" s="1">
        <f t="shared" si="30"/>
        <v>-8.3217753120665705E-3</v>
      </c>
      <c r="Z203" s="1"/>
      <c r="AA203" s="1"/>
      <c r="AB203" s="1"/>
      <c r="AC203" s="1"/>
      <c r="AD203" s="1"/>
      <c r="AE203" s="1"/>
      <c r="AF203" s="1"/>
      <c r="AG203" s="1"/>
      <c r="AH203" s="1"/>
      <c r="AI203" s="1"/>
      <c r="AJ203" s="1"/>
      <c r="AK203" s="1"/>
    </row>
    <row r="204" spans="1:37">
      <c r="A204" s="134">
        <v>45334</v>
      </c>
      <c r="B204" s="135">
        <v>1430</v>
      </c>
      <c r="C204" s="133">
        <f t="shared" si="31"/>
        <v>-8.3217753120665705E-3</v>
      </c>
      <c r="D204" s="133">
        <v>21616.05</v>
      </c>
      <c r="E204" s="133">
        <f t="shared" si="32"/>
        <v>-7.6414552966831417E-3</v>
      </c>
      <c r="F204" s="135">
        <v>18753.95</v>
      </c>
      <c r="G204" s="67">
        <f t="shared" si="29"/>
        <v>-4.5003852521736665E-3</v>
      </c>
      <c r="H204" s="1"/>
      <c r="I204" s="1"/>
      <c r="J204" s="1"/>
      <c r="K204" s="1"/>
      <c r="L204" s="1"/>
      <c r="M204" s="1"/>
      <c r="N204" s="1"/>
      <c r="O204" s="1"/>
      <c r="P204" s="1"/>
      <c r="Q204" s="1"/>
      <c r="R204" s="1"/>
      <c r="S204" s="1"/>
      <c r="T204" s="1"/>
      <c r="U204" s="1"/>
      <c r="V204" s="1"/>
      <c r="W204" s="2">
        <v>45331</v>
      </c>
      <c r="X204" s="3">
        <v>1442</v>
      </c>
      <c r="Y204" s="1">
        <f t="shared" si="30"/>
        <v>1.2427157200028072E-2</v>
      </c>
      <c r="Z204" s="1"/>
      <c r="AA204" s="1"/>
      <c r="AB204" s="1"/>
      <c r="AC204" s="1"/>
      <c r="AD204" s="1"/>
      <c r="AE204" s="1"/>
      <c r="AF204" s="1"/>
      <c r="AG204" s="1"/>
      <c r="AH204" s="1"/>
      <c r="AI204" s="1"/>
      <c r="AJ204" s="1"/>
      <c r="AK204" s="1"/>
    </row>
    <row r="205" spans="1:37">
      <c r="A205" s="134">
        <v>45331</v>
      </c>
      <c r="B205" s="135">
        <v>1442</v>
      </c>
      <c r="C205" s="133">
        <f t="shared" si="31"/>
        <v>1.2427157200028072E-2</v>
      </c>
      <c r="D205" s="133">
        <v>21782.5</v>
      </c>
      <c r="E205" s="133">
        <f t="shared" si="32"/>
        <v>2.9721958103781088E-3</v>
      </c>
      <c r="F205" s="135">
        <v>18669.55</v>
      </c>
      <c r="G205" s="67">
        <f t="shared" si="29"/>
        <v>-2.8093874785413142E-3</v>
      </c>
      <c r="H205" s="1"/>
      <c r="I205" s="1"/>
      <c r="J205" s="1"/>
      <c r="K205" s="1"/>
      <c r="L205" s="1"/>
      <c r="M205" s="1"/>
      <c r="N205" s="1"/>
      <c r="O205" s="1"/>
      <c r="P205" s="1"/>
      <c r="Q205" s="1"/>
      <c r="R205" s="1"/>
      <c r="S205" s="1"/>
      <c r="T205" s="1"/>
      <c r="U205" s="1"/>
      <c r="V205" s="1"/>
      <c r="W205" s="2">
        <v>45330</v>
      </c>
      <c r="X205" s="3">
        <v>1424.3</v>
      </c>
      <c r="Y205" s="1">
        <f t="shared" si="30"/>
        <v>-9.5271210013908592E-3</v>
      </c>
      <c r="Z205" s="1"/>
      <c r="AA205" s="1"/>
      <c r="AB205" s="1"/>
      <c r="AC205" s="1"/>
      <c r="AD205" s="1"/>
      <c r="AE205" s="1"/>
      <c r="AF205" s="1"/>
      <c r="AG205" s="1"/>
      <c r="AH205" s="1"/>
      <c r="AI205" s="1"/>
      <c r="AJ205" s="1"/>
      <c r="AK205" s="1"/>
    </row>
    <row r="206" spans="1:37">
      <c r="A206" s="134">
        <v>45330</v>
      </c>
      <c r="B206" s="135">
        <v>1424.3</v>
      </c>
      <c r="C206" s="133">
        <f t="shared" si="31"/>
        <v>-9.5271210013908592E-3</v>
      </c>
      <c r="D206" s="133">
        <v>21717.95</v>
      </c>
      <c r="E206" s="133">
        <f t="shared" si="32"/>
        <v>-9.6919814869701471E-3</v>
      </c>
      <c r="F206" s="135">
        <v>18617.099999999999</v>
      </c>
      <c r="G206" s="67">
        <f t="shared" si="29"/>
        <v>-5.199520870597385E-3</v>
      </c>
      <c r="H206" s="1"/>
      <c r="I206" s="1"/>
      <c r="J206" s="1"/>
      <c r="K206" s="1"/>
      <c r="L206" s="1"/>
      <c r="M206" s="1"/>
      <c r="N206" s="1"/>
      <c r="O206" s="1"/>
      <c r="P206" s="1"/>
      <c r="Q206" s="1"/>
      <c r="R206" s="1"/>
      <c r="S206" s="1"/>
      <c r="T206" s="1"/>
      <c r="U206" s="1"/>
      <c r="V206" s="1"/>
      <c r="W206" s="2">
        <v>45329</v>
      </c>
      <c r="X206" s="3">
        <v>1438</v>
      </c>
      <c r="Y206" s="1">
        <f t="shared" si="30"/>
        <v>9.8314606741574107E-3</v>
      </c>
      <c r="Z206" s="1"/>
      <c r="AA206" s="1"/>
      <c r="AB206" s="1"/>
      <c r="AC206" s="1"/>
      <c r="AD206" s="1"/>
      <c r="AE206" s="1"/>
      <c r="AF206" s="1"/>
      <c r="AG206" s="1"/>
      <c r="AH206" s="1"/>
      <c r="AI206" s="1"/>
      <c r="AJ206" s="1"/>
      <c r="AK206" s="1"/>
    </row>
    <row r="207" spans="1:37">
      <c r="A207" s="134">
        <v>45329</v>
      </c>
      <c r="B207" s="135">
        <v>1438</v>
      </c>
      <c r="C207" s="133">
        <f t="shared" si="31"/>
        <v>9.8314606741574107E-3</v>
      </c>
      <c r="D207" s="133">
        <v>21930.5</v>
      </c>
      <c r="E207" s="133">
        <f t="shared" si="32"/>
        <v>5.0160971116319786E-5</v>
      </c>
      <c r="F207" s="135">
        <v>18520.3</v>
      </c>
      <c r="G207" s="67">
        <f t="shared" si="29"/>
        <v>2.4054685939212117E-3</v>
      </c>
      <c r="H207" s="1"/>
      <c r="I207" s="1"/>
      <c r="J207" s="1"/>
      <c r="K207" s="1"/>
      <c r="L207" s="1"/>
      <c r="M207" s="1"/>
      <c r="N207" s="1"/>
      <c r="O207" s="1"/>
      <c r="P207" s="1"/>
      <c r="Q207" s="1"/>
      <c r="R207" s="1"/>
      <c r="S207" s="1"/>
      <c r="T207" s="1"/>
      <c r="U207" s="1"/>
      <c r="V207" s="1"/>
      <c r="W207" s="2">
        <v>45328</v>
      </c>
      <c r="X207" s="3">
        <v>1424</v>
      </c>
      <c r="Y207" s="1">
        <f t="shared" si="30"/>
        <v>-5.8642837196314357E-3</v>
      </c>
      <c r="Z207" s="1"/>
      <c r="AA207" s="1"/>
      <c r="AB207" s="1"/>
      <c r="AC207" s="1"/>
      <c r="AD207" s="1"/>
      <c r="AE207" s="1"/>
      <c r="AF207" s="1"/>
      <c r="AG207" s="1"/>
      <c r="AH207" s="1"/>
      <c r="AI207" s="1"/>
      <c r="AJ207" s="1"/>
      <c r="AK207" s="1"/>
    </row>
    <row r="208" spans="1:37">
      <c r="A208" s="134">
        <v>45328</v>
      </c>
      <c r="B208" s="135">
        <v>1424</v>
      </c>
      <c r="C208" s="133">
        <f t="shared" si="31"/>
        <v>-5.8642837196314357E-3</v>
      </c>
      <c r="D208" s="133">
        <v>21929.4</v>
      </c>
      <c r="E208" s="133">
        <f t="shared" si="32"/>
        <v>7.2433480160023489E-3</v>
      </c>
      <c r="F208" s="135">
        <v>18564.849999999999</v>
      </c>
      <c r="G208" s="67">
        <f t="shared" si="29"/>
        <v>-4.1368500149475684E-3</v>
      </c>
      <c r="H208" s="1"/>
      <c r="I208" s="1"/>
      <c r="J208" s="1"/>
      <c r="K208" s="1"/>
      <c r="L208" s="1"/>
      <c r="M208" s="1"/>
      <c r="N208" s="1"/>
      <c r="O208" s="1"/>
      <c r="P208" s="1"/>
      <c r="Q208" s="1"/>
      <c r="R208" s="1"/>
      <c r="S208" s="1"/>
      <c r="T208" s="1"/>
      <c r="U208" s="1"/>
      <c r="V208" s="1"/>
      <c r="W208" s="2">
        <v>45327</v>
      </c>
      <c r="X208" s="3">
        <v>1432.4</v>
      </c>
      <c r="Y208" s="1">
        <f t="shared" si="30"/>
        <v>2.9762760603882166E-2</v>
      </c>
      <c r="Z208" s="1"/>
      <c r="AA208" s="1"/>
      <c r="AB208" s="1"/>
      <c r="AC208" s="1"/>
      <c r="AD208" s="1"/>
      <c r="AE208" s="1"/>
      <c r="AF208" s="1"/>
      <c r="AG208" s="1"/>
      <c r="AH208" s="1"/>
      <c r="AI208" s="1"/>
      <c r="AJ208" s="1"/>
      <c r="AK208" s="1"/>
    </row>
    <row r="209" spans="1:37">
      <c r="A209" s="134">
        <v>45327</v>
      </c>
      <c r="B209" s="135">
        <v>1432.4</v>
      </c>
      <c r="C209" s="133">
        <f t="shared" si="31"/>
        <v>2.9762760603882166E-2</v>
      </c>
      <c r="D209" s="133">
        <v>21771.7</v>
      </c>
      <c r="E209" s="133">
        <f t="shared" si="32"/>
        <v>-3.756783717248191E-3</v>
      </c>
      <c r="F209" s="135">
        <v>18488.05</v>
      </c>
      <c r="G209" s="67">
        <f t="shared" si="29"/>
        <v>-1.0552762460075527E-2</v>
      </c>
      <c r="H209" s="1"/>
      <c r="I209" s="1"/>
      <c r="J209" s="1"/>
      <c r="K209" s="1"/>
      <c r="L209" s="1"/>
      <c r="M209" s="1"/>
      <c r="N209" s="1"/>
      <c r="O209" s="1"/>
      <c r="P209" s="1"/>
      <c r="Q209" s="1"/>
      <c r="R209" s="1"/>
      <c r="S209" s="1"/>
      <c r="T209" s="1"/>
      <c r="U209" s="1"/>
      <c r="V209" s="1"/>
      <c r="W209" s="2">
        <v>45324</v>
      </c>
      <c r="X209" s="3">
        <v>1391</v>
      </c>
      <c r="Y209" s="1">
        <f t="shared" si="30"/>
        <v>5.1304284991688931E-3</v>
      </c>
      <c r="Z209" s="1"/>
      <c r="AA209" s="1"/>
      <c r="AB209" s="1"/>
      <c r="AC209" s="1"/>
      <c r="AD209" s="1"/>
      <c r="AE209" s="1"/>
      <c r="AF209" s="1"/>
      <c r="AG209" s="1"/>
      <c r="AH209" s="1"/>
      <c r="AI209" s="1"/>
      <c r="AJ209" s="1"/>
      <c r="AK209" s="1"/>
    </row>
    <row r="210" spans="1:37">
      <c r="A210" s="134">
        <v>45324</v>
      </c>
      <c r="B210" s="135">
        <v>1391</v>
      </c>
      <c r="C210" s="133">
        <f t="shared" si="31"/>
        <v>5.1304284991688931E-3</v>
      </c>
      <c r="D210" s="133">
        <v>21853.8</v>
      </c>
      <c r="E210" s="133">
        <f t="shared" si="32"/>
        <v>7.2059159025599229E-3</v>
      </c>
      <c r="F210" s="135">
        <v>18292.95</v>
      </c>
      <c r="G210" s="67">
        <f t="shared" si="29"/>
        <v>-1.7539543922658885E-2</v>
      </c>
      <c r="H210" s="1"/>
      <c r="I210" s="1"/>
      <c r="J210" s="1"/>
      <c r="K210" s="1"/>
      <c r="L210" s="1"/>
      <c r="M210" s="1"/>
      <c r="N210" s="1"/>
      <c r="O210" s="1"/>
      <c r="P210" s="1"/>
      <c r="Q210" s="1"/>
      <c r="R210" s="1"/>
      <c r="S210" s="1"/>
      <c r="T210" s="1"/>
      <c r="U210" s="1"/>
      <c r="V210" s="1"/>
      <c r="W210" s="2">
        <v>45323</v>
      </c>
      <c r="X210" s="3">
        <v>1383.9</v>
      </c>
      <c r="Y210" s="1">
        <f t="shared" si="30"/>
        <v>2.3594674556213002E-2</v>
      </c>
      <c r="Z210" s="1"/>
      <c r="AA210" s="1"/>
      <c r="AB210" s="1"/>
      <c r="AC210" s="1"/>
      <c r="AD210" s="1"/>
      <c r="AE210" s="1"/>
      <c r="AF210" s="1"/>
      <c r="AG210" s="1"/>
      <c r="AH210" s="1"/>
      <c r="AI210" s="1"/>
      <c r="AJ210" s="1"/>
      <c r="AK210" s="1"/>
    </row>
    <row r="211" spans="1:37">
      <c r="A211" s="134">
        <v>45323</v>
      </c>
      <c r="B211" s="135">
        <v>1383.9</v>
      </c>
      <c r="C211" s="133">
        <f t="shared" si="31"/>
        <v>2.3594674556213002E-2</v>
      </c>
      <c r="D211" s="133">
        <v>21697.45</v>
      </c>
      <c r="E211" s="133">
        <f t="shared" si="32"/>
        <v>-1.3003033273956133E-3</v>
      </c>
      <c r="F211" s="135">
        <v>17972.099999999999</v>
      </c>
      <c r="G211" s="67">
        <f t="shared" si="29"/>
        <v>-7.394795265995513E-3</v>
      </c>
      <c r="H211" s="1"/>
      <c r="I211" s="1"/>
      <c r="J211" s="1"/>
      <c r="K211" s="1"/>
      <c r="L211" s="1"/>
      <c r="M211" s="1"/>
      <c r="N211" s="1"/>
      <c r="O211" s="1"/>
      <c r="P211" s="1"/>
      <c r="Q211" s="1"/>
      <c r="R211" s="1"/>
      <c r="S211" s="1"/>
      <c r="T211" s="1"/>
      <c r="U211" s="1"/>
      <c r="V211" s="1"/>
      <c r="W211" s="2">
        <v>45322</v>
      </c>
      <c r="X211" s="3">
        <v>1352</v>
      </c>
      <c r="Y211" s="1">
        <f t="shared" si="30"/>
        <v>2.5796661608497695E-2</v>
      </c>
      <c r="Z211" s="1"/>
      <c r="AA211" s="1"/>
      <c r="AB211" s="1"/>
      <c r="AC211" s="1"/>
      <c r="AD211" s="1"/>
      <c r="AE211" s="1"/>
      <c r="AF211" s="1"/>
      <c r="AG211" s="1"/>
      <c r="AH211" s="1"/>
      <c r="AI211" s="1"/>
      <c r="AJ211" s="1"/>
      <c r="AK211" s="1"/>
    </row>
    <row r="212" spans="1:37">
      <c r="A212" s="134">
        <v>45322</v>
      </c>
      <c r="B212" s="135">
        <v>1352</v>
      </c>
      <c r="C212" s="133">
        <f t="shared" si="31"/>
        <v>2.5796661608497695E-2</v>
      </c>
      <c r="D212" s="133">
        <v>21725.7</v>
      </c>
      <c r="E212" s="133">
        <f t="shared" si="32"/>
        <v>9.4600433972522602E-3</v>
      </c>
      <c r="F212" s="135">
        <v>17839.2</v>
      </c>
      <c r="G212" s="67">
        <f t="shared" si="29"/>
        <v>5.5748015606080781E-3</v>
      </c>
      <c r="H212" s="1"/>
      <c r="I212" s="1"/>
      <c r="J212" s="1"/>
      <c r="K212" s="1"/>
      <c r="L212" s="1"/>
      <c r="M212" s="1"/>
      <c r="N212" s="1"/>
      <c r="O212" s="1"/>
      <c r="P212" s="1"/>
      <c r="Q212" s="1"/>
      <c r="R212" s="1"/>
      <c r="S212" s="1"/>
      <c r="T212" s="1"/>
      <c r="U212" s="1"/>
      <c r="V212" s="1"/>
      <c r="W212" s="2">
        <v>45321</v>
      </c>
      <c r="X212" s="3">
        <v>1318</v>
      </c>
      <c r="Y212" s="1">
        <f t="shared" si="30"/>
        <v>-1.7554321493794434E-2</v>
      </c>
      <c r="Z212" s="1"/>
      <c r="AA212" s="1"/>
      <c r="AB212" s="1"/>
      <c r="AC212" s="1"/>
      <c r="AD212" s="1"/>
      <c r="AE212" s="1"/>
      <c r="AF212" s="1"/>
      <c r="AG212" s="1"/>
      <c r="AH212" s="1"/>
      <c r="AI212" s="1"/>
      <c r="AJ212" s="1"/>
      <c r="AK212" s="1"/>
    </row>
    <row r="213" spans="1:37">
      <c r="A213" s="134">
        <v>45321</v>
      </c>
      <c r="B213" s="135">
        <v>1318</v>
      </c>
      <c r="C213" s="133">
        <f t="shared" si="31"/>
        <v>-1.7554321493794434E-2</v>
      </c>
      <c r="D213" s="133">
        <v>21522.1</v>
      </c>
      <c r="E213" s="133">
        <f t="shared" si="32"/>
        <v>-9.9136979243338308E-3</v>
      </c>
      <c r="F213" s="135">
        <v>17938.650000000001</v>
      </c>
      <c r="G213" s="67">
        <f t="shared" si="29"/>
        <v>-2.611679251225707E-2</v>
      </c>
      <c r="H213" s="1"/>
      <c r="I213" s="1"/>
      <c r="J213" s="1"/>
      <c r="K213" s="1"/>
      <c r="L213" s="1"/>
      <c r="M213" s="1"/>
      <c r="N213" s="1"/>
      <c r="O213" s="1"/>
      <c r="P213" s="1"/>
      <c r="Q213" s="1"/>
      <c r="R213" s="1"/>
      <c r="S213" s="1"/>
      <c r="T213" s="1"/>
      <c r="U213" s="1"/>
      <c r="V213" s="1"/>
      <c r="W213" s="2">
        <v>45320</v>
      </c>
      <c r="X213" s="3">
        <v>1341.55</v>
      </c>
      <c r="Y213" s="1">
        <f t="shared" si="30"/>
        <v>-2.4185336048879846E-2</v>
      </c>
      <c r="Z213" s="1"/>
      <c r="AA213" s="1"/>
      <c r="AB213" s="1"/>
      <c r="AC213" s="1"/>
      <c r="AD213" s="1"/>
      <c r="AE213" s="1"/>
      <c r="AF213" s="1"/>
      <c r="AG213" s="1"/>
      <c r="AH213" s="1"/>
      <c r="AI213" s="1"/>
      <c r="AJ213" s="1"/>
      <c r="AK213" s="1"/>
    </row>
    <row r="214" spans="1:37">
      <c r="A214" s="134">
        <v>45320</v>
      </c>
      <c r="B214" s="135">
        <v>1341.55</v>
      </c>
      <c r="C214" s="133">
        <f t="shared" si="31"/>
        <v>-2.4185336048879846E-2</v>
      </c>
      <c r="D214" s="133">
        <v>21737.599999999999</v>
      </c>
      <c r="E214" s="133">
        <f t="shared" si="32"/>
        <v>1.8030591122392581E-2</v>
      </c>
      <c r="F214" s="135">
        <v>17470.150000000001</v>
      </c>
      <c r="G214" s="67">
        <f t="shared" si="29"/>
        <v>8.7835536615310517E-3</v>
      </c>
      <c r="H214" s="1"/>
      <c r="I214" s="1"/>
      <c r="J214" s="1"/>
      <c r="K214" s="1"/>
      <c r="L214" s="1"/>
      <c r="M214" s="1"/>
      <c r="N214" s="1"/>
      <c r="O214" s="1"/>
      <c r="P214" s="1"/>
      <c r="Q214" s="1"/>
      <c r="R214" s="1"/>
      <c r="S214" s="1"/>
      <c r="T214" s="1"/>
      <c r="U214" s="1"/>
      <c r="V214" s="1"/>
      <c r="W214" s="2">
        <v>45316</v>
      </c>
      <c r="X214" s="3">
        <v>1374.8</v>
      </c>
      <c r="Y214" s="1">
        <f t="shared" si="30"/>
        <v>-2.7447651386530825E-2</v>
      </c>
      <c r="Z214" s="1"/>
      <c r="AA214" s="1"/>
      <c r="AB214" s="1"/>
      <c r="AC214" s="1"/>
      <c r="AD214" s="1"/>
      <c r="AE214" s="1"/>
      <c r="AF214" s="1"/>
      <c r="AG214" s="1"/>
      <c r="AH214" s="1"/>
      <c r="AI214" s="1"/>
      <c r="AJ214" s="1"/>
      <c r="AK214" s="1"/>
    </row>
    <row r="215" spans="1:37">
      <c r="A215" s="134">
        <v>45316</v>
      </c>
      <c r="B215" s="135">
        <v>1374.8</v>
      </c>
      <c r="C215" s="133">
        <f t="shared" si="31"/>
        <v>-2.7447651386530825E-2</v>
      </c>
      <c r="D215" s="133">
        <v>21352.6</v>
      </c>
      <c r="E215" s="133">
        <f t="shared" si="32"/>
        <v>-4.7240717909756702E-3</v>
      </c>
      <c r="F215" s="135">
        <v>17623.599999999999</v>
      </c>
      <c r="G215" s="67">
        <f t="shared" si="29"/>
        <v>-5.1663678249619371E-3</v>
      </c>
      <c r="H215" s="1"/>
      <c r="I215" s="1"/>
      <c r="J215" s="1"/>
      <c r="K215" s="1"/>
      <c r="L215" s="1"/>
      <c r="M215" s="1"/>
      <c r="N215" s="1"/>
      <c r="O215" s="1"/>
      <c r="P215" s="1"/>
      <c r="Q215" s="1"/>
      <c r="R215" s="1"/>
      <c r="S215" s="1"/>
      <c r="T215" s="1"/>
      <c r="U215" s="1"/>
      <c r="V215" s="1"/>
      <c r="W215" s="2">
        <v>45315</v>
      </c>
      <c r="X215" s="3">
        <v>1413.6</v>
      </c>
      <c r="Y215" s="1">
        <f t="shared" si="30"/>
        <v>4.0129265954045312E-3</v>
      </c>
      <c r="Z215" s="1"/>
      <c r="AA215" s="1"/>
      <c r="AB215" s="1"/>
      <c r="AC215" s="1"/>
      <c r="AD215" s="1"/>
      <c r="AE215" s="1"/>
      <c r="AF215" s="1"/>
      <c r="AG215" s="1"/>
      <c r="AH215" s="1"/>
      <c r="AI215" s="1"/>
      <c r="AJ215" s="1"/>
      <c r="AK215" s="1"/>
    </row>
    <row r="216" spans="1:37">
      <c r="A216" s="134">
        <v>45315</v>
      </c>
      <c r="B216" s="135">
        <v>1413.6</v>
      </c>
      <c r="C216" s="133">
        <f t="shared" si="31"/>
        <v>4.0129265954045312E-3</v>
      </c>
      <c r="D216" s="133">
        <v>21453.95</v>
      </c>
      <c r="E216" s="133">
        <f t="shared" si="32"/>
        <v>1.0130045011959243E-2</v>
      </c>
      <c r="F216" s="135">
        <v>17532.55</v>
      </c>
      <c r="G216" s="67">
        <f t="shared" si="29"/>
        <v>1.3184049097250572E-2</v>
      </c>
      <c r="H216" s="1"/>
      <c r="I216" s="1"/>
      <c r="J216" s="1"/>
      <c r="K216" s="1"/>
      <c r="L216" s="1"/>
      <c r="M216" s="1"/>
      <c r="N216" s="1"/>
      <c r="O216" s="1"/>
      <c r="P216" s="1"/>
      <c r="Q216" s="1"/>
      <c r="R216" s="1"/>
      <c r="S216" s="1"/>
      <c r="T216" s="1"/>
      <c r="U216" s="1"/>
      <c r="V216" s="1"/>
      <c r="W216" s="2">
        <v>45314</v>
      </c>
      <c r="X216" s="3">
        <v>1407.95</v>
      </c>
      <c r="Y216" s="1">
        <f t="shared" si="30"/>
        <v>7.2315308453922311E-2</v>
      </c>
      <c r="Z216" s="1"/>
      <c r="AA216" s="1"/>
      <c r="AB216" s="1"/>
      <c r="AC216" s="1"/>
      <c r="AD216" s="1"/>
      <c r="AE216" s="1"/>
      <c r="AF216" s="1"/>
      <c r="AG216" s="1"/>
      <c r="AH216" s="1"/>
      <c r="AI216" s="1"/>
      <c r="AJ216" s="1"/>
      <c r="AK216" s="1"/>
    </row>
    <row r="217" spans="1:37">
      <c r="A217" s="134">
        <v>45314</v>
      </c>
      <c r="B217" s="135">
        <v>1407.95</v>
      </c>
      <c r="C217" s="133">
        <f t="shared" si="31"/>
        <v>7.2315308453922311E-2</v>
      </c>
      <c r="D217" s="133">
        <v>21238.799999999999</v>
      </c>
      <c r="E217" s="133">
        <f t="shared" si="32"/>
        <v>-1.5436820293160514E-2</v>
      </c>
      <c r="F217" s="135">
        <v>17763.7</v>
      </c>
      <c r="G217" s="67">
        <f t="shared" si="29"/>
        <v>-1.3702100350715285E-2</v>
      </c>
      <c r="H217" s="1"/>
      <c r="I217" s="1"/>
      <c r="J217" s="1"/>
      <c r="K217" s="1"/>
      <c r="L217" s="1"/>
      <c r="M217" s="1"/>
      <c r="N217" s="1"/>
      <c r="O217" s="1"/>
      <c r="P217" s="1"/>
      <c r="Q217" s="1"/>
      <c r="R217" s="1"/>
      <c r="S217" s="1"/>
      <c r="T217" s="1"/>
      <c r="U217" s="1"/>
      <c r="V217" s="1"/>
      <c r="W217" s="2">
        <v>45311</v>
      </c>
      <c r="X217" s="3">
        <v>1313</v>
      </c>
      <c r="Y217" s="1">
        <f t="shared" si="30"/>
        <v>-1.0550113036925435E-2</v>
      </c>
      <c r="Z217" s="1"/>
      <c r="AA217" s="1"/>
      <c r="AB217" s="1"/>
      <c r="AC217" s="1"/>
      <c r="AD217" s="1"/>
      <c r="AE217" s="1"/>
      <c r="AF217" s="1"/>
      <c r="AG217" s="1"/>
      <c r="AH217" s="1"/>
      <c r="AI217" s="1"/>
      <c r="AJ217" s="1"/>
      <c r="AK217" s="1"/>
    </row>
    <row r="218" spans="1:37">
      <c r="A218" s="134">
        <v>45311</v>
      </c>
      <c r="B218" s="135">
        <v>1313</v>
      </c>
      <c r="C218" s="133">
        <f t="shared" si="31"/>
        <v>-1.0550113036925435E-2</v>
      </c>
      <c r="D218" s="133">
        <v>21571.8</v>
      </c>
      <c r="E218" s="133">
        <f t="shared" si="32"/>
        <v>-2.3401657540329523E-3</v>
      </c>
      <c r="F218" s="135">
        <v>17520.3</v>
      </c>
      <c r="G218" s="67">
        <f t="shared" si="29"/>
        <v>-1.62896754051014E-2</v>
      </c>
      <c r="H218" s="1"/>
      <c r="I218" s="1"/>
      <c r="J218" s="1"/>
      <c r="K218" s="1"/>
      <c r="L218" s="1"/>
      <c r="M218" s="1"/>
      <c r="N218" s="1"/>
      <c r="O218" s="1"/>
      <c r="P218" s="1"/>
      <c r="Q218" s="1"/>
      <c r="R218" s="1"/>
      <c r="S218" s="1"/>
      <c r="T218" s="1"/>
      <c r="U218" s="1"/>
      <c r="V218" s="1"/>
      <c r="W218" s="2">
        <v>45310</v>
      </c>
      <c r="X218" s="3">
        <v>1327</v>
      </c>
      <c r="Y218" s="1">
        <f t="shared" si="30"/>
        <v>5.3030303030303649E-3</v>
      </c>
      <c r="Z218" s="1"/>
      <c r="AA218" s="1"/>
      <c r="AB218" s="1"/>
      <c r="AC218" s="1"/>
      <c r="AD218" s="1"/>
      <c r="AE218" s="1"/>
      <c r="AF218" s="1"/>
      <c r="AG218" s="1"/>
      <c r="AH218" s="1"/>
      <c r="AI218" s="1"/>
      <c r="AJ218" s="1"/>
      <c r="AK218" s="1"/>
    </row>
    <row r="219" spans="1:37">
      <c r="A219" s="134">
        <v>45310</v>
      </c>
      <c r="B219" s="135">
        <v>1327</v>
      </c>
      <c r="C219" s="133">
        <f t="shared" si="31"/>
        <v>5.3030303030303649E-3</v>
      </c>
      <c r="D219" s="133">
        <v>21622.400000000001</v>
      </c>
      <c r="E219" s="133">
        <f t="shared" si="32"/>
        <v>7.4619389858938678E-3</v>
      </c>
      <c r="F219" s="135">
        <v>17234.900000000001</v>
      </c>
      <c r="G219" s="67">
        <f t="shared" si="29"/>
        <v>8.8831382833667316E-3</v>
      </c>
      <c r="H219" s="1"/>
      <c r="I219" s="1"/>
      <c r="J219" s="1"/>
      <c r="K219" s="1"/>
      <c r="L219" s="1"/>
      <c r="M219" s="1"/>
      <c r="N219" s="1"/>
      <c r="O219" s="1"/>
      <c r="P219" s="1"/>
      <c r="Q219" s="1"/>
      <c r="R219" s="1"/>
      <c r="S219" s="1"/>
      <c r="T219" s="1"/>
      <c r="U219" s="1"/>
      <c r="V219" s="1"/>
      <c r="W219" s="2">
        <v>45309</v>
      </c>
      <c r="X219" s="3">
        <v>1320</v>
      </c>
      <c r="Y219" s="1">
        <f t="shared" si="30"/>
        <v>2.1671826625387025E-2</v>
      </c>
      <c r="Z219" s="1"/>
      <c r="AA219" s="1"/>
      <c r="AB219" s="1"/>
      <c r="AC219" s="1"/>
      <c r="AD219" s="1"/>
      <c r="AE219" s="1"/>
      <c r="AF219" s="1"/>
      <c r="AG219" s="1"/>
      <c r="AH219" s="1"/>
      <c r="AI219" s="1"/>
      <c r="AJ219" s="1"/>
      <c r="AK219" s="1"/>
    </row>
    <row r="220" spans="1:37">
      <c r="A220" s="134">
        <v>45309</v>
      </c>
      <c r="B220" s="135">
        <v>1320</v>
      </c>
      <c r="C220" s="133">
        <f t="shared" si="31"/>
        <v>2.1671826625387025E-2</v>
      </c>
      <c r="D220" s="133">
        <v>21462.25</v>
      </c>
      <c r="E220" s="133">
        <f t="shared" si="32"/>
        <v>-5.0853075405793424E-3</v>
      </c>
      <c r="F220" s="135">
        <v>17388</v>
      </c>
      <c r="G220" s="67">
        <f t="shared" si="29"/>
        <v>-3.2637451115712368E-3</v>
      </c>
      <c r="H220" s="1"/>
      <c r="I220" s="1"/>
      <c r="J220" s="1"/>
      <c r="K220" s="1"/>
      <c r="L220" s="1"/>
      <c r="M220" s="1"/>
      <c r="N220" s="1"/>
      <c r="O220" s="1"/>
      <c r="P220" s="1"/>
      <c r="Q220" s="1"/>
      <c r="R220" s="1"/>
      <c r="S220" s="1"/>
      <c r="T220" s="1"/>
      <c r="U220" s="1"/>
      <c r="V220" s="1"/>
      <c r="W220" s="2">
        <v>45308</v>
      </c>
      <c r="X220" s="3">
        <v>1292</v>
      </c>
      <c r="Y220" s="1">
        <f t="shared" si="30"/>
        <v>-7.2611318145145987E-3</v>
      </c>
      <c r="Z220" s="1"/>
      <c r="AA220" s="1"/>
      <c r="AB220" s="1"/>
      <c r="AC220" s="1"/>
      <c r="AD220" s="1"/>
      <c r="AE220" s="1"/>
      <c r="AF220" s="1"/>
      <c r="AG220" s="1"/>
      <c r="AH220" s="1"/>
      <c r="AI220" s="1"/>
      <c r="AJ220" s="1"/>
      <c r="AK220" s="1"/>
    </row>
    <row r="221" spans="1:37">
      <c r="A221" s="134">
        <v>45308</v>
      </c>
      <c r="B221" s="135">
        <v>1292</v>
      </c>
      <c r="C221" s="133">
        <f t="shared" si="31"/>
        <v>-7.2611318145145987E-3</v>
      </c>
      <c r="D221" s="133">
        <v>21571.95</v>
      </c>
      <c r="E221" s="133">
        <f t="shared" si="32"/>
        <v>-2.0894323334377241E-2</v>
      </c>
      <c r="F221" s="135">
        <v>17331.25</v>
      </c>
      <c r="G221" s="67">
        <f t="shared" si="29"/>
        <v>-1.0227190768121175E-2</v>
      </c>
      <c r="H221" s="1"/>
      <c r="I221" s="1"/>
      <c r="J221" s="1"/>
      <c r="K221" s="1"/>
      <c r="L221" s="1"/>
      <c r="M221" s="1"/>
      <c r="N221" s="1"/>
      <c r="O221" s="1"/>
      <c r="P221" s="1"/>
      <c r="Q221" s="1"/>
      <c r="R221" s="1"/>
      <c r="S221" s="1"/>
      <c r="T221" s="1"/>
      <c r="U221" s="1"/>
      <c r="V221" s="1"/>
      <c r="W221" s="2">
        <v>45307</v>
      </c>
      <c r="X221" s="3">
        <v>1301.45</v>
      </c>
      <c r="Y221" s="1">
        <f t="shared" si="30"/>
        <v>-1.0153635533921457E-2</v>
      </c>
      <c r="Z221" s="1"/>
      <c r="AA221" s="1"/>
      <c r="AB221" s="1"/>
      <c r="AC221" s="1"/>
      <c r="AD221" s="1"/>
      <c r="AE221" s="1"/>
      <c r="AF221" s="1"/>
      <c r="AG221" s="1"/>
      <c r="AH221" s="1"/>
      <c r="AI221" s="1"/>
      <c r="AJ221" s="1"/>
      <c r="AK221" s="1"/>
    </row>
    <row r="222" spans="1:37">
      <c r="A222" s="134">
        <v>45307</v>
      </c>
      <c r="B222" s="135">
        <v>1301.45</v>
      </c>
      <c r="C222" s="133">
        <f t="shared" si="31"/>
        <v>-1.0153635533921457E-2</v>
      </c>
      <c r="D222" s="133">
        <v>22032.3</v>
      </c>
      <c r="E222" s="133">
        <f t="shared" si="32"/>
        <v>-2.9483039898269281E-3</v>
      </c>
      <c r="F222" s="135">
        <v>17154</v>
      </c>
      <c r="G222" s="67">
        <f t="shared" si="29"/>
        <v>9.6857875714120301E-3</v>
      </c>
      <c r="H222" s="1"/>
      <c r="I222" s="1"/>
      <c r="J222" s="1"/>
      <c r="K222" s="1"/>
      <c r="L222" s="1"/>
      <c r="M222" s="1"/>
      <c r="N222" s="1"/>
      <c r="O222" s="1"/>
      <c r="P222" s="1"/>
      <c r="Q222" s="1"/>
      <c r="R222" s="1"/>
      <c r="S222" s="1"/>
      <c r="T222" s="1"/>
      <c r="U222" s="1"/>
      <c r="V222" s="1"/>
      <c r="W222" s="2">
        <v>45306</v>
      </c>
      <c r="X222" s="3">
        <v>1314.8</v>
      </c>
      <c r="Y222" s="1">
        <f t="shared" si="30"/>
        <v>3.8940215316483062E-3</v>
      </c>
      <c r="Z222" s="1"/>
      <c r="AA222" s="1"/>
      <c r="AB222" s="1"/>
      <c r="AC222" s="1"/>
      <c r="AD222" s="1"/>
      <c r="AE222" s="1"/>
      <c r="AF222" s="1"/>
      <c r="AG222" s="1"/>
      <c r="AH222" s="1"/>
      <c r="AI222" s="1"/>
      <c r="AJ222" s="1"/>
      <c r="AK222" s="1"/>
    </row>
    <row r="223" spans="1:37">
      <c r="A223" s="134">
        <v>45306</v>
      </c>
      <c r="B223" s="135">
        <v>1314.8</v>
      </c>
      <c r="C223" s="133">
        <f t="shared" si="31"/>
        <v>3.8940215316483062E-3</v>
      </c>
      <c r="D223" s="133">
        <v>22097.45</v>
      </c>
      <c r="E223" s="133">
        <f t="shared" si="32"/>
        <v>9.2671463903117868E-3</v>
      </c>
      <c r="F223" s="135">
        <v>17320.150000000001</v>
      </c>
      <c r="G223" s="67">
        <f t="shared" si="29"/>
        <v>1.1564564972012414E-2</v>
      </c>
      <c r="H223" s="1"/>
      <c r="I223" s="1"/>
      <c r="J223" s="1"/>
      <c r="K223" s="1"/>
      <c r="L223" s="1"/>
      <c r="M223" s="1"/>
      <c r="N223" s="1"/>
      <c r="O223" s="1"/>
      <c r="P223" s="1"/>
      <c r="Q223" s="1"/>
      <c r="R223" s="1"/>
      <c r="S223" s="1"/>
      <c r="T223" s="1"/>
      <c r="U223" s="1"/>
      <c r="V223" s="1"/>
      <c r="W223" s="2">
        <v>45303</v>
      </c>
      <c r="X223" s="3">
        <v>1309.7</v>
      </c>
      <c r="Y223" s="1">
        <f t="shared" si="30"/>
        <v>-1.2888151944528081E-2</v>
      </c>
      <c r="Z223" s="1"/>
      <c r="AA223" s="1"/>
      <c r="AB223" s="1"/>
      <c r="AC223" s="1"/>
      <c r="AD223" s="1"/>
      <c r="AE223" s="1"/>
      <c r="AF223" s="1"/>
      <c r="AG223" s="1"/>
      <c r="AH223" s="1"/>
      <c r="AI223" s="1"/>
      <c r="AJ223" s="1"/>
      <c r="AK223" s="1"/>
    </row>
    <row r="224" spans="1:37">
      <c r="A224" s="134">
        <v>45303</v>
      </c>
      <c r="B224" s="135">
        <v>1309.7</v>
      </c>
      <c r="C224" s="133">
        <f t="shared" si="31"/>
        <v>-1.2888151944528081E-2</v>
      </c>
      <c r="D224" s="133">
        <v>21894.55</v>
      </c>
      <c r="E224" s="133">
        <f t="shared" si="32"/>
        <v>1.1426420045086649E-2</v>
      </c>
      <c r="F224" s="135">
        <v>17520.45</v>
      </c>
      <c r="G224" s="67">
        <f t="shared" si="29"/>
        <v>-9.8741756062201702E-3</v>
      </c>
      <c r="H224" s="1"/>
      <c r="I224" s="1"/>
      <c r="J224" s="1"/>
      <c r="K224" s="1"/>
      <c r="L224" s="1"/>
      <c r="M224" s="1"/>
      <c r="N224" s="1"/>
      <c r="O224" s="1"/>
      <c r="P224" s="1"/>
      <c r="Q224" s="1"/>
      <c r="R224" s="1"/>
      <c r="S224" s="1"/>
      <c r="T224" s="1"/>
      <c r="U224" s="1"/>
      <c r="V224" s="1"/>
      <c r="W224" s="2">
        <v>45302</v>
      </c>
      <c r="X224" s="3">
        <v>1326.8</v>
      </c>
      <c r="Y224" s="1">
        <f t="shared" si="30"/>
        <v>-1.4299691427711592E-3</v>
      </c>
      <c r="Z224" s="1"/>
      <c r="AA224" s="1"/>
      <c r="AB224" s="1"/>
      <c r="AC224" s="1"/>
      <c r="AD224" s="1"/>
      <c r="AE224" s="1"/>
      <c r="AF224" s="1"/>
      <c r="AG224" s="1"/>
      <c r="AH224" s="1"/>
      <c r="AI224" s="1"/>
      <c r="AJ224" s="1"/>
      <c r="AK224" s="1"/>
    </row>
    <row r="225" spans="1:37">
      <c r="A225" s="134">
        <v>45302</v>
      </c>
      <c r="B225" s="135">
        <v>1326.8</v>
      </c>
      <c r="C225" s="133">
        <f t="shared" si="31"/>
        <v>-1.4299691427711592E-3</v>
      </c>
      <c r="D225" s="133">
        <v>21647.200000000001</v>
      </c>
      <c r="E225" s="133">
        <f t="shared" si="32"/>
        <v>1.3183031357111297E-3</v>
      </c>
      <c r="F225" s="135">
        <v>17347.45</v>
      </c>
      <c r="G225" s="67">
        <f t="shared" si="29"/>
        <v>1.9080614153663689E-3</v>
      </c>
      <c r="H225" s="1"/>
      <c r="I225" s="1"/>
      <c r="J225" s="1"/>
      <c r="K225" s="1"/>
      <c r="L225" s="1"/>
      <c r="M225" s="1"/>
      <c r="N225" s="1"/>
      <c r="O225" s="1"/>
      <c r="P225" s="1"/>
      <c r="Q225" s="1"/>
      <c r="R225" s="1"/>
      <c r="S225" s="1"/>
      <c r="T225" s="1"/>
      <c r="U225" s="1"/>
      <c r="V225" s="1"/>
      <c r="W225" s="2">
        <v>45301</v>
      </c>
      <c r="X225" s="3">
        <v>1328.7</v>
      </c>
      <c r="Y225" s="1">
        <f t="shared" si="30"/>
        <v>2.8803716608594598E-2</v>
      </c>
      <c r="Z225" s="1"/>
      <c r="AA225" s="1"/>
      <c r="AB225" s="1"/>
      <c r="AC225" s="1"/>
      <c r="AD225" s="1"/>
      <c r="AE225" s="1"/>
      <c r="AF225" s="1"/>
      <c r="AG225" s="1"/>
      <c r="AH225" s="1"/>
      <c r="AI225" s="1"/>
      <c r="AJ225" s="1"/>
      <c r="AK225" s="1"/>
    </row>
    <row r="226" spans="1:37">
      <c r="A226" s="134">
        <v>45301</v>
      </c>
      <c r="B226" s="135">
        <v>1328.7</v>
      </c>
      <c r="C226" s="133">
        <f t="shared" si="31"/>
        <v>2.8803716608594598E-2</v>
      </c>
      <c r="D226" s="133">
        <v>21618.7</v>
      </c>
      <c r="E226" s="133">
        <f t="shared" si="32"/>
        <v>3.4277333098164942E-3</v>
      </c>
      <c r="F226" s="135">
        <v>17380.55</v>
      </c>
      <c r="G226" s="67">
        <f t="shared" si="29"/>
        <v>1.2283846023286582E-3</v>
      </c>
      <c r="H226" s="1"/>
      <c r="I226" s="1"/>
      <c r="J226" s="1"/>
      <c r="K226" s="1"/>
      <c r="L226" s="1"/>
      <c r="M226" s="1"/>
      <c r="N226" s="1"/>
      <c r="O226" s="1"/>
      <c r="P226" s="1"/>
      <c r="Q226" s="1"/>
      <c r="R226" s="1"/>
      <c r="S226" s="1"/>
      <c r="T226" s="1"/>
      <c r="U226" s="1"/>
      <c r="V226" s="1"/>
      <c r="W226" s="2">
        <v>45300</v>
      </c>
      <c r="X226" s="3">
        <v>1291.5</v>
      </c>
      <c r="Y226" s="1">
        <f t="shared" si="30"/>
        <v>1.6129032258064502E-2</v>
      </c>
      <c r="Z226" s="1"/>
      <c r="AA226" s="1"/>
      <c r="AB226" s="1"/>
      <c r="AC226" s="1"/>
      <c r="AD226" s="1"/>
      <c r="AE226" s="1"/>
      <c r="AF226" s="1"/>
      <c r="AG226" s="1"/>
      <c r="AH226" s="1"/>
      <c r="AI226" s="1"/>
      <c r="AJ226" s="1"/>
      <c r="AK226" s="1"/>
    </row>
    <row r="227" spans="1:37">
      <c r="A227" s="134">
        <v>45300</v>
      </c>
      <c r="B227" s="135">
        <v>1291.5</v>
      </c>
      <c r="C227" s="133">
        <f t="shared" si="31"/>
        <v>1.6129032258064502E-2</v>
      </c>
      <c r="D227" s="133">
        <v>21544.85</v>
      </c>
      <c r="E227" s="133">
        <f t="shared" si="32"/>
        <v>1.4805001626922998E-3</v>
      </c>
      <c r="F227" s="135">
        <v>17401.900000000001</v>
      </c>
      <c r="G227" s="67">
        <f t="shared" si="29"/>
        <v>-3.195053413707849E-3</v>
      </c>
      <c r="H227" s="1"/>
      <c r="I227" s="1"/>
      <c r="J227" s="1"/>
      <c r="K227" s="1"/>
      <c r="L227" s="1"/>
      <c r="M227" s="1"/>
      <c r="N227" s="1"/>
      <c r="O227" s="1"/>
      <c r="P227" s="1"/>
      <c r="Q227" s="1"/>
      <c r="R227" s="1"/>
      <c r="S227" s="1"/>
      <c r="T227" s="1"/>
      <c r="U227" s="1"/>
      <c r="V227" s="1"/>
      <c r="W227" s="2">
        <v>45299</v>
      </c>
      <c r="X227" s="3">
        <v>1271</v>
      </c>
      <c r="Y227" s="1">
        <f t="shared" si="30"/>
        <v>-1.2547100182573989E-2</v>
      </c>
      <c r="Z227" s="1"/>
      <c r="AA227" s="1"/>
      <c r="AB227" s="1"/>
      <c r="AC227" s="1"/>
      <c r="AD227" s="1"/>
      <c r="AE227" s="1"/>
      <c r="AF227" s="1"/>
      <c r="AG227" s="1"/>
      <c r="AH227" s="1"/>
      <c r="AI227" s="1"/>
      <c r="AJ227" s="1"/>
      <c r="AK227" s="1"/>
    </row>
    <row r="228" spans="1:37">
      <c r="A228" s="134">
        <v>45299</v>
      </c>
      <c r="B228" s="135">
        <v>1271</v>
      </c>
      <c r="C228" s="133">
        <f t="shared" si="31"/>
        <v>-1.2547100182573989E-2</v>
      </c>
      <c r="D228" s="133">
        <v>21513</v>
      </c>
      <c r="E228" s="133">
        <f t="shared" si="32"/>
        <v>-9.1106730290915205E-3</v>
      </c>
      <c r="F228" s="135">
        <v>17346.3</v>
      </c>
      <c r="G228" s="67">
        <f t="shared" si="29"/>
        <v>-8.6675544640643087E-3</v>
      </c>
      <c r="H228" s="1"/>
      <c r="I228" s="1"/>
      <c r="J228" s="1"/>
      <c r="K228" s="1"/>
      <c r="L228" s="1"/>
      <c r="M228" s="1"/>
      <c r="N228" s="1"/>
      <c r="O228" s="1"/>
      <c r="P228" s="1"/>
      <c r="Q228" s="1"/>
      <c r="R228" s="1"/>
      <c r="S228" s="1"/>
      <c r="T228" s="1"/>
      <c r="U228" s="1"/>
      <c r="V228" s="1"/>
      <c r="W228" s="2">
        <v>45296</v>
      </c>
      <c r="X228" s="3">
        <v>1287.1500000000001</v>
      </c>
      <c r="Y228" s="1">
        <f t="shared" si="30"/>
        <v>-9.5036552520199047E-3</v>
      </c>
      <c r="Z228" s="1"/>
      <c r="AA228" s="1"/>
      <c r="AB228" s="1"/>
      <c r="AC228" s="1"/>
      <c r="AD228" s="1"/>
      <c r="AE228" s="1"/>
      <c r="AF228" s="1"/>
      <c r="AG228" s="1"/>
      <c r="AH228" s="1"/>
      <c r="AI228" s="1"/>
      <c r="AJ228" s="1"/>
      <c r="AK228" s="1"/>
    </row>
    <row r="229" spans="1:37">
      <c r="A229" s="134">
        <v>45296</v>
      </c>
      <c r="B229" s="135">
        <v>1287.1500000000001</v>
      </c>
      <c r="C229" s="133">
        <f t="shared" si="31"/>
        <v>-9.5036552520199047E-3</v>
      </c>
      <c r="D229" s="133">
        <v>21710.799999999999</v>
      </c>
      <c r="E229" s="133">
        <f t="shared" si="32"/>
        <v>2.4101280784538659E-3</v>
      </c>
      <c r="F229" s="135">
        <v>17195.95</v>
      </c>
      <c r="G229" s="67">
        <f t="shared" si="29"/>
        <v>9.4586225244897015E-3</v>
      </c>
      <c r="H229" s="1"/>
      <c r="I229" s="1"/>
      <c r="J229" s="1"/>
      <c r="K229" s="1"/>
      <c r="L229" s="1"/>
      <c r="M229" s="1"/>
      <c r="N229" s="1"/>
      <c r="O229" s="1"/>
      <c r="P229" s="1"/>
      <c r="Q229" s="1"/>
      <c r="R229" s="1"/>
      <c r="S229" s="1"/>
      <c r="T229" s="1"/>
      <c r="U229" s="1"/>
      <c r="V229" s="1"/>
      <c r="W229" s="2">
        <v>45295</v>
      </c>
      <c r="X229" s="3">
        <v>1299.5</v>
      </c>
      <c r="Y229" s="1">
        <f t="shared" si="30"/>
        <v>-1.5750451384887176E-3</v>
      </c>
      <c r="Z229" s="1"/>
      <c r="AA229" s="1"/>
      <c r="AB229" s="1"/>
      <c r="AC229" s="1"/>
      <c r="AD229" s="1"/>
      <c r="AE229" s="1"/>
      <c r="AF229" s="1"/>
      <c r="AG229" s="1"/>
      <c r="AH229" s="1"/>
      <c r="AI229" s="1"/>
      <c r="AJ229" s="1"/>
      <c r="AK229" s="1"/>
    </row>
    <row r="230" spans="1:37">
      <c r="A230" s="134">
        <v>45295</v>
      </c>
      <c r="B230" s="135">
        <v>1299.5</v>
      </c>
      <c r="C230" s="133">
        <f t="shared" si="31"/>
        <v>-1.5750451384887176E-3</v>
      </c>
      <c r="D230" s="133">
        <v>21658.6</v>
      </c>
      <c r="E230" s="133">
        <f t="shared" si="32"/>
        <v>6.5644700671783074E-3</v>
      </c>
      <c r="F230" s="135">
        <v>17358.599999999999</v>
      </c>
      <c r="G230" s="67">
        <f t="shared" si="29"/>
        <v>3.1454149528189479E-3</v>
      </c>
      <c r="H230" s="1"/>
      <c r="I230" s="1"/>
      <c r="J230" s="1"/>
      <c r="K230" s="1"/>
      <c r="L230" s="1"/>
      <c r="M230" s="1"/>
      <c r="N230" s="1"/>
      <c r="O230" s="1"/>
      <c r="P230" s="1"/>
      <c r="Q230" s="1"/>
      <c r="R230" s="1"/>
      <c r="S230" s="1"/>
      <c r="T230" s="1"/>
      <c r="U230" s="1"/>
      <c r="V230" s="1"/>
      <c r="W230" s="2">
        <v>45294</v>
      </c>
      <c r="X230" s="3">
        <v>1301.55</v>
      </c>
      <c r="Y230" s="1">
        <f t="shared" si="30"/>
        <v>1.4576918579724873E-2</v>
      </c>
      <c r="Z230" s="1"/>
      <c r="AA230" s="1"/>
      <c r="AB230" s="1"/>
      <c r="AC230" s="1"/>
      <c r="AD230" s="1"/>
      <c r="AE230" s="1"/>
      <c r="AF230" s="1"/>
      <c r="AG230" s="1"/>
      <c r="AH230" s="1"/>
      <c r="AI230" s="1"/>
      <c r="AJ230" s="1"/>
      <c r="AK230" s="1"/>
    </row>
    <row r="231" spans="1:37">
      <c r="A231" s="134">
        <v>45294</v>
      </c>
      <c r="B231" s="135">
        <v>1301.55</v>
      </c>
      <c r="C231" s="133">
        <f t="shared" si="31"/>
        <v>1.4576918579724873E-2</v>
      </c>
      <c r="D231" s="133">
        <v>21517.35</v>
      </c>
      <c r="E231" s="133">
        <f t="shared" si="32"/>
        <v>-6.8518125340398806E-3</v>
      </c>
      <c r="F231" s="135">
        <v>17413.2</v>
      </c>
      <c r="G231" s="67">
        <f t="shared" si="29"/>
        <v>-1.9180851308203684E-3</v>
      </c>
      <c r="H231" s="1"/>
      <c r="I231" s="1"/>
      <c r="J231" s="1"/>
      <c r="K231" s="1"/>
      <c r="L231" s="1"/>
      <c r="M231" s="1"/>
      <c r="N231" s="1"/>
      <c r="O231" s="1"/>
      <c r="P231" s="1"/>
      <c r="Q231" s="1"/>
      <c r="R231" s="1"/>
      <c r="S231" s="1"/>
      <c r="T231" s="1"/>
      <c r="U231" s="1"/>
      <c r="V231" s="1"/>
      <c r="W231" s="2">
        <v>45293</v>
      </c>
      <c r="X231" s="3">
        <v>1282.8499999999999</v>
      </c>
      <c r="Y231" s="1">
        <f t="shared" si="30"/>
        <v>2.6279999999999859E-2</v>
      </c>
      <c r="Z231" s="1"/>
      <c r="AA231" s="1"/>
      <c r="AB231" s="1"/>
      <c r="AC231" s="1"/>
      <c r="AD231" s="1"/>
      <c r="AE231" s="1"/>
      <c r="AF231" s="1"/>
      <c r="AG231" s="1"/>
      <c r="AH231" s="1"/>
      <c r="AI231" s="1"/>
      <c r="AJ231" s="1"/>
      <c r="AK231" s="1"/>
    </row>
    <row r="232" spans="1:37">
      <c r="A232" s="134">
        <v>45293</v>
      </c>
      <c r="B232" s="135">
        <v>1282.8499999999999</v>
      </c>
      <c r="C232" s="133">
        <f t="shared" si="31"/>
        <v>2.6279999999999859E-2</v>
      </c>
      <c r="D232" s="133">
        <v>21665.8</v>
      </c>
      <c r="E232" s="133">
        <f t="shared" si="32"/>
        <v>-3.5001540803702991E-3</v>
      </c>
      <c r="F232" s="135">
        <v>17379.8</v>
      </c>
      <c r="G232" s="67">
        <f t="shared" si="29"/>
        <v>-6.0702654806153999E-3</v>
      </c>
      <c r="H232" s="1"/>
      <c r="I232" s="1"/>
      <c r="J232" s="1"/>
      <c r="K232" s="1"/>
      <c r="L232" s="1"/>
      <c r="M232" s="1"/>
      <c r="N232" s="1"/>
      <c r="O232" s="1"/>
      <c r="P232" s="1"/>
      <c r="Q232" s="1"/>
      <c r="R232" s="1"/>
      <c r="S232" s="1"/>
      <c r="T232" s="1"/>
      <c r="U232" s="1"/>
      <c r="V232" s="1"/>
      <c r="W232" s="2">
        <v>45292</v>
      </c>
      <c r="X232" s="3">
        <v>1250</v>
      </c>
      <c r="Y232" s="1">
        <f t="shared" si="30"/>
        <v>0</v>
      </c>
      <c r="Z232" s="1"/>
      <c r="AA232" s="1"/>
      <c r="AB232" s="1"/>
      <c r="AC232" s="1"/>
      <c r="AD232" s="1"/>
      <c r="AE232" s="1"/>
      <c r="AF232" s="1"/>
      <c r="AG232" s="1"/>
      <c r="AH232" s="1"/>
      <c r="AI232" s="1"/>
      <c r="AJ232" s="1"/>
      <c r="AK232" s="1"/>
    </row>
    <row r="233" spans="1:37">
      <c r="A233" s="134">
        <v>45292</v>
      </c>
      <c r="B233" s="135">
        <v>1250</v>
      </c>
      <c r="C233" s="133">
        <f t="shared" si="31"/>
        <v>0</v>
      </c>
      <c r="D233" s="133">
        <v>21741.9</v>
      </c>
      <c r="E233" s="133">
        <f t="shared" si="32"/>
        <v>4.8317181589774272E-4</v>
      </c>
      <c r="F233" s="135">
        <v>17274.3</v>
      </c>
      <c r="G233" s="67">
        <f t="shared" si="29"/>
        <v>-2.4055967535587475E-2</v>
      </c>
      <c r="H233" s="1"/>
      <c r="I233" s="1"/>
      <c r="J233" s="1"/>
      <c r="K233" s="1"/>
      <c r="L233" s="1"/>
      <c r="M233" s="1"/>
      <c r="N233" s="1"/>
      <c r="O233" s="1"/>
      <c r="P233" s="1"/>
      <c r="Q233" s="1"/>
      <c r="R233" s="1"/>
      <c r="S233" s="1"/>
      <c r="T233" s="1"/>
      <c r="U233" s="1"/>
      <c r="V233" s="1"/>
      <c r="W233" s="2">
        <v>45289</v>
      </c>
      <c r="X233" s="3">
        <v>1250</v>
      </c>
      <c r="Y233" s="1">
        <f t="shared" si="30"/>
        <v>-9.5087163232963068E-3</v>
      </c>
      <c r="Z233" s="1"/>
      <c r="AA233" s="1"/>
      <c r="AB233" s="1"/>
      <c r="AC233" s="1"/>
      <c r="AD233" s="1"/>
      <c r="AE233" s="1"/>
      <c r="AF233" s="1"/>
      <c r="AG233" s="1"/>
      <c r="AH233" s="1"/>
      <c r="AI233" s="1"/>
      <c r="AJ233" s="1"/>
      <c r="AK233" s="1"/>
    </row>
    <row r="234" spans="1:37">
      <c r="A234" s="134">
        <v>45289</v>
      </c>
      <c r="B234" s="135">
        <v>1250</v>
      </c>
      <c r="C234" s="133">
        <f t="shared" si="31"/>
        <v>-9.5087163232963068E-3</v>
      </c>
      <c r="D234" s="133">
        <v>21731.4</v>
      </c>
      <c r="E234" s="133">
        <f t="shared" si="32"/>
        <v>-2.1718468044464867E-3</v>
      </c>
      <c r="F234" s="135">
        <v>16858.75</v>
      </c>
      <c r="G234" s="67">
        <f t="shared" si="29"/>
        <v>-1.5985764069104125E-3</v>
      </c>
      <c r="H234" s="1"/>
      <c r="I234" s="1"/>
      <c r="J234" s="1"/>
      <c r="K234" s="1"/>
      <c r="L234" s="1"/>
      <c r="M234" s="1"/>
      <c r="N234" s="1"/>
      <c r="O234" s="1"/>
      <c r="P234" s="1"/>
      <c r="Q234" s="1"/>
      <c r="R234" s="1"/>
      <c r="S234" s="1"/>
      <c r="T234" s="1"/>
      <c r="U234" s="1"/>
      <c r="V234" s="1"/>
      <c r="W234" s="2">
        <v>45288</v>
      </c>
      <c r="X234" s="3">
        <v>1262</v>
      </c>
      <c r="Y234" s="1">
        <f t="shared" si="30"/>
        <v>1.8111411399298172E-2</v>
      </c>
      <c r="Z234" s="1"/>
      <c r="AA234" s="1"/>
      <c r="AB234" s="1"/>
      <c r="AC234" s="1"/>
      <c r="AD234" s="1"/>
      <c r="AE234" s="1"/>
      <c r="AF234" s="1"/>
      <c r="AG234" s="1"/>
      <c r="AH234" s="1"/>
      <c r="AI234" s="1"/>
      <c r="AJ234" s="1"/>
      <c r="AK234" s="1"/>
    </row>
    <row r="235" spans="1:37">
      <c r="A235" s="134">
        <v>45288</v>
      </c>
      <c r="B235" s="135">
        <v>1262</v>
      </c>
      <c r="C235" s="133">
        <f t="shared" si="31"/>
        <v>1.8111411399298172E-2</v>
      </c>
      <c r="D235" s="133">
        <v>21778.7</v>
      </c>
      <c r="E235" s="133">
        <f t="shared" si="32"/>
        <v>5.7239173853311787E-3</v>
      </c>
      <c r="F235" s="135">
        <v>16831.8</v>
      </c>
      <c r="G235" s="67">
        <f t="shared" si="29"/>
        <v>1.7258997849307622E-3</v>
      </c>
      <c r="H235" s="1"/>
      <c r="I235" s="1"/>
      <c r="J235" s="1"/>
      <c r="K235" s="1"/>
      <c r="L235" s="1"/>
      <c r="M235" s="1"/>
      <c r="N235" s="1"/>
      <c r="O235" s="1"/>
      <c r="P235" s="1"/>
      <c r="Q235" s="1"/>
      <c r="R235" s="1"/>
      <c r="S235" s="1"/>
      <c r="T235" s="1"/>
      <c r="U235" s="1"/>
      <c r="V235" s="1"/>
      <c r="W235" s="2">
        <v>45287</v>
      </c>
      <c r="X235" s="3">
        <v>1239.55</v>
      </c>
      <c r="Y235" s="1">
        <f t="shared" si="30"/>
        <v>-5.9344801315209805E-3</v>
      </c>
      <c r="Z235" s="1"/>
      <c r="AA235" s="1"/>
      <c r="AB235" s="1"/>
      <c r="AC235" s="1"/>
      <c r="AD235" s="1"/>
      <c r="AE235" s="1"/>
      <c r="AF235" s="1"/>
      <c r="AG235" s="1"/>
      <c r="AH235" s="1"/>
      <c r="AI235" s="1"/>
      <c r="AJ235" s="1"/>
      <c r="AK235" s="1"/>
    </row>
    <row r="236" spans="1:37">
      <c r="A236" s="134">
        <v>45287</v>
      </c>
      <c r="B236" s="135">
        <v>1239.55</v>
      </c>
      <c r="C236" s="133">
        <f t="shared" si="31"/>
        <v>-5.9344801315209805E-3</v>
      </c>
      <c r="D236" s="133">
        <v>21654.75</v>
      </c>
      <c r="E236" s="133">
        <f t="shared" si="32"/>
        <v>9.9527315211029865E-3</v>
      </c>
      <c r="F236" s="135">
        <v>16860.849999999999</v>
      </c>
      <c r="G236" s="67">
        <f t="shared" si="29"/>
        <v>-1.215241224493413E-2</v>
      </c>
      <c r="H236" s="1"/>
      <c r="I236" s="1"/>
      <c r="J236" s="1"/>
      <c r="K236" s="1"/>
      <c r="L236" s="1"/>
      <c r="M236" s="1"/>
      <c r="N236" s="1"/>
      <c r="O236" s="1"/>
      <c r="P236" s="1"/>
      <c r="Q236" s="1"/>
      <c r="R236" s="1"/>
      <c r="S236" s="1"/>
      <c r="T236" s="1"/>
      <c r="U236" s="1"/>
      <c r="V236" s="1"/>
      <c r="W236" s="2">
        <v>45286</v>
      </c>
      <c r="X236" s="3">
        <v>1246.95</v>
      </c>
      <c r="Y236" s="1">
        <f t="shared" si="30"/>
        <v>5.6048387096774288E-3</v>
      </c>
      <c r="Z236" s="1"/>
      <c r="AA236" s="1"/>
      <c r="AB236" s="1"/>
      <c r="AC236" s="1"/>
      <c r="AD236" s="1"/>
      <c r="AE236" s="1"/>
      <c r="AF236" s="1"/>
      <c r="AG236" s="1"/>
      <c r="AH236" s="1"/>
      <c r="AI236" s="1"/>
      <c r="AJ236" s="1"/>
      <c r="AK236" s="1"/>
    </row>
    <row r="237" spans="1:37">
      <c r="A237" s="134">
        <v>45286</v>
      </c>
      <c r="B237" s="135">
        <v>1246.95</v>
      </c>
      <c r="C237" s="133">
        <f t="shared" si="31"/>
        <v>5.6048387096774288E-3</v>
      </c>
      <c r="D237" s="133">
        <v>21441.35</v>
      </c>
      <c r="E237" s="133">
        <f t="shared" si="32"/>
        <v>4.306912606443225E-3</v>
      </c>
      <c r="F237" s="135">
        <v>16655.95</v>
      </c>
      <c r="G237" s="67">
        <f t="shared" si="29"/>
        <v>-5.6046037602179855E-3</v>
      </c>
      <c r="H237" s="1"/>
      <c r="I237" s="1"/>
      <c r="J237" s="1"/>
      <c r="K237" s="1"/>
      <c r="L237" s="1"/>
      <c r="M237" s="1"/>
      <c r="N237" s="1"/>
      <c r="O237" s="1"/>
      <c r="P237" s="1"/>
      <c r="Q237" s="1"/>
      <c r="R237" s="1"/>
      <c r="S237" s="1"/>
      <c r="T237" s="1"/>
      <c r="U237" s="1"/>
      <c r="V237" s="1"/>
      <c r="W237" s="2">
        <v>45282</v>
      </c>
      <c r="X237" s="3">
        <v>1240</v>
      </c>
      <c r="Y237" s="1">
        <f t="shared" si="30"/>
        <v>8.9503661513425925E-3</v>
      </c>
      <c r="Z237" s="1"/>
      <c r="AA237" s="1"/>
      <c r="AB237" s="1"/>
      <c r="AC237" s="1"/>
      <c r="AD237" s="1"/>
      <c r="AE237" s="1"/>
      <c r="AF237" s="1"/>
      <c r="AG237" s="1"/>
      <c r="AH237" s="1"/>
      <c r="AI237" s="1"/>
      <c r="AJ237" s="1"/>
      <c r="AK237" s="1"/>
    </row>
    <row r="238" spans="1:37">
      <c r="A238" s="134">
        <v>45282</v>
      </c>
      <c r="B238" s="135">
        <v>1240</v>
      </c>
      <c r="C238" s="133">
        <f t="shared" si="31"/>
        <v>8.9503661513425925E-3</v>
      </c>
      <c r="D238" s="133">
        <v>21349.4</v>
      </c>
      <c r="E238" s="133">
        <f t="shared" si="32"/>
        <v>4.4389450977533329E-3</v>
      </c>
      <c r="F238" s="135">
        <v>16562.599999999999</v>
      </c>
      <c r="G238" s="67">
        <f t="shared" si="29"/>
        <v>-1.0158429232125399E-2</v>
      </c>
      <c r="H238" s="1"/>
      <c r="I238" s="1"/>
      <c r="J238" s="1"/>
      <c r="K238" s="1"/>
      <c r="L238" s="1"/>
      <c r="M238" s="1"/>
      <c r="N238" s="1"/>
      <c r="O238" s="1"/>
      <c r="P238" s="1"/>
      <c r="Q238" s="1"/>
      <c r="R238" s="1"/>
      <c r="S238" s="1"/>
      <c r="T238" s="1"/>
      <c r="U238" s="1"/>
      <c r="V238" s="1"/>
      <c r="W238" s="2">
        <v>45281</v>
      </c>
      <c r="X238" s="3">
        <v>1229</v>
      </c>
      <c r="Y238" s="1">
        <f t="shared" si="30"/>
        <v>-7.2697899838448654E-3</v>
      </c>
      <c r="Z238" s="1"/>
      <c r="AA238" s="1"/>
      <c r="AB238" s="1"/>
      <c r="AC238" s="1"/>
      <c r="AD238" s="1"/>
      <c r="AE238" s="1"/>
      <c r="AF238" s="1"/>
      <c r="AG238" s="1"/>
      <c r="AH238" s="1"/>
      <c r="AI238" s="1"/>
      <c r="AJ238" s="1"/>
      <c r="AK238" s="1"/>
    </row>
    <row r="239" spans="1:37">
      <c r="A239" s="134">
        <v>45281</v>
      </c>
      <c r="B239" s="135">
        <v>1229</v>
      </c>
      <c r="C239" s="133">
        <f t="shared" si="31"/>
        <v>-7.2697899838448654E-3</v>
      </c>
      <c r="D239" s="133">
        <v>21255.05</v>
      </c>
      <c r="E239" s="133">
        <f t="shared" si="32"/>
        <v>4.9597756989903097E-3</v>
      </c>
      <c r="F239" s="135">
        <v>16394.349999999999</v>
      </c>
      <c r="G239" s="67">
        <f t="shared" si="29"/>
        <v>-9.5276726433191072E-3</v>
      </c>
      <c r="H239" s="1"/>
      <c r="I239" s="1"/>
      <c r="J239" s="1"/>
      <c r="K239" s="1"/>
      <c r="L239" s="1"/>
      <c r="M239" s="1"/>
      <c r="N239" s="1"/>
      <c r="O239" s="1"/>
      <c r="P239" s="1"/>
      <c r="Q239" s="1"/>
      <c r="R239" s="1"/>
      <c r="S239" s="1"/>
      <c r="T239" s="1"/>
      <c r="U239" s="1"/>
      <c r="V239" s="1"/>
      <c r="W239" s="2">
        <v>45280</v>
      </c>
      <c r="X239" s="3">
        <v>1238</v>
      </c>
      <c r="Y239" s="1">
        <f t="shared" si="30"/>
        <v>-1.612903225806428E-3</v>
      </c>
      <c r="Z239" s="1"/>
      <c r="AA239" s="1"/>
      <c r="AB239" s="1"/>
      <c r="AC239" s="1"/>
      <c r="AD239" s="1"/>
      <c r="AE239" s="1"/>
      <c r="AF239" s="1"/>
      <c r="AG239" s="1"/>
      <c r="AH239" s="1"/>
      <c r="AI239" s="1"/>
      <c r="AJ239" s="1"/>
      <c r="AK239" s="1"/>
    </row>
    <row r="240" spans="1:37">
      <c r="A240" s="134">
        <v>45280</v>
      </c>
      <c r="B240" s="135">
        <v>1238</v>
      </c>
      <c r="C240" s="133">
        <f t="shared" si="31"/>
        <v>-1.612903225806428E-3</v>
      </c>
      <c r="D240" s="133">
        <v>21150.15</v>
      </c>
      <c r="E240" s="133">
        <f t="shared" si="32"/>
        <v>-1.4121502253753415E-2</v>
      </c>
      <c r="F240" s="135">
        <v>16238.15</v>
      </c>
      <c r="G240" s="67">
        <f t="shared" si="29"/>
        <v>-7.1990959561279988E-3</v>
      </c>
      <c r="H240" s="1"/>
      <c r="I240" s="1"/>
      <c r="J240" s="1"/>
      <c r="K240" s="1"/>
      <c r="L240" s="1"/>
      <c r="M240" s="1"/>
      <c r="N240" s="1"/>
      <c r="O240" s="1"/>
      <c r="P240" s="1"/>
      <c r="Q240" s="1"/>
      <c r="R240" s="1"/>
      <c r="S240" s="1"/>
      <c r="T240" s="1"/>
      <c r="U240" s="1"/>
      <c r="V240" s="1"/>
      <c r="W240" s="2">
        <v>45279</v>
      </c>
      <c r="X240" s="3">
        <v>1240</v>
      </c>
      <c r="Y240" s="1">
        <f t="shared" si="30"/>
        <v>2.0576131687242816E-2</v>
      </c>
      <c r="Z240" s="1"/>
      <c r="AA240" s="1"/>
      <c r="AB240" s="1"/>
      <c r="AC240" s="1"/>
      <c r="AD240" s="1"/>
      <c r="AE240" s="1"/>
      <c r="AF240" s="1"/>
      <c r="AG240" s="1"/>
      <c r="AH240" s="1"/>
      <c r="AI240" s="1"/>
      <c r="AJ240" s="1"/>
      <c r="AK240" s="1"/>
    </row>
    <row r="241" spans="1:37">
      <c r="A241" s="134">
        <v>45279</v>
      </c>
      <c r="B241" s="135">
        <v>1240</v>
      </c>
      <c r="C241" s="133">
        <f t="shared" si="31"/>
        <v>2.0576131687242816E-2</v>
      </c>
      <c r="D241" s="133">
        <v>21453.1</v>
      </c>
      <c r="E241" s="133">
        <f t="shared" si="32"/>
        <v>1.6084113611267714E-3</v>
      </c>
      <c r="F241" s="135">
        <v>16121.25</v>
      </c>
      <c r="G241" s="67">
        <f t="shared" si="29"/>
        <v>1.6748080949057886E-2</v>
      </c>
      <c r="H241" s="1"/>
      <c r="I241" s="1"/>
      <c r="J241" s="1"/>
      <c r="K241" s="1"/>
      <c r="L241" s="1"/>
      <c r="M241" s="1"/>
      <c r="N241" s="1"/>
      <c r="O241" s="1"/>
      <c r="P241" s="1"/>
      <c r="Q241" s="1"/>
      <c r="R241" s="1"/>
      <c r="S241" s="1"/>
      <c r="T241" s="1"/>
      <c r="U241" s="1"/>
      <c r="V241" s="1"/>
      <c r="W241" s="2">
        <v>45278</v>
      </c>
      <c r="X241" s="3">
        <v>1215</v>
      </c>
      <c r="Y241" s="1">
        <f t="shared" si="30"/>
        <v>8.1732564411067798E-3</v>
      </c>
      <c r="Z241" s="1"/>
      <c r="AA241" s="1"/>
      <c r="AB241" s="1"/>
      <c r="AC241" s="1"/>
      <c r="AD241" s="1"/>
      <c r="AE241" s="1"/>
      <c r="AF241" s="1"/>
      <c r="AG241" s="1"/>
      <c r="AH241" s="1"/>
      <c r="AI241" s="1"/>
      <c r="AJ241" s="1"/>
      <c r="AK241" s="1"/>
    </row>
    <row r="242" spans="1:37">
      <c r="A242" s="134">
        <v>45278</v>
      </c>
      <c r="B242" s="135">
        <v>1215</v>
      </c>
      <c r="C242" s="133">
        <f t="shared" si="31"/>
        <v>8.1732564411067798E-3</v>
      </c>
      <c r="D242" s="133">
        <v>21418.65</v>
      </c>
      <c r="E242" s="133">
        <f t="shared" si="32"/>
        <v>-1.7710127163373945E-3</v>
      </c>
      <c r="F242" s="135">
        <v>16391.25</v>
      </c>
      <c r="G242" s="67">
        <f t="shared" si="29"/>
        <v>-3.6055822466255494E-3</v>
      </c>
      <c r="H242" s="1"/>
      <c r="I242" s="1"/>
      <c r="J242" s="1"/>
      <c r="K242" s="1"/>
      <c r="L242" s="1"/>
      <c r="M242" s="1"/>
      <c r="N242" s="1"/>
      <c r="O242" s="1"/>
      <c r="P242" s="1"/>
      <c r="Q242" s="1"/>
      <c r="R242" s="1"/>
      <c r="S242" s="1"/>
      <c r="T242" s="1"/>
      <c r="U242" s="1"/>
      <c r="V242" s="1"/>
      <c r="W242" s="2">
        <v>45275</v>
      </c>
      <c r="X242" s="3">
        <v>1205.1500000000001</v>
      </c>
      <c r="Y242" s="1">
        <f t="shared" si="30"/>
        <v>1.2448132780096266E-4</v>
      </c>
      <c r="Z242" s="1"/>
      <c r="AA242" s="1"/>
      <c r="AB242" s="1"/>
      <c r="AC242" s="1"/>
      <c r="AD242" s="1"/>
      <c r="AE242" s="1"/>
      <c r="AF242" s="1"/>
      <c r="AG242" s="1"/>
      <c r="AH242" s="1"/>
      <c r="AI242" s="1"/>
      <c r="AJ242" s="1"/>
      <c r="AK242" s="1"/>
    </row>
    <row r="243" spans="1:37">
      <c r="A243" s="134">
        <v>45275</v>
      </c>
      <c r="B243" s="135">
        <v>1205.1500000000001</v>
      </c>
      <c r="C243" s="133">
        <f t="shared" si="31"/>
        <v>1.2448132780096266E-4</v>
      </c>
      <c r="D243" s="133">
        <v>21456.65</v>
      </c>
      <c r="E243" s="133">
        <f t="shared" si="32"/>
        <v>1.2932723401643864E-2</v>
      </c>
      <c r="F243" s="135">
        <v>16332.15</v>
      </c>
      <c r="G243" s="67">
        <f t="shared" si="29"/>
        <v>-9.3282268409241587E-3</v>
      </c>
      <c r="H243" s="1"/>
      <c r="I243" s="1"/>
      <c r="J243" s="1"/>
      <c r="K243" s="1"/>
      <c r="L243" s="1"/>
      <c r="M243" s="1"/>
      <c r="N243" s="1"/>
      <c r="O243" s="1"/>
      <c r="P243" s="1"/>
      <c r="Q243" s="1"/>
      <c r="R243" s="1"/>
      <c r="S243" s="1"/>
      <c r="T243" s="1"/>
      <c r="U243" s="1"/>
      <c r="V243" s="1"/>
      <c r="W243" s="2">
        <v>45274</v>
      </c>
      <c r="X243" s="3">
        <v>1205</v>
      </c>
      <c r="Y243" s="1">
        <f t="shared" si="30"/>
        <v>-6.5952184666117075E-3</v>
      </c>
      <c r="Z243" s="1"/>
      <c r="AA243" s="1"/>
      <c r="AB243" s="1"/>
      <c r="AC243" s="1"/>
      <c r="AD243" s="1"/>
      <c r="AE243" s="1"/>
      <c r="AF243" s="1"/>
      <c r="AG243" s="1"/>
      <c r="AH243" s="1"/>
      <c r="AI243" s="1"/>
      <c r="AJ243" s="1"/>
      <c r="AK243" s="1"/>
    </row>
    <row r="244" spans="1:37">
      <c r="A244" s="134">
        <v>45274</v>
      </c>
      <c r="B244" s="135">
        <v>1205</v>
      </c>
      <c r="C244" s="133">
        <f t="shared" si="31"/>
        <v>-6.5952184666117075E-3</v>
      </c>
      <c r="D244" s="133">
        <v>21182.7</v>
      </c>
      <c r="E244" s="133">
        <f t="shared" si="32"/>
        <v>1.2250105727946048E-2</v>
      </c>
      <c r="F244" s="135">
        <v>16179.8</v>
      </c>
      <c r="G244" s="67">
        <f t="shared" si="29"/>
        <v>-1.489511613246064E-3</v>
      </c>
      <c r="H244" s="1"/>
      <c r="I244" s="1"/>
      <c r="J244" s="1"/>
      <c r="K244" s="1"/>
      <c r="L244" s="1"/>
      <c r="M244" s="1"/>
      <c r="N244" s="1"/>
      <c r="O244" s="1"/>
      <c r="P244" s="1"/>
      <c r="Q244" s="1"/>
      <c r="R244" s="1"/>
      <c r="S244" s="1"/>
      <c r="T244" s="1"/>
      <c r="U244" s="1"/>
      <c r="V244" s="1"/>
      <c r="W244" s="2">
        <v>45273</v>
      </c>
      <c r="X244" s="3">
        <v>1213</v>
      </c>
      <c r="Y244" s="1">
        <f t="shared" si="30"/>
        <v>1.2520868113522488E-2</v>
      </c>
      <c r="Z244" s="1"/>
      <c r="AA244" s="1"/>
      <c r="AB244" s="1"/>
      <c r="AC244" s="1"/>
      <c r="AD244" s="1"/>
      <c r="AE244" s="1"/>
      <c r="AF244" s="1"/>
      <c r="AG244" s="1"/>
      <c r="AH244" s="1"/>
      <c r="AI244" s="1"/>
      <c r="AJ244" s="1"/>
      <c r="AK244" s="1"/>
    </row>
    <row r="245" spans="1:37">
      <c r="A245" s="134">
        <v>45273</v>
      </c>
      <c r="B245" s="135">
        <v>1213</v>
      </c>
      <c r="C245" s="133">
        <f t="shared" si="31"/>
        <v>1.2520868113522488E-2</v>
      </c>
      <c r="D245" s="133">
        <v>20926.349999999999</v>
      </c>
      <c r="E245" s="133">
        <f t="shared" si="32"/>
        <v>9.5425324302600423E-4</v>
      </c>
      <c r="F245" s="135">
        <v>16155.7</v>
      </c>
      <c r="G245" s="67">
        <f t="shared" si="29"/>
        <v>-8.2323885687407561E-4</v>
      </c>
      <c r="H245" s="1"/>
      <c r="I245" s="1"/>
      <c r="J245" s="1"/>
      <c r="K245" s="1"/>
      <c r="L245" s="1"/>
      <c r="M245" s="1"/>
      <c r="N245" s="1"/>
      <c r="O245" s="1"/>
      <c r="P245" s="1"/>
      <c r="Q245" s="1"/>
      <c r="R245" s="1"/>
      <c r="S245" s="1"/>
      <c r="T245" s="1"/>
      <c r="U245" s="1"/>
      <c r="V245" s="1"/>
      <c r="W245" s="2">
        <v>45272</v>
      </c>
      <c r="X245" s="3">
        <v>1198</v>
      </c>
      <c r="Y245" s="1">
        <f t="shared" si="30"/>
        <v>-4.983388704318914E-3</v>
      </c>
      <c r="Z245" s="1"/>
      <c r="AA245" s="1"/>
      <c r="AB245" s="1"/>
      <c r="AC245" s="1"/>
      <c r="AD245" s="1"/>
      <c r="AE245" s="1"/>
      <c r="AF245" s="1"/>
      <c r="AG245" s="1"/>
      <c r="AH245" s="1"/>
      <c r="AI245" s="1"/>
      <c r="AJ245" s="1"/>
      <c r="AK245" s="1"/>
    </row>
    <row r="246" spans="1:37">
      <c r="A246" s="134">
        <v>45272</v>
      </c>
      <c r="B246" s="135">
        <v>1198</v>
      </c>
      <c r="C246" s="133">
        <f t="shared" si="31"/>
        <v>-4.983388704318914E-3</v>
      </c>
      <c r="D246" s="133">
        <v>20906.400000000001</v>
      </c>
      <c r="E246" s="133">
        <f t="shared" si="32"/>
        <v>-4.3196441413336784E-3</v>
      </c>
      <c r="F246" s="135">
        <v>16142.4</v>
      </c>
      <c r="G246" s="67">
        <f t="shared" si="29"/>
        <v>-1.1082614728912699E-2</v>
      </c>
      <c r="H246" s="1"/>
      <c r="I246" s="1"/>
      <c r="J246" s="1"/>
      <c r="K246" s="1"/>
      <c r="L246" s="1"/>
      <c r="M246" s="1"/>
      <c r="N246" s="1"/>
      <c r="O246" s="1"/>
      <c r="P246" s="1"/>
      <c r="Q246" s="1"/>
      <c r="R246" s="1"/>
      <c r="S246" s="1"/>
      <c r="T246" s="1"/>
      <c r="U246" s="1"/>
      <c r="V246" s="1"/>
      <c r="W246" s="2">
        <v>45271</v>
      </c>
      <c r="X246" s="3">
        <v>1204</v>
      </c>
      <c r="Y246" s="1">
        <f t="shared" si="30"/>
        <v>-1.2305168170631653E-2</v>
      </c>
      <c r="Z246" s="1"/>
      <c r="AA246" s="1"/>
      <c r="AB246" s="1"/>
      <c r="AC246" s="1"/>
      <c r="AD246" s="1"/>
      <c r="AE246" s="1"/>
      <c r="AF246" s="1"/>
      <c r="AG246" s="1"/>
      <c r="AH246" s="1"/>
      <c r="AI246" s="1"/>
      <c r="AJ246" s="1"/>
      <c r="AK246" s="1"/>
    </row>
    <row r="247" spans="1:37">
      <c r="A247" s="134">
        <v>45271</v>
      </c>
      <c r="B247" s="135">
        <v>1204</v>
      </c>
      <c r="C247" s="133">
        <f t="shared" si="31"/>
        <v>-1.2305168170631653E-2</v>
      </c>
      <c r="D247" s="133">
        <v>20997.1</v>
      </c>
      <c r="E247" s="133">
        <f t="shared" si="32"/>
        <v>1.3209724646388032E-3</v>
      </c>
      <c r="F247" s="135">
        <v>15963.5</v>
      </c>
      <c r="G247" s="67">
        <f t="shared" si="29"/>
        <v>4.7859178751525899E-3</v>
      </c>
      <c r="H247" s="1"/>
      <c r="I247" s="1"/>
      <c r="J247" s="1"/>
      <c r="K247" s="1"/>
      <c r="L247" s="1"/>
      <c r="M247" s="1"/>
      <c r="N247" s="1"/>
      <c r="O247" s="1"/>
      <c r="P247" s="1"/>
      <c r="Q247" s="1"/>
      <c r="R247" s="1"/>
      <c r="S247" s="1"/>
      <c r="T247" s="1"/>
      <c r="U247" s="1"/>
      <c r="V247" s="1"/>
      <c r="W247" s="2">
        <v>45268</v>
      </c>
      <c r="X247" s="3">
        <v>1219</v>
      </c>
      <c r="Y247" s="1">
        <f t="shared" si="30"/>
        <v>-4.0442828546918275E-3</v>
      </c>
      <c r="Z247" s="1"/>
      <c r="AA247" s="1"/>
      <c r="AB247" s="1"/>
      <c r="AC247" s="1"/>
      <c r="AD247" s="1"/>
      <c r="AE247" s="1"/>
      <c r="AF247" s="1"/>
      <c r="AG247" s="1"/>
      <c r="AH247" s="1"/>
      <c r="AI247" s="1"/>
      <c r="AJ247" s="1"/>
      <c r="AK247" s="1"/>
    </row>
    <row r="248" spans="1:37">
      <c r="A248" s="134">
        <v>45268</v>
      </c>
      <c r="B248" s="135">
        <v>1219</v>
      </c>
      <c r="C248" s="133">
        <f t="shared" si="31"/>
        <v>-4.0442828546918275E-3</v>
      </c>
      <c r="D248" s="133">
        <v>20969.400000000001</v>
      </c>
      <c r="E248" s="133">
        <f t="shared" si="32"/>
        <v>3.2653705657343934E-3</v>
      </c>
      <c r="F248" s="135">
        <v>16039.9</v>
      </c>
      <c r="G248" s="67">
        <f t="shared" si="29"/>
        <v>7.683963116976944E-3</v>
      </c>
      <c r="H248" s="1"/>
      <c r="I248" s="1"/>
      <c r="J248" s="1"/>
      <c r="K248" s="1"/>
      <c r="L248" s="1"/>
      <c r="M248" s="1"/>
      <c r="N248" s="1"/>
      <c r="O248" s="1"/>
      <c r="P248" s="1"/>
      <c r="Q248" s="1"/>
      <c r="R248" s="1"/>
      <c r="S248" s="1"/>
      <c r="T248" s="1"/>
      <c r="U248" s="1"/>
      <c r="V248" s="1"/>
      <c r="W248" s="2">
        <v>45267</v>
      </c>
      <c r="X248" s="3">
        <v>1223.95</v>
      </c>
      <c r="Y248" s="1">
        <f t="shared" si="30"/>
        <v>1.4043082021541142E-2</v>
      </c>
      <c r="Z248" s="1"/>
      <c r="AA248" s="1"/>
      <c r="AB248" s="1"/>
      <c r="AC248" s="1"/>
      <c r="AD248" s="1"/>
      <c r="AE248" s="1"/>
      <c r="AF248" s="1"/>
      <c r="AG248" s="1"/>
      <c r="AH248" s="1"/>
      <c r="AI248" s="1"/>
      <c r="AJ248" s="1"/>
      <c r="AK248" s="1"/>
    </row>
    <row r="249" spans="1:37">
      <c r="A249" s="134">
        <v>45267</v>
      </c>
      <c r="B249" s="135">
        <v>1223.95</v>
      </c>
      <c r="C249" s="133">
        <f t="shared" si="31"/>
        <v>1.4043082021541142E-2</v>
      </c>
      <c r="D249" s="133">
        <v>20901.150000000001</v>
      </c>
      <c r="E249" s="133">
        <f t="shared" si="32"/>
        <v>-1.7456549668778409E-3</v>
      </c>
      <c r="F249" s="135">
        <v>16163.15</v>
      </c>
      <c r="G249" s="67">
        <f t="shared" si="29"/>
        <v>8.1079492549411825E-3</v>
      </c>
      <c r="H249" s="1"/>
      <c r="I249" s="1"/>
      <c r="J249" s="1"/>
      <c r="K249" s="1"/>
      <c r="L249" s="1"/>
      <c r="M249" s="1"/>
      <c r="N249" s="1"/>
      <c r="O249" s="1"/>
      <c r="P249" s="1"/>
      <c r="Q249" s="1"/>
      <c r="R249" s="1"/>
      <c r="S249" s="1"/>
      <c r="T249" s="1"/>
      <c r="U249" s="1"/>
      <c r="V249" s="1"/>
      <c r="W249" s="2">
        <v>45266</v>
      </c>
      <c r="X249" s="3">
        <v>1207</v>
      </c>
      <c r="Y249" s="1">
        <f t="shared" si="30"/>
        <v>-1.1870650839132191E-2</v>
      </c>
      <c r="Z249" s="1"/>
      <c r="AA249" s="1"/>
      <c r="AB249" s="1"/>
      <c r="AC249" s="1"/>
      <c r="AD249" s="1"/>
      <c r="AE249" s="1"/>
      <c r="AF249" s="1"/>
      <c r="AG249" s="1"/>
      <c r="AH249" s="1"/>
      <c r="AI249" s="1"/>
      <c r="AJ249" s="1"/>
      <c r="AK249" s="1"/>
    </row>
    <row r="250" spans="1:37">
      <c r="A250" s="134">
        <v>45266</v>
      </c>
      <c r="B250" s="135">
        <v>1207</v>
      </c>
      <c r="C250" s="133">
        <f t="shared" si="31"/>
        <v>-1.1870650839132191E-2</v>
      </c>
      <c r="D250" s="133">
        <v>20937.7</v>
      </c>
      <c r="E250" s="133">
        <f t="shared" si="32"/>
        <v>3.9606619004464161E-3</v>
      </c>
      <c r="F250" s="135">
        <v>16294.2</v>
      </c>
      <c r="G250" s="67">
        <f t="shared" si="29"/>
        <v>-7.6499613359355401E-3</v>
      </c>
      <c r="H250" s="1"/>
      <c r="I250" s="1"/>
      <c r="J250" s="1"/>
      <c r="K250" s="1"/>
      <c r="L250" s="1"/>
      <c r="M250" s="1"/>
      <c r="N250" s="1"/>
      <c r="O250" s="1"/>
      <c r="P250" s="1"/>
      <c r="Q250" s="1"/>
      <c r="R250" s="1"/>
      <c r="S250" s="1"/>
      <c r="T250" s="1"/>
      <c r="U250" s="1"/>
      <c r="V250" s="1"/>
      <c r="W250" s="2">
        <v>45265</v>
      </c>
      <c r="X250" s="3">
        <v>1221.5</v>
      </c>
      <c r="Y250" s="1">
        <f t="shared" si="30"/>
        <v>2.4620434961017956E-3</v>
      </c>
      <c r="Z250" s="1"/>
      <c r="AA250" s="1"/>
      <c r="AB250" s="1"/>
      <c r="AC250" s="1"/>
      <c r="AD250" s="1"/>
      <c r="AE250" s="1"/>
      <c r="AF250" s="1"/>
      <c r="AG250" s="1"/>
      <c r="AH250" s="1"/>
      <c r="AI250" s="1"/>
      <c r="AJ250" s="1"/>
      <c r="AK250" s="1"/>
    </row>
    <row r="251" spans="1:37">
      <c r="A251" s="134">
        <v>45265</v>
      </c>
      <c r="B251" s="135">
        <v>1221.5</v>
      </c>
      <c r="C251" s="133">
        <f t="shared" si="31"/>
        <v>2.4620434961017956E-3</v>
      </c>
      <c r="D251" s="133">
        <v>20855.099999999999</v>
      </c>
      <c r="E251" s="133">
        <f t="shared" si="32"/>
        <v>8.1356227159348204E-3</v>
      </c>
      <c r="F251" s="135">
        <v>16169.55</v>
      </c>
      <c r="G251" s="67">
        <f t="shared" si="29"/>
        <v>3.7168628687873628E-3</v>
      </c>
      <c r="H251" s="1"/>
      <c r="I251" s="1"/>
      <c r="J251" s="1"/>
      <c r="K251" s="1"/>
      <c r="L251" s="1"/>
      <c r="M251" s="1"/>
      <c r="N251" s="1"/>
      <c r="O251" s="1"/>
      <c r="P251" s="1"/>
      <c r="Q251" s="1"/>
      <c r="R251" s="1"/>
      <c r="S251" s="1"/>
      <c r="T251" s="1"/>
      <c r="U251" s="1"/>
      <c r="V251" s="1"/>
      <c r="W251" s="2">
        <v>45264</v>
      </c>
      <c r="X251" s="3">
        <v>1218.5</v>
      </c>
      <c r="Y251" s="1">
        <f t="shared" si="30"/>
        <v>1.1287243754668275E-2</v>
      </c>
      <c r="Z251" s="1"/>
      <c r="AA251" s="1"/>
      <c r="AB251" s="1"/>
      <c r="AC251" s="1"/>
      <c r="AD251" s="1"/>
      <c r="AE251" s="1"/>
      <c r="AF251" s="1"/>
      <c r="AG251" s="1"/>
      <c r="AH251" s="1"/>
      <c r="AI251" s="1"/>
      <c r="AJ251" s="1"/>
      <c r="AK251" s="1"/>
    </row>
    <row r="252" spans="1:37">
      <c r="A252" s="134">
        <v>45264</v>
      </c>
      <c r="B252" s="135">
        <v>1218.5</v>
      </c>
      <c r="C252" s="133">
        <f t="shared" si="31"/>
        <v>1.1287243754668275E-2</v>
      </c>
      <c r="D252" s="133">
        <v>20686.8</v>
      </c>
      <c r="E252" s="133">
        <f t="shared" si="32"/>
        <v>2.0668150129021567E-2</v>
      </c>
      <c r="F252" s="135">
        <v>16229.65</v>
      </c>
      <c r="G252" s="67">
        <f t="shared" si="29"/>
        <v>-7.7019529071797876E-5</v>
      </c>
      <c r="H252" s="1"/>
      <c r="I252" s="1"/>
      <c r="J252" s="1"/>
      <c r="K252" s="1"/>
      <c r="L252" s="1"/>
      <c r="M252" s="1"/>
      <c r="N252" s="1"/>
      <c r="O252" s="1"/>
      <c r="P252" s="1"/>
      <c r="Q252" s="1"/>
      <c r="R252" s="1"/>
      <c r="S252" s="1"/>
      <c r="T252" s="1"/>
      <c r="U252" s="1"/>
      <c r="V252" s="1"/>
      <c r="W252" s="2">
        <v>45261</v>
      </c>
      <c r="X252" s="3">
        <v>1204.9000000000001</v>
      </c>
      <c r="Y252" s="1">
        <f t="shared" si="30"/>
        <v>-7.0869386073341145E-3</v>
      </c>
      <c r="Z252" s="1"/>
      <c r="AA252" s="1"/>
      <c r="AB252" s="1"/>
      <c r="AC252" s="1"/>
      <c r="AD252" s="1"/>
      <c r="AE252" s="1"/>
      <c r="AF252" s="1"/>
      <c r="AG252" s="1"/>
      <c r="AH252" s="1"/>
      <c r="AI252" s="1"/>
      <c r="AJ252" s="1"/>
      <c r="AK252" s="1"/>
    </row>
    <row r="253" spans="1:37">
      <c r="A253" s="134">
        <v>45261</v>
      </c>
      <c r="B253" s="135">
        <v>1204.9000000000001</v>
      </c>
      <c r="C253" s="133">
        <f t="shared" si="31"/>
        <v>-7.0869386073341145E-3</v>
      </c>
      <c r="D253" s="133">
        <v>20267.900000000001</v>
      </c>
      <c r="E253" s="133">
        <f t="shared" si="32"/>
        <v>6.6929417403636116E-3</v>
      </c>
      <c r="F253" s="135">
        <v>16228.4</v>
      </c>
      <c r="G253" s="67">
        <f t="shared" si="29"/>
        <v>1.7654235784181349E-3</v>
      </c>
      <c r="H253" s="1"/>
      <c r="I253" s="1"/>
      <c r="J253" s="1"/>
      <c r="K253" s="1"/>
      <c r="L253" s="1"/>
      <c r="M253" s="1"/>
      <c r="N253" s="1"/>
      <c r="O253" s="1"/>
      <c r="P253" s="1"/>
      <c r="Q253" s="1"/>
      <c r="R253" s="1"/>
      <c r="S253" s="1"/>
      <c r="T253" s="1"/>
      <c r="U253" s="1"/>
      <c r="V253" s="1"/>
      <c r="W253" s="2">
        <v>45260</v>
      </c>
      <c r="X253" s="3">
        <v>1213.5</v>
      </c>
      <c r="Y253" s="1">
        <f t="shared" si="30"/>
        <v>1.0323869786029505E-2</v>
      </c>
      <c r="Z253" s="1"/>
      <c r="AA253" s="1"/>
      <c r="AB253" s="1"/>
      <c r="AC253" s="1"/>
      <c r="AD253" s="1"/>
      <c r="AE253" s="1"/>
      <c r="AF253" s="1"/>
      <c r="AG253" s="1"/>
      <c r="AH253" s="1"/>
      <c r="AI253" s="1"/>
      <c r="AJ253" s="1"/>
      <c r="AK253" s="1"/>
    </row>
    <row r="254" spans="1:37">
      <c r="A254" s="134">
        <v>45260</v>
      </c>
      <c r="B254" s="135">
        <v>1213.5</v>
      </c>
      <c r="C254" s="133">
        <f t="shared" si="31"/>
        <v>1.0323869786029505E-2</v>
      </c>
      <c r="D254" s="133">
        <v>20133.150000000001</v>
      </c>
      <c r="E254" s="133">
        <f t="shared" si="32"/>
        <v>1.8187156036346686E-3</v>
      </c>
      <c r="F254" s="135">
        <v>16257.05</v>
      </c>
      <c r="G254" s="67">
        <f t="shared" si="29"/>
        <v>-1.1164387142809096E-3</v>
      </c>
      <c r="H254" s="1"/>
      <c r="I254" s="1"/>
      <c r="J254" s="1"/>
      <c r="K254" s="1"/>
      <c r="L254" s="1"/>
      <c r="M254" s="1"/>
      <c r="N254" s="1"/>
      <c r="O254" s="1"/>
      <c r="P254" s="1"/>
      <c r="Q254" s="1"/>
      <c r="R254" s="1"/>
      <c r="S254" s="1"/>
      <c r="T254" s="1"/>
      <c r="U254" s="1"/>
      <c r="V254" s="1"/>
      <c r="W254" s="2">
        <v>45259</v>
      </c>
      <c r="X254" s="3">
        <v>1201.0999999999999</v>
      </c>
      <c r="Y254" s="1">
        <f t="shared" si="30"/>
        <v>8.0570709190095346E-3</v>
      </c>
      <c r="Z254" s="1"/>
      <c r="AA254" s="1"/>
      <c r="AB254" s="1"/>
      <c r="AC254" s="1"/>
      <c r="AD254" s="1"/>
      <c r="AE254" s="1"/>
      <c r="AF254" s="1"/>
      <c r="AG254" s="1"/>
      <c r="AH254" s="1"/>
      <c r="AI254" s="1"/>
      <c r="AJ254" s="1"/>
      <c r="AK254" s="1"/>
    </row>
    <row r="255" spans="1:37">
      <c r="A255" s="134">
        <v>45259</v>
      </c>
      <c r="B255" s="135">
        <v>1201.0999999999999</v>
      </c>
      <c r="C255" s="133">
        <f t="shared" si="31"/>
        <v>8.0570709190095346E-3</v>
      </c>
      <c r="D255" s="133">
        <v>20096.599999999999</v>
      </c>
      <c r="E255" s="133">
        <f t="shared" si="32"/>
        <v>1.04023690653956E-2</v>
      </c>
      <c r="F255" s="135">
        <v>16238.9</v>
      </c>
      <c r="G255" s="67">
        <f t="shared" si="29"/>
        <v>-1.5321234812702755E-2</v>
      </c>
      <c r="H255" s="1"/>
      <c r="I255" s="1"/>
      <c r="J255" s="1"/>
      <c r="K255" s="1"/>
      <c r="L255" s="1"/>
      <c r="M255" s="1"/>
      <c r="N255" s="1"/>
      <c r="O255" s="1"/>
      <c r="P255" s="1"/>
      <c r="Q255" s="1"/>
      <c r="R255" s="1"/>
      <c r="S255" s="1"/>
      <c r="T255" s="1"/>
      <c r="U255" s="1"/>
      <c r="V255" s="1"/>
      <c r="W255" s="2">
        <v>45258</v>
      </c>
      <c r="X255" s="3">
        <v>1191.5</v>
      </c>
      <c r="Y255" s="1">
        <f t="shared" si="30"/>
        <v>-3.9707419017763756E-3</v>
      </c>
      <c r="Z255" s="1"/>
      <c r="AA255" s="1"/>
      <c r="AB255" s="1"/>
      <c r="AC255" s="1"/>
      <c r="AD255" s="1"/>
      <c r="AE255" s="1"/>
      <c r="AF255" s="1"/>
      <c r="AG255" s="1"/>
      <c r="AH255" s="1"/>
      <c r="AI255" s="1"/>
      <c r="AJ255" s="1"/>
      <c r="AK255" s="1"/>
    </row>
    <row r="256" spans="1:37">
      <c r="A256" s="134">
        <v>45258</v>
      </c>
      <c r="B256" s="135">
        <v>1191.5</v>
      </c>
      <c r="C256" s="133">
        <f t="shared" si="31"/>
        <v>-3.9707419017763756E-3</v>
      </c>
      <c r="D256" s="133">
        <v>19889.7</v>
      </c>
      <c r="E256" s="133">
        <f t="shared" si="32"/>
        <v>4.7992644495749026E-3</v>
      </c>
      <c r="F256" s="135">
        <v>15990.1</v>
      </c>
      <c r="G256" s="67">
        <f t="shared" si="29"/>
        <v>-5.6159748844598623E-3</v>
      </c>
      <c r="H256" s="1"/>
      <c r="I256" s="1"/>
      <c r="J256" s="1"/>
      <c r="K256" s="1"/>
      <c r="L256" s="1"/>
      <c r="M256" s="1"/>
      <c r="N256" s="1"/>
      <c r="O256" s="1"/>
      <c r="P256" s="1"/>
      <c r="Q256" s="1"/>
      <c r="R256" s="1"/>
      <c r="S256" s="1"/>
      <c r="T256" s="1"/>
      <c r="U256" s="1"/>
      <c r="V256" s="1"/>
      <c r="W256" s="2">
        <v>45254</v>
      </c>
      <c r="X256" s="3">
        <v>1196.25</v>
      </c>
      <c r="Y256" s="1">
        <f t="shared" si="30"/>
        <v>1.8605245231607448E-2</v>
      </c>
      <c r="Z256" s="1"/>
      <c r="AA256" s="1"/>
      <c r="AB256" s="1"/>
      <c r="AC256" s="1"/>
      <c r="AD256" s="1"/>
      <c r="AE256" s="1"/>
      <c r="AF256" s="1"/>
      <c r="AG256" s="1"/>
      <c r="AH256" s="1"/>
      <c r="AI256" s="1"/>
      <c r="AJ256" s="1"/>
      <c r="AK256" s="1"/>
    </row>
    <row r="257" spans="1:37">
      <c r="A257" s="134">
        <v>45254</v>
      </c>
      <c r="B257" s="135">
        <v>1196.25</v>
      </c>
      <c r="C257" s="133">
        <f t="shared" si="31"/>
        <v>1.8605245231607448E-2</v>
      </c>
      <c r="D257" s="133">
        <v>19794.7</v>
      </c>
      <c r="E257" s="133">
        <f t="shared" si="32"/>
        <v>-3.6864963135030404E-4</v>
      </c>
      <c r="F257" s="136">
        <v>15900.3</v>
      </c>
      <c r="G257" s="137">
        <f t="shared" si="29"/>
        <v>3.4087407155840577E-3</v>
      </c>
      <c r="H257" s="1"/>
      <c r="I257" s="1"/>
      <c r="J257" s="1"/>
      <c r="K257" s="1"/>
      <c r="L257" s="1"/>
      <c r="M257" s="1"/>
      <c r="N257" s="1"/>
      <c r="O257" s="1"/>
      <c r="P257" s="1"/>
      <c r="Q257" s="1"/>
      <c r="R257" s="1"/>
      <c r="S257" s="1"/>
      <c r="T257" s="1"/>
      <c r="U257" s="1"/>
      <c r="V257" s="1"/>
      <c r="W257" s="2">
        <v>45253</v>
      </c>
      <c r="X257" s="3">
        <v>1174.4000000000001</v>
      </c>
      <c r="Y257" s="1">
        <f t="shared" si="30"/>
        <v>-7.7382355251787271E-2</v>
      </c>
      <c r="Z257" s="1"/>
      <c r="AA257" s="1"/>
      <c r="AB257" s="1"/>
      <c r="AC257" s="1"/>
      <c r="AD257" s="1"/>
      <c r="AE257" s="1"/>
      <c r="AF257" s="1"/>
      <c r="AG257" s="1"/>
      <c r="AH257" s="1"/>
      <c r="AI257" s="1"/>
      <c r="AJ257" s="1"/>
      <c r="AK257" s="1"/>
    </row>
    <row r="258" spans="1:37">
      <c r="A258" s="134">
        <v>45253</v>
      </c>
      <c r="B258" s="135">
        <v>1174.4000000000001</v>
      </c>
      <c r="C258" s="133">
        <f t="shared" si="31"/>
        <v>-7.7382355251787271E-2</v>
      </c>
      <c r="D258" s="133">
        <v>19802</v>
      </c>
      <c r="E258" s="133">
        <f t="shared" si="32"/>
        <v>-4.971771944567438E-4</v>
      </c>
      <c r="F258" s="135">
        <v>15954.5</v>
      </c>
      <c r="G258" s="67">
        <f t="shared" si="29"/>
        <v>-8.5900529631137701E-3</v>
      </c>
      <c r="H258" s="1"/>
      <c r="I258" s="1"/>
      <c r="J258" s="1"/>
      <c r="K258" s="1"/>
      <c r="L258" s="1"/>
      <c r="M258" s="1"/>
      <c r="N258" s="1"/>
      <c r="O258" s="1"/>
      <c r="P258" s="1"/>
      <c r="Q258" s="1"/>
      <c r="R258" s="1"/>
      <c r="S258" s="1"/>
      <c r="T258" s="1"/>
      <c r="U258" s="1"/>
      <c r="V258" s="1"/>
      <c r="W258" s="2">
        <v>45252</v>
      </c>
      <c r="X258" s="3">
        <v>1272.9000000000001</v>
      </c>
      <c r="Y258" s="1">
        <f t="shared" si="30"/>
        <v>1.5071770334928347E-2</v>
      </c>
      <c r="Z258" s="1"/>
      <c r="AA258" s="1"/>
      <c r="AB258" s="1"/>
      <c r="AC258" s="1"/>
      <c r="AD258" s="1"/>
      <c r="AE258" s="1"/>
      <c r="AF258" s="1"/>
      <c r="AG258" s="1"/>
      <c r="AH258" s="1"/>
      <c r="AI258" s="1"/>
      <c r="AJ258" s="1"/>
      <c r="AK258" s="1"/>
    </row>
    <row r="259" spans="1:37">
      <c r="A259" s="134">
        <v>45252</v>
      </c>
      <c r="B259" s="135">
        <v>1272.9000000000001</v>
      </c>
      <c r="C259" s="133">
        <f t="shared" si="31"/>
        <v>1.5071770334928347E-2</v>
      </c>
      <c r="D259" s="133">
        <v>19811.849999999999</v>
      </c>
      <c r="E259" s="133">
        <f t="shared" si="32"/>
        <v>1.4380743451578581E-3</v>
      </c>
      <c r="F259" s="135">
        <v>15817.45</v>
      </c>
      <c r="G259" s="67">
        <f t="shared" si="29"/>
        <v>1.5953899016592388E-2</v>
      </c>
      <c r="H259" s="1"/>
      <c r="I259" s="1"/>
      <c r="J259" s="1"/>
      <c r="K259" s="1"/>
      <c r="L259" s="1"/>
      <c r="M259" s="1"/>
      <c r="N259" s="1"/>
      <c r="O259" s="1"/>
      <c r="P259" s="1"/>
      <c r="Q259" s="1"/>
      <c r="R259" s="1"/>
      <c r="S259" s="1"/>
      <c r="T259" s="1"/>
      <c r="U259" s="1"/>
      <c r="V259" s="1"/>
      <c r="W259" s="2">
        <v>45251</v>
      </c>
      <c r="X259" s="3">
        <v>1254</v>
      </c>
      <c r="Y259" s="1">
        <f t="shared" si="30"/>
        <v>4.2042042042043093E-3</v>
      </c>
      <c r="Z259" s="1"/>
      <c r="AA259" s="1"/>
      <c r="AB259" s="1"/>
      <c r="AC259" s="1"/>
      <c r="AD259" s="1"/>
      <c r="AE259" s="1"/>
      <c r="AF259" s="1"/>
      <c r="AG259" s="1"/>
      <c r="AH259" s="1"/>
      <c r="AI259" s="1"/>
      <c r="AJ259" s="1"/>
      <c r="AK259" s="1"/>
    </row>
    <row r="260" spans="1:37">
      <c r="A260" s="134">
        <v>45251</v>
      </c>
      <c r="B260" s="135">
        <v>1254</v>
      </c>
      <c r="C260" s="133">
        <f t="shared" si="31"/>
        <v>4.2042042042043093E-3</v>
      </c>
      <c r="D260" s="133">
        <v>19783.400000000001</v>
      </c>
      <c r="E260" s="133">
        <f t="shared" si="32"/>
        <v>4.5394536407028507E-3</v>
      </c>
      <c r="F260" s="135">
        <v>16069.8</v>
      </c>
      <c r="G260" s="67">
        <f t="shared" si="29"/>
        <v>-6.2788584798815217E-3</v>
      </c>
      <c r="H260" s="1"/>
      <c r="I260" s="1"/>
      <c r="J260" s="1"/>
      <c r="K260" s="1"/>
      <c r="L260" s="1"/>
      <c r="M260" s="1"/>
      <c r="N260" s="1"/>
      <c r="O260" s="1"/>
      <c r="P260" s="1"/>
      <c r="Q260" s="1"/>
      <c r="R260" s="1"/>
      <c r="S260" s="1"/>
      <c r="T260" s="1"/>
      <c r="U260" s="1"/>
      <c r="V260" s="1"/>
      <c r="W260" s="2">
        <v>45250</v>
      </c>
      <c r="X260" s="3">
        <v>1248.75</v>
      </c>
      <c r="Y260" s="1"/>
      <c r="Z260" s="1"/>
      <c r="AA260" s="1"/>
      <c r="AB260" s="1"/>
      <c r="AC260" s="1"/>
      <c r="AD260" s="1"/>
      <c r="AE260" s="1"/>
      <c r="AF260" s="1"/>
      <c r="AG260" s="1"/>
      <c r="AH260" s="1"/>
      <c r="AI260" s="1"/>
      <c r="AJ260" s="1"/>
      <c r="AK260" s="1"/>
    </row>
    <row r="261" spans="1:37">
      <c r="A261" s="134">
        <v>45250</v>
      </c>
      <c r="B261" s="135">
        <v>1248.75</v>
      </c>
      <c r="C261" s="133">
        <f t="shared" si="31"/>
        <v>4.4063451369980022E-4</v>
      </c>
      <c r="D261" s="133">
        <v>19694</v>
      </c>
      <c r="E261" s="133">
        <f t="shared" si="32"/>
        <v>-1.915689394784037E-3</v>
      </c>
      <c r="F261" s="135">
        <v>15968.9</v>
      </c>
      <c r="G261" s="67">
        <f t="shared" si="29"/>
        <v>-1.0154112055307474E-2</v>
      </c>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spans="1:37">
      <c r="A262" s="134">
        <v>45247</v>
      </c>
      <c r="B262" s="135">
        <v>1248.2</v>
      </c>
      <c r="C262" s="133">
        <f t="shared" si="31"/>
        <v>1.0156597742078999E-2</v>
      </c>
      <c r="D262" s="133">
        <v>19731.8</v>
      </c>
      <c r="E262" s="133">
        <f t="shared" si="32"/>
        <v>-1.6898387064133713E-3</v>
      </c>
      <c r="F262" s="136">
        <v>15806.75</v>
      </c>
      <c r="G262" s="137">
        <f t="shared" si="29"/>
        <v>-1.4234425166459452E-4</v>
      </c>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spans="1:37">
      <c r="A263" s="134">
        <v>45246</v>
      </c>
      <c r="B263" s="135">
        <v>1235.6500000000001</v>
      </c>
      <c r="C263" s="133">
        <f t="shared" si="31"/>
        <v>-3.5080645161289503E-3</v>
      </c>
      <c r="D263" s="133">
        <v>19765.2</v>
      </c>
      <c r="E263" s="133">
        <f t="shared" si="32"/>
        <v>4.5615220998758144E-3</v>
      </c>
      <c r="F263" s="135">
        <v>15804.5</v>
      </c>
      <c r="G263" s="67">
        <f t="shared" si="29"/>
        <v>-9.7060963649593379E-3</v>
      </c>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spans="1:37">
      <c r="A264" s="134">
        <v>45245</v>
      </c>
      <c r="B264" s="135">
        <v>1240</v>
      </c>
      <c r="C264" s="133">
        <f t="shared" si="31"/>
        <v>-1.6126431220775395E-4</v>
      </c>
      <c r="D264" s="133">
        <v>19675.45</v>
      </c>
      <c r="E264" s="133">
        <f t="shared" si="32"/>
        <v>6.5404448627965905E-3</v>
      </c>
      <c r="F264" s="135">
        <v>15651.1</v>
      </c>
      <c r="G264" s="67">
        <f t="shared" si="29"/>
        <v>-8.6160078205366197E-3</v>
      </c>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spans="1:37">
      <c r="A265" s="134">
        <v>45244</v>
      </c>
      <c r="B265" s="135">
        <v>1240.2</v>
      </c>
      <c r="C265" s="133">
        <f t="shared" si="31"/>
        <v>-8.459214501510548E-4</v>
      </c>
      <c r="D265" s="133">
        <v>19547.599999999999</v>
      </c>
      <c r="E265" s="133">
        <f t="shared" si="32"/>
        <v>5.3513890210377113E-3</v>
      </c>
      <c r="F265" s="135">
        <v>15516.25</v>
      </c>
      <c r="G265" s="67">
        <f t="shared" ref="G265:G328" si="33">F266/F265-1</f>
        <v>-1.230967534036953E-3</v>
      </c>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spans="1:37">
      <c r="A266" s="134">
        <v>45243</v>
      </c>
      <c r="B266" s="135">
        <v>1241.25</v>
      </c>
      <c r="C266" s="133">
        <f t="shared" ref="C266:C329" si="34">B266/B267-1</f>
        <v>-3.2215197519436245E-4</v>
      </c>
      <c r="D266" s="133">
        <v>19443.55</v>
      </c>
      <c r="E266" s="133">
        <f t="shared" ref="E266:E329" si="35">D266/D267-1</f>
        <v>-4.1996256187405434E-3</v>
      </c>
      <c r="F266" s="136">
        <v>15497.15</v>
      </c>
      <c r="G266" s="137">
        <f t="shared" si="33"/>
        <v>1.2486166811316313E-3</v>
      </c>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spans="1:37">
      <c r="A267" s="134">
        <v>45242</v>
      </c>
      <c r="B267" s="135">
        <v>1241.6500000000001</v>
      </c>
      <c r="C267" s="133">
        <f t="shared" si="34"/>
        <v>2.0579452828668465E-3</v>
      </c>
      <c r="D267" s="133">
        <v>19525.55</v>
      </c>
      <c r="E267" s="133">
        <f t="shared" si="35"/>
        <v>5.1582082176124811E-3</v>
      </c>
      <c r="F267" s="135">
        <v>15516.5</v>
      </c>
      <c r="G267" s="67">
        <f t="shared" si="33"/>
        <v>-1.588631456836298E-3</v>
      </c>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spans="1:37">
      <c r="A268" s="134">
        <v>45240</v>
      </c>
      <c r="B268" s="135">
        <v>1239.0999999999999</v>
      </c>
      <c r="C268" s="133">
        <f t="shared" si="34"/>
        <v>-1.2104095218889999E-4</v>
      </c>
      <c r="D268" s="133">
        <v>19425.349999999999</v>
      </c>
      <c r="E268" s="133">
        <f t="shared" si="35"/>
        <v>1.549344428804833E-3</v>
      </c>
      <c r="F268" s="135">
        <v>15491.85</v>
      </c>
      <c r="G268" s="67">
        <f t="shared" si="33"/>
        <v>3.4857037732738405E-4</v>
      </c>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spans="1:37">
      <c r="A269" s="134">
        <v>45239</v>
      </c>
      <c r="B269" s="135">
        <v>1239.25</v>
      </c>
      <c r="C269" s="133">
        <f t="shared" si="34"/>
        <v>-6.0483870967742437E-4</v>
      </c>
      <c r="D269" s="133">
        <v>19395.3</v>
      </c>
      <c r="E269" s="133">
        <f t="shared" si="35"/>
        <v>-2.4789775503382128E-3</v>
      </c>
      <c r="F269" s="135">
        <v>15497.25</v>
      </c>
      <c r="G269" s="67">
        <f t="shared" si="33"/>
        <v>-1.4550968720256852E-2</v>
      </c>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spans="1:37">
      <c r="A270" s="134">
        <v>45238</v>
      </c>
      <c r="B270" s="135">
        <v>1240</v>
      </c>
      <c r="C270" s="133">
        <f t="shared" si="34"/>
        <v>1.9024530550191043E-2</v>
      </c>
      <c r="D270" s="133">
        <v>19443.5</v>
      </c>
      <c r="E270" s="133">
        <f t="shared" si="35"/>
        <v>1.8962523252279428E-3</v>
      </c>
      <c r="F270" s="135">
        <v>15271.75</v>
      </c>
      <c r="G270" s="67">
        <f t="shared" si="33"/>
        <v>-1.3060061878959583E-2</v>
      </c>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spans="1:37">
      <c r="A271" s="134">
        <v>45237</v>
      </c>
      <c r="B271" s="135">
        <v>1216.8499999999999</v>
      </c>
      <c r="C271" s="133">
        <f t="shared" si="34"/>
        <v>1.1344747340425343E-2</v>
      </c>
      <c r="D271" s="133">
        <v>19406.7</v>
      </c>
      <c r="E271" s="133">
        <f t="shared" si="35"/>
        <v>-2.6015171223614519E-4</v>
      </c>
      <c r="F271" s="135">
        <v>15072.3</v>
      </c>
      <c r="G271" s="67">
        <f t="shared" si="33"/>
        <v>-1.2602588855051944E-2</v>
      </c>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spans="1:37">
      <c r="A272" s="134">
        <v>45236</v>
      </c>
      <c r="B272" s="135">
        <v>1203.2</v>
      </c>
      <c r="C272" s="133">
        <f t="shared" si="34"/>
        <v>-1.4937759336098866E-3</v>
      </c>
      <c r="D272" s="133">
        <v>19411.75</v>
      </c>
      <c r="E272" s="133">
        <f t="shared" si="35"/>
        <v>9.4198828949696445E-3</v>
      </c>
      <c r="F272" s="135">
        <v>14882.35</v>
      </c>
      <c r="G272" s="67">
        <f t="shared" si="33"/>
        <v>-3.2185777111813918E-3</v>
      </c>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spans="1:37">
      <c r="A273" s="134">
        <v>45233</v>
      </c>
      <c r="B273" s="135">
        <v>1205</v>
      </c>
      <c r="C273" s="133">
        <f t="shared" si="34"/>
        <v>-3.9264310808018177E-3</v>
      </c>
      <c r="D273" s="133">
        <v>19230.599999999999</v>
      </c>
      <c r="E273" s="133">
        <f t="shared" si="35"/>
        <v>5.0880012543608188E-3</v>
      </c>
      <c r="F273" s="135">
        <v>14834.45</v>
      </c>
      <c r="G273" s="67">
        <f t="shared" si="33"/>
        <v>-6.6871370357513005E-3</v>
      </c>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spans="1:37">
      <c r="A274" s="134">
        <v>45232</v>
      </c>
      <c r="B274" s="135">
        <v>1209.75</v>
      </c>
      <c r="C274" s="133">
        <f t="shared" si="34"/>
        <v>7.8310492772941664E-3</v>
      </c>
      <c r="D274" s="133">
        <v>19133.25</v>
      </c>
      <c r="E274" s="133">
        <f t="shared" si="35"/>
        <v>7.5885439843277336E-3</v>
      </c>
      <c r="F274" s="135">
        <v>14735.25</v>
      </c>
      <c r="G274" s="67">
        <f t="shared" si="33"/>
        <v>-3.5018068916373712E-3</v>
      </c>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spans="1:37">
      <c r="A275" s="134">
        <v>45231</v>
      </c>
      <c r="B275" s="135">
        <v>1200.3499999999999</v>
      </c>
      <c r="C275" s="133">
        <f t="shared" si="34"/>
        <v>-2.2857617820629672E-3</v>
      </c>
      <c r="D275" s="133">
        <v>18989.150000000001</v>
      </c>
      <c r="E275" s="133">
        <f t="shared" si="35"/>
        <v>-4.740665422755086E-3</v>
      </c>
      <c r="F275" s="135">
        <v>14683.65</v>
      </c>
      <c r="G275" s="67">
        <f t="shared" si="33"/>
        <v>6.2620669928799E-3</v>
      </c>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spans="1:37">
      <c r="A276" s="134">
        <v>45230</v>
      </c>
      <c r="B276" s="135">
        <v>1203.0999999999999</v>
      </c>
      <c r="C276" s="133">
        <f t="shared" si="34"/>
        <v>7.199665131854216E-3</v>
      </c>
      <c r="D276" s="133">
        <v>19079.599999999999</v>
      </c>
      <c r="E276" s="133">
        <f t="shared" si="35"/>
        <v>-3.2025662325179116E-3</v>
      </c>
      <c r="F276" s="135">
        <v>14775.6</v>
      </c>
      <c r="G276" s="67">
        <f t="shared" si="33"/>
        <v>-2.5108963426189179E-3</v>
      </c>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spans="1:37">
      <c r="A277" s="134">
        <v>45229</v>
      </c>
      <c r="B277" s="135">
        <v>1194.5</v>
      </c>
      <c r="C277" s="133">
        <f t="shared" si="34"/>
        <v>1.5731292517006779E-2</v>
      </c>
      <c r="D277" s="133">
        <v>19140.900000000001</v>
      </c>
      <c r="E277" s="133">
        <f t="shared" si="35"/>
        <v>4.9167202614550654E-3</v>
      </c>
      <c r="F277" s="135">
        <v>14738.5</v>
      </c>
      <c r="G277" s="67">
        <f t="shared" si="33"/>
        <v>-6.1030634053669264E-3</v>
      </c>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spans="1:37">
      <c r="A278" s="134">
        <v>45226</v>
      </c>
      <c r="B278" s="135">
        <v>1176</v>
      </c>
      <c r="C278" s="133">
        <f t="shared" si="34"/>
        <v>2.0833333333333259E-2</v>
      </c>
      <c r="D278" s="133">
        <v>19047.25</v>
      </c>
      <c r="E278" s="133">
        <f t="shared" si="35"/>
        <v>1.0075700327460302E-2</v>
      </c>
      <c r="F278" s="135">
        <v>14648.55</v>
      </c>
      <c r="G278" s="67">
        <f t="shared" si="33"/>
        <v>1.0349147185216401E-2</v>
      </c>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spans="1:37">
      <c r="A279" s="134">
        <v>45225</v>
      </c>
      <c r="B279" s="135">
        <v>1152</v>
      </c>
      <c r="C279" s="133">
        <f t="shared" si="34"/>
        <v>-7.9655543595263945E-3</v>
      </c>
      <c r="D279" s="133">
        <v>18857.25</v>
      </c>
      <c r="E279" s="133">
        <f t="shared" si="35"/>
        <v>-1.3853044767455636E-2</v>
      </c>
      <c r="F279" s="135">
        <v>14800.15</v>
      </c>
      <c r="G279" s="67">
        <f t="shared" si="33"/>
        <v>7.5337074286410122E-3</v>
      </c>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spans="1:37">
      <c r="A280" s="134">
        <v>45224</v>
      </c>
      <c r="B280" s="135">
        <v>1161.25</v>
      </c>
      <c r="C280" s="133">
        <f t="shared" si="34"/>
        <v>-2.0620730370245477E-2</v>
      </c>
      <c r="D280" s="133">
        <v>19122.150000000001</v>
      </c>
      <c r="E280" s="133">
        <f t="shared" si="35"/>
        <v>-8.2772569917148875E-3</v>
      </c>
      <c r="F280" s="135">
        <v>14911.65</v>
      </c>
      <c r="G280" s="67">
        <f t="shared" si="33"/>
        <v>1.3110554499334404E-2</v>
      </c>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spans="1:37">
      <c r="A281" s="134">
        <v>45222</v>
      </c>
      <c r="B281" s="135">
        <v>1185.7</v>
      </c>
      <c r="C281" s="133">
        <f t="shared" si="34"/>
        <v>-1.2245918027324221E-2</v>
      </c>
      <c r="D281" s="133">
        <v>19281.75</v>
      </c>
      <c r="E281" s="133">
        <f t="shared" si="35"/>
        <v>-1.3350287704072983E-2</v>
      </c>
      <c r="F281" s="135">
        <v>15107.15</v>
      </c>
      <c r="G281" s="67">
        <f t="shared" si="33"/>
        <v>1.1004722929208954E-2</v>
      </c>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spans="1:37">
      <c r="A282" s="134">
        <v>45219</v>
      </c>
      <c r="B282" s="135">
        <v>1200.4000000000001</v>
      </c>
      <c r="C282" s="133">
        <f t="shared" si="34"/>
        <v>-1.7675941080196322E-2</v>
      </c>
      <c r="D282" s="133">
        <v>19542.650000000001</v>
      </c>
      <c r="E282" s="133">
        <f t="shared" si="35"/>
        <v>-4.1809556324428065E-3</v>
      </c>
      <c r="F282" s="135">
        <v>15273.4</v>
      </c>
      <c r="G282" s="67">
        <f t="shared" si="33"/>
        <v>3.7909044482564713E-3</v>
      </c>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spans="1:37">
      <c r="A283" s="134">
        <v>45218</v>
      </c>
      <c r="B283" s="135">
        <v>1222</v>
      </c>
      <c r="C283" s="133">
        <f t="shared" si="34"/>
        <v>6.1339590794944332E-3</v>
      </c>
      <c r="D283" s="133">
        <v>19624.7</v>
      </c>
      <c r="E283" s="133">
        <f t="shared" si="35"/>
        <v>-2.358790306591807E-3</v>
      </c>
      <c r="F283" s="135">
        <v>15331.3</v>
      </c>
      <c r="G283" s="67">
        <f t="shared" si="33"/>
        <v>-7.7847279747965681E-3</v>
      </c>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spans="1:37">
      <c r="A284" s="134">
        <v>45217</v>
      </c>
      <c r="B284" s="135">
        <v>1214.55</v>
      </c>
      <c r="C284" s="133">
        <f t="shared" si="34"/>
        <v>3.630546075085328E-2</v>
      </c>
      <c r="D284" s="133">
        <v>19671.099999999999</v>
      </c>
      <c r="E284" s="133">
        <f t="shared" si="35"/>
        <v>-7.0867930242536348E-3</v>
      </c>
      <c r="F284" s="135">
        <v>15211.95</v>
      </c>
      <c r="G284" s="67">
        <f t="shared" si="33"/>
        <v>-3.102823766841234E-3</v>
      </c>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spans="1:37">
      <c r="A285" s="134">
        <v>45216</v>
      </c>
      <c r="B285" s="135">
        <v>1172</v>
      </c>
      <c r="C285" s="133">
        <f t="shared" si="34"/>
        <v>5.5770055770054672E-3</v>
      </c>
      <c r="D285" s="133">
        <v>19811.5</v>
      </c>
      <c r="E285" s="133">
        <f t="shared" si="35"/>
        <v>4.0417094276989918E-3</v>
      </c>
      <c r="F285" s="135">
        <v>15164.75</v>
      </c>
      <c r="G285" s="67">
        <f t="shared" si="33"/>
        <v>4.6357506717882302E-3</v>
      </c>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spans="1:37">
      <c r="A286" s="134">
        <v>45215</v>
      </c>
      <c r="B286" s="135">
        <v>1165.5</v>
      </c>
      <c r="C286" s="133">
        <f t="shared" si="34"/>
        <v>-1.9695153279670752E-3</v>
      </c>
      <c r="D286" s="133">
        <v>19731.75</v>
      </c>
      <c r="E286" s="133">
        <f t="shared" si="35"/>
        <v>-9.7716323942265149E-4</v>
      </c>
      <c r="F286" s="135">
        <v>15235.05</v>
      </c>
      <c r="G286" s="67">
        <f t="shared" si="33"/>
        <v>-3.2064220334031557E-3</v>
      </c>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spans="1:37">
      <c r="A287" s="134">
        <v>45212</v>
      </c>
      <c r="B287" s="135">
        <v>1167.8</v>
      </c>
      <c r="C287" s="133">
        <f t="shared" si="34"/>
        <v>7.5927523727350454E-3</v>
      </c>
      <c r="D287" s="133">
        <v>19751.05</v>
      </c>
      <c r="E287" s="133">
        <f t="shared" si="35"/>
        <v>-2.1698494493280762E-3</v>
      </c>
      <c r="F287" s="135">
        <v>15186.2</v>
      </c>
      <c r="G287" s="67">
        <f t="shared" si="33"/>
        <v>-6.3215287563711531E-4</v>
      </c>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spans="1:37">
      <c r="A288" s="134">
        <v>45211</v>
      </c>
      <c r="B288" s="135">
        <v>1159</v>
      </c>
      <c r="C288" s="133">
        <f t="shared" si="34"/>
        <v>-1.0289910763844334E-2</v>
      </c>
      <c r="D288" s="133">
        <v>19794</v>
      </c>
      <c r="E288" s="133">
        <f t="shared" si="35"/>
        <v>-8.7576061197236488E-4</v>
      </c>
      <c r="F288" s="135">
        <v>15176.6</v>
      </c>
      <c r="G288" s="67">
        <f t="shared" si="33"/>
        <v>-4.6057746794406773E-3</v>
      </c>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spans="1:37">
      <c r="A289" s="134">
        <v>45210</v>
      </c>
      <c r="B289" s="135">
        <v>1171.05</v>
      </c>
      <c r="C289" s="133">
        <f t="shared" si="34"/>
        <v>1.5082564035886037E-2</v>
      </c>
      <c r="D289" s="133">
        <v>19811.349999999999</v>
      </c>
      <c r="E289" s="133">
        <f t="shared" si="35"/>
        <v>6.1706920062876147E-3</v>
      </c>
      <c r="F289" s="135">
        <v>15106.7</v>
      </c>
      <c r="G289" s="67">
        <f t="shared" si="33"/>
        <v>-1.8865801266987337E-4</v>
      </c>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spans="1:37">
      <c r="A290" s="134">
        <v>45209</v>
      </c>
      <c r="B290" s="135">
        <v>1153.6500000000001</v>
      </c>
      <c r="C290" s="133">
        <f t="shared" si="34"/>
        <v>-5.1739749062217344E-3</v>
      </c>
      <c r="D290" s="133">
        <v>19689.849999999999</v>
      </c>
      <c r="E290" s="133">
        <f t="shared" si="35"/>
        <v>9.096802794127834E-3</v>
      </c>
      <c r="F290" s="135">
        <v>15103.85</v>
      </c>
      <c r="G290" s="67">
        <f t="shared" si="33"/>
        <v>1.6287238022094641E-3</v>
      </c>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spans="1:37">
      <c r="A291" s="134">
        <v>45208</v>
      </c>
      <c r="B291" s="135">
        <v>1159.6500000000001</v>
      </c>
      <c r="C291" s="133">
        <f t="shared" si="34"/>
        <v>-6.893877375155899E-4</v>
      </c>
      <c r="D291" s="133">
        <v>19512.349999999999</v>
      </c>
      <c r="E291" s="133">
        <f t="shared" si="35"/>
        <v>-7.1819268832524763E-3</v>
      </c>
      <c r="F291" s="135">
        <v>15128.45</v>
      </c>
      <c r="G291" s="67">
        <f t="shared" si="33"/>
        <v>-7.0760719042599618E-3</v>
      </c>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spans="1:37">
      <c r="A292" s="134">
        <v>45205</v>
      </c>
      <c r="B292" s="135">
        <v>1160.45</v>
      </c>
      <c r="C292" s="133">
        <f t="shared" si="34"/>
        <v>-1.6775636613902689E-3</v>
      </c>
      <c r="D292" s="133">
        <v>19653.5</v>
      </c>
      <c r="E292" s="133">
        <f t="shared" si="35"/>
        <v>5.5127073660514725E-3</v>
      </c>
      <c r="F292" s="135">
        <v>15021.4</v>
      </c>
      <c r="G292" s="67">
        <f t="shared" si="33"/>
        <v>3.0456548657249449E-3</v>
      </c>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spans="1:37">
      <c r="A293" s="134">
        <v>45204</v>
      </c>
      <c r="B293" s="135">
        <v>1162.4000000000001</v>
      </c>
      <c r="C293" s="133">
        <f t="shared" si="34"/>
        <v>-2.9164522216502675E-3</v>
      </c>
      <c r="D293" s="133">
        <v>19545.75</v>
      </c>
      <c r="E293" s="133">
        <f t="shared" si="35"/>
        <v>5.6415638939910639E-3</v>
      </c>
      <c r="F293" s="135">
        <v>15067.15</v>
      </c>
      <c r="G293" s="67">
        <f t="shared" si="33"/>
        <v>1.4213039625941226E-2</v>
      </c>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spans="1:37">
      <c r="A294" s="134">
        <v>45203</v>
      </c>
      <c r="B294" s="135">
        <v>1165.8</v>
      </c>
      <c r="C294" s="133">
        <f t="shared" si="34"/>
        <v>-1.4539306846999223E-2</v>
      </c>
      <c r="D294" s="133">
        <v>19436.099999999999</v>
      </c>
      <c r="E294" s="133">
        <f t="shared" si="35"/>
        <v>-4.7442872687705195E-3</v>
      </c>
      <c r="F294" s="135">
        <v>15281.3</v>
      </c>
      <c r="G294" s="67">
        <f t="shared" si="33"/>
        <v>9.2564114309647838E-3</v>
      </c>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spans="1:37">
      <c r="A295" s="134">
        <v>45202</v>
      </c>
      <c r="B295" s="135">
        <v>1183</v>
      </c>
      <c r="C295" s="133">
        <f t="shared" si="34"/>
        <v>-5.046257359125339E-3</v>
      </c>
      <c r="D295" s="133">
        <v>19528.75</v>
      </c>
      <c r="E295" s="133">
        <f t="shared" si="35"/>
        <v>-5.5783850944327584E-3</v>
      </c>
      <c r="F295" s="135">
        <v>15422.75</v>
      </c>
      <c r="G295" s="67">
        <f t="shared" si="33"/>
        <v>-2.5909776142387098E-2</v>
      </c>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spans="1:37">
      <c r="A296" s="134">
        <v>45198</v>
      </c>
      <c r="B296" s="135">
        <v>1189</v>
      </c>
      <c r="C296" s="133">
        <f t="shared" si="34"/>
        <v>2.1214463626213265E-2</v>
      </c>
      <c r="D296" s="133">
        <v>19638.3</v>
      </c>
      <c r="E296" s="133">
        <f t="shared" si="35"/>
        <v>5.8775171523621772E-3</v>
      </c>
      <c r="F296" s="135">
        <v>15023.15</v>
      </c>
      <c r="G296" s="67">
        <f t="shared" si="33"/>
        <v>9.0959618988029067E-3</v>
      </c>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spans="1:37">
      <c r="A297" s="134">
        <v>45197</v>
      </c>
      <c r="B297" s="135">
        <v>1164.3</v>
      </c>
      <c r="C297" s="133">
        <f t="shared" si="34"/>
        <v>-1.3305084745762752E-2</v>
      </c>
      <c r="D297" s="133">
        <v>19523.55</v>
      </c>
      <c r="E297" s="133">
        <f t="shared" si="35"/>
        <v>-9.7837085276508695E-3</v>
      </c>
      <c r="F297" s="135">
        <v>15159.8</v>
      </c>
      <c r="G297" s="67">
        <f t="shared" si="33"/>
        <v>-1.1751474293856146E-2</v>
      </c>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spans="1:37">
      <c r="A298" s="134">
        <v>45196</v>
      </c>
      <c r="B298" s="135">
        <v>1180</v>
      </c>
      <c r="C298" s="133">
        <f t="shared" si="34"/>
        <v>1.4486523664187789E-2</v>
      </c>
      <c r="D298" s="133">
        <v>19716.45</v>
      </c>
      <c r="E298" s="133">
        <f t="shared" si="35"/>
        <v>2.6316190941126916E-3</v>
      </c>
      <c r="F298" s="135">
        <v>14981.65</v>
      </c>
      <c r="G298" s="67">
        <f t="shared" si="33"/>
        <v>2.3862525155773362E-3</v>
      </c>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spans="1:37">
      <c r="A299" s="134">
        <v>45195</v>
      </c>
      <c r="B299" s="135">
        <v>1163.1500000000001</v>
      </c>
      <c r="C299" s="133">
        <f t="shared" si="34"/>
        <v>-1.2438444557649753E-2</v>
      </c>
      <c r="D299" s="133">
        <v>19664.7</v>
      </c>
      <c r="E299" s="133">
        <f t="shared" si="35"/>
        <v>-5.0064677464023433E-4</v>
      </c>
      <c r="F299" s="135">
        <v>15017.4</v>
      </c>
      <c r="G299" s="67">
        <f t="shared" si="33"/>
        <v>3.4426731657943854E-3</v>
      </c>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spans="1:37">
      <c r="A300" s="134">
        <v>45194</v>
      </c>
      <c r="B300" s="135">
        <v>1177.8</v>
      </c>
      <c r="C300" s="133">
        <f t="shared" si="34"/>
        <v>-7.2488199595416303E-3</v>
      </c>
      <c r="D300" s="133">
        <v>19674.55</v>
      </c>
      <c r="E300" s="133">
        <f t="shared" si="35"/>
        <v>1.5248357624786379E-5</v>
      </c>
      <c r="F300" s="135">
        <v>15069.1</v>
      </c>
      <c r="G300" s="67">
        <f t="shared" si="33"/>
        <v>1.5767365005209255E-2</v>
      </c>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spans="1:37">
      <c r="A301" s="134">
        <v>45191</v>
      </c>
      <c r="B301" s="135">
        <v>1186.4000000000001</v>
      </c>
      <c r="C301" s="133">
        <f t="shared" si="34"/>
        <v>-1.8774294930113178E-2</v>
      </c>
      <c r="D301" s="133">
        <v>19674.25</v>
      </c>
      <c r="E301" s="133">
        <f t="shared" si="35"/>
        <v>-3.4494373770092013E-3</v>
      </c>
      <c r="F301" s="135">
        <v>15306.7</v>
      </c>
      <c r="G301" s="67">
        <f t="shared" si="33"/>
        <v>1.0028288265922836E-2</v>
      </c>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spans="1:37">
      <c r="A302" s="134">
        <v>45190</v>
      </c>
      <c r="B302" s="135">
        <v>1209.0999999999999</v>
      </c>
      <c r="C302" s="133">
        <f t="shared" si="34"/>
        <v>-2.5076600548298744E-2</v>
      </c>
      <c r="D302" s="133">
        <v>19742.349999999999</v>
      </c>
      <c r="E302" s="133">
        <f t="shared" si="35"/>
        <v>-7.9919000673320806E-3</v>
      </c>
      <c r="F302" s="135">
        <v>15460.2</v>
      </c>
      <c r="G302" s="67">
        <f t="shared" si="33"/>
        <v>2.7975058537406117E-3</v>
      </c>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spans="1:37">
      <c r="A303" s="134">
        <v>45189</v>
      </c>
      <c r="B303" s="135">
        <v>1240.2</v>
      </c>
      <c r="C303" s="133">
        <f t="shared" si="34"/>
        <v>-3.0546623794212024E-3</v>
      </c>
      <c r="D303" s="133">
        <v>19901.400000000001</v>
      </c>
      <c r="E303" s="133">
        <f t="shared" si="35"/>
        <v>-1.1518230990448575E-2</v>
      </c>
      <c r="F303" s="135">
        <v>15503.45</v>
      </c>
      <c r="G303" s="67">
        <f t="shared" si="33"/>
        <v>5.1665919521137749E-3</v>
      </c>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spans="1:37">
      <c r="A304" s="134">
        <v>45187</v>
      </c>
      <c r="B304" s="135">
        <v>1244</v>
      </c>
      <c r="C304" s="133">
        <f t="shared" si="34"/>
        <v>7.2874493927126416E-3</v>
      </c>
      <c r="D304" s="133">
        <v>20133.3</v>
      </c>
      <c r="E304" s="133">
        <f t="shared" si="35"/>
        <v>-2.9243748251194246E-3</v>
      </c>
      <c r="F304" s="135">
        <v>15583.55</v>
      </c>
      <c r="G304" s="67">
        <f t="shared" si="33"/>
        <v>-6.0480442517911737E-3</v>
      </c>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spans="1:37">
      <c r="A305" s="134">
        <v>45184</v>
      </c>
      <c r="B305" s="135">
        <v>1235</v>
      </c>
      <c r="C305" s="133">
        <f t="shared" si="34"/>
        <v>1.6196954972458322E-4</v>
      </c>
      <c r="D305" s="133">
        <v>20192.349999999999</v>
      </c>
      <c r="E305" s="133">
        <f t="shared" si="35"/>
        <v>4.4396137909079592E-3</v>
      </c>
      <c r="F305" s="135">
        <v>15489.3</v>
      </c>
      <c r="G305" s="67">
        <f t="shared" si="33"/>
        <v>-2.605024113420118E-3</v>
      </c>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spans="1:37">
      <c r="A306" s="134">
        <v>45183</v>
      </c>
      <c r="B306" s="135">
        <v>1234.8</v>
      </c>
      <c r="C306" s="133">
        <f t="shared" si="34"/>
        <v>6.4800097811468227E-3</v>
      </c>
      <c r="D306" s="133">
        <v>20103.099999999999</v>
      </c>
      <c r="E306" s="133">
        <f t="shared" si="35"/>
        <v>1.6492277030393243E-3</v>
      </c>
      <c r="F306" s="135">
        <v>15448.95</v>
      </c>
      <c r="G306" s="67">
        <f t="shared" si="33"/>
        <v>-7.7869369762993967E-3</v>
      </c>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spans="1:37">
      <c r="A307" s="134">
        <v>45182</v>
      </c>
      <c r="B307" s="135">
        <v>1226.8499999999999</v>
      </c>
      <c r="C307" s="133">
        <f t="shared" si="34"/>
        <v>-9.5664809881328416E-3</v>
      </c>
      <c r="D307" s="133">
        <v>20070</v>
      </c>
      <c r="E307" s="133">
        <f t="shared" si="35"/>
        <v>3.8413060440549707E-3</v>
      </c>
      <c r="F307" s="135">
        <v>15328.65</v>
      </c>
      <c r="G307" s="67">
        <f t="shared" si="33"/>
        <v>-1.2199378288367813E-3</v>
      </c>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spans="1:37">
      <c r="A308" s="134">
        <v>45181</v>
      </c>
      <c r="B308" s="135">
        <v>1238.7</v>
      </c>
      <c r="C308" s="133">
        <f t="shared" si="34"/>
        <v>-7.3723856078211636E-3</v>
      </c>
      <c r="D308" s="133">
        <v>19993.2</v>
      </c>
      <c r="E308" s="133">
        <f t="shared" si="35"/>
        <v>-1.5752874899654934E-4</v>
      </c>
      <c r="F308" s="135">
        <v>15309.95</v>
      </c>
      <c r="G308" s="67">
        <f t="shared" si="33"/>
        <v>-3.8798297838987805E-3</v>
      </c>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spans="1:37">
      <c r="A309" s="134">
        <v>45180</v>
      </c>
      <c r="B309" s="135">
        <v>1247.9000000000001</v>
      </c>
      <c r="C309" s="133">
        <f t="shared" si="34"/>
        <v>3.942075623491581E-3</v>
      </c>
      <c r="D309" s="133">
        <v>19996.349999999999</v>
      </c>
      <c r="E309" s="133">
        <f t="shared" si="35"/>
        <v>8.9001233605532359E-3</v>
      </c>
      <c r="F309" s="135">
        <v>15250.55</v>
      </c>
      <c r="G309" s="67">
        <f t="shared" si="33"/>
        <v>3.6457701525518527E-3</v>
      </c>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spans="1:37">
      <c r="A310" s="134">
        <v>45177</v>
      </c>
      <c r="B310" s="135">
        <v>1243</v>
      </c>
      <c r="C310" s="133">
        <f t="shared" si="34"/>
        <v>-4.0064102564102422E-3</v>
      </c>
      <c r="D310" s="133">
        <v>19819.95</v>
      </c>
      <c r="E310" s="133">
        <f t="shared" si="35"/>
        <v>4.7092697590365162E-3</v>
      </c>
      <c r="F310" s="135">
        <v>15306.15</v>
      </c>
      <c r="G310" s="67">
        <f t="shared" si="33"/>
        <v>3.211127553303772E-3</v>
      </c>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spans="1:37">
      <c r="A311" s="134">
        <v>45176</v>
      </c>
      <c r="B311" s="135">
        <v>1248</v>
      </c>
      <c r="C311" s="133">
        <f t="shared" si="34"/>
        <v>-6.3694267515923553E-3</v>
      </c>
      <c r="D311" s="133">
        <v>19727.05</v>
      </c>
      <c r="E311" s="133">
        <f t="shared" si="35"/>
        <v>5.91503259641879E-3</v>
      </c>
      <c r="F311" s="135">
        <v>15355.3</v>
      </c>
      <c r="G311" s="67">
        <f t="shared" si="33"/>
        <v>-8.9252570773609152E-3</v>
      </c>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spans="1:37">
      <c r="A312" s="134">
        <v>45175</v>
      </c>
      <c r="B312" s="135">
        <v>1256</v>
      </c>
      <c r="C312" s="133">
        <f t="shared" si="34"/>
        <v>1.3311819281968562E-2</v>
      </c>
      <c r="D312" s="133">
        <v>19611.05</v>
      </c>
      <c r="E312" s="133">
        <f t="shared" si="35"/>
        <v>1.8467527292602703E-3</v>
      </c>
      <c r="F312" s="135">
        <v>15218.25</v>
      </c>
      <c r="G312" s="67">
        <f t="shared" si="33"/>
        <v>-1.0884957205986256E-2</v>
      </c>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spans="1:37">
      <c r="A313" s="134">
        <v>45174</v>
      </c>
      <c r="B313" s="135">
        <v>1239.5</v>
      </c>
      <c r="C313" s="133">
        <f t="shared" si="34"/>
        <v>-1.932522747403298E-3</v>
      </c>
      <c r="D313" s="133">
        <v>19574.900000000001</v>
      </c>
      <c r="E313" s="133">
        <f t="shared" si="35"/>
        <v>2.3606161156857208E-3</v>
      </c>
      <c r="F313" s="135">
        <v>15052.6</v>
      </c>
      <c r="G313" s="67">
        <f t="shared" si="33"/>
        <v>-2.7104951968431878E-3</v>
      </c>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spans="1:37">
      <c r="A314" s="134">
        <v>45173</v>
      </c>
      <c r="B314" s="135">
        <v>1241.9000000000001</v>
      </c>
      <c r="C314" s="133">
        <f t="shared" si="34"/>
        <v>-2.4498975862483618E-3</v>
      </c>
      <c r="D314" s="133">
        <v>19528.8</v>
      </c>
      <c r="E314" s="133">
        <f t="shared" si="35"/>
        <v>4.8108338950261231E-3</v>
      </c>
      <c r="F314" s="135">
        <v>15011.8</v>
      </c>
      <c r="G314" s="67">
        <f t="shared" si="33"/>
        <v>5.6022595558160582E-3</v>
      </c>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spans="1:37">
      <c r="A315" s="134">
        <v>45170</v>
      </c>
      <c r="B315" s="135">
        <v>1244.95</v>
      </c>
      <c r="C315" s="133">
        <f t="shared" si="34"/>
        <v>-6.7416626775171906E-3</v>
      </c>
      <c r="D315" s="133">
        <v>19435.3</v>
      </c>
      <c r="E315" s="133">
        <f t="shared" si="35"/>
        <v>9.4267105714196386E-3</v>
      </c>
      <c r="F315" s="135">
        <v>15095.9</v>
      </c>
      <c r="G315" s="67">
        <f t="shared" si="33"/>
        <v>1.9607973025788095E-3</v>
      </c>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spans="1:37">
      <c r="A316" s="134">
        <v>45169</v>
      </c>
      <c r="B316" s="135">
        <v>1253.4000000000001</v>
      </c>
      <c r="C316" s="133">
        <f t="shared" si="34"/>
        <v>1.4077669902912593E-2</v>
      </c>
      <c r="D316" s="133">
        <v>19253.8</v>
      </c>
      <c r="E316" s="133">
        <f t="shared" si="35"/>
        <v>-4.840431167931758E-3</v>
      </c>
      <c r="F316" s="135">
        <v>15125.5</v>
      </c>
      <c r="G316" s="67">
        <f t="shared" si="33"/>
        <v>-2.9089947439753239E-4</v>
      </c>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spans="1:37">
      <c r="A317" s="134">
        <v>45168</v>
      </c>
      <c r="B317" s="135">
        <v>1236</v>
      </c>
      <c r="C317" s="133">
        <f t="shared" si="34"/>
        <v>4.7146805397495495E-3</v>
      </c>
      <c r="D317" s="133">
        <v>19347.45</v>
      </c>
      <c r="E317" s="133">
        <f t="shared" si="35"/>
        <v>2.4815627641494586E-4</v>
      </c>
      <c r="F317" s="135">
        <v>15121.1</v>
      </c>
      <c r="G317" s="67">
        <f t="shared" si="33"/>
        <v>2.6916031241113192E-3</v>
      </c>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spans="1:37">
      <c r="A318" s="134">
        <v>45167</v>
      </c>
      <c r="B318" s="135">
        <v>1230.2</v>
      </c>
      <c r="C318" s="133">
        <f t="shared" si="34"/>
        <v>-2.2304229693013156E-3</v>
      </c>
      <c r="D318" s="133">
        <v>19342.650000000001</v>
      </c>
      <c r="E318" s="133">
        <f t="shared" si="35"/>
        <v>1.8957787843707496E-3</v>
      </c>
      <c r="F318" s="135">
        <v>15161.8</v>
      </c>
      <c r="G318" s="67">
        <f t="shared" si="33"/>
        <v>-9.0094843620149856E-3</v>
      </c>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spans="1:37">
      <c r="A319" s="134">
        <v>45166</v>
      </c>
      <c r="B319" s="135">
        <v>1232.95</v>
      </c>
      <c r="C319" s="133">
        <f t="shared" si="34"/>
        <v>1.7285478547854893E-2</v>
      </c>
      <c r="D319" s="133">
        <v>19306.05</v>
      </c>
      <c r="E319" s="133">
        <f t="shared" si="35"/>
        <v>2.0891943236200916E-3</v>
      </c>
      <c r="F319" s="135">
        <v>15025.2</v>
      </c>
      <c r="G319" s="67">
        <f t="shared" si="33"/>
        <v>1.1177887815137177E-2</v>
      </c>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spans="1:37">
      <c r="A320" s="134">
        <v>45163</v>
      </c>
      <c r="B320" s="135">
        <v>1212</v>
      </c>
      <c r="C320" s="133">
        <f t="shared" si="34"/>
        <v>-6.5573770491803574E-3</v>
      </c>
      <c r="D320" s="133">
        <v>19265.8</v>
      </c>
      <c r="E320" s="133">
        <f t="shared" si="35"/>
        <v>-6.2362341192674364E-3</v>
      </c>
      <c r="F320" s="135">
        <v>15193.15</v>
      </c>
      <c r="G320" s="67">
        <f t="shared" si="33"/>
        <v>5.8809397656180984E-3</v>
      </c>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spans="1:37">
      <c r="A321" s="134">
        <v>45162</v>
      </c>
      <c r="B321" s="135">
        <v>1220</v>
      </c>
      <c r="C321" s="133">
        <f t="shared" si="34"/>
        <v>-1.1024643320363126E-2</v>
      </c>
      <c r="D321" s="133">
        <v>19386.7</v>
      </c>
      <c r="E321" s="133">
        <f t="shared" si="35"/>
        <v>-2.9469245011314316E-3</v>
      </c>
      <c r="F321" s="135">
        <v>15282.5</v>
      </c>
      <c r="G321" s="67">
        <f t="shared" si="33"/>
        <v>1.3152298380501026E-3</v>
      </c>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spans="1:37">
      <c r="A322" s="134">
        <v>45161</v>
      </c>
      <c r="B322" s="135">
        <v>1233.5999999999999</v>
      </c>
      <c r="C322" s="133">
        <f t="shared" si="34"/>
        <v>1.0319410319410194E-2</v>
      </c>
      <c r="D322" s="133">
        <v>19444</v>
      </c>
      <c r="E322" s="133">
        <f t="shared" si="35"/>
        <v>2.4514795233148146E-3</v>
      </c>
      <c r="F322" s="135">
        <v>15302.6</v>
      </c>
      <c r="G322" s="67">
        <f t="shared" si="33"/>
        <v>2.0094624442905662E-3</v>
      </c>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spans="1:37">
      <c r="A323" s="134">
        <v>45160</v>
      </c>
      <c r="B323" s="135">
        <v>1221</v>
      </c>
      <c r="C323" s="133">
        <f t="shared" si="34"/>
        <v>-1.0133765707336817E-2</v>
      </c>
      <c r="D323" s="133">
        <v>19396.45</v>
      </c>
      <c r="E323" s="133">
        <f t="shared" si="35"/>
        <v>1.4695569672484865E-4</v>
      </c>
      <c r="F323" s="135">
        <v>15333.35</v>
      </c>
      <c r="G323" s="67">
        <f t="shared" si="33"/>
        <v>-4.0336912677269021E-3</v>
      </c>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spans="1:37">
      <c r="A324" s="134">
        <v>45159</v>
      </c>
      <c r="B324" s="135">
        <v>1233.5</v>
      </c>
      <c r="C324" s="133">
        <f t="shared" si="34"/>
        <v>2.0308692120227789E-3</v>
      </c>
      <c r="D324" s="133">
        <v>19393.599999999999</v>
      </c>
      <c r="E324" s="133">
        <f t="shared" si="35"/>
        <v>4.3215614586109563E-3</v>
      </c>
      <c r="F324" s="135">
        <v>15271.5</v>
      </c>
      <c r="G324" s="67">
        <f t="shared" si="33"/>
        <v>5.6936122843205261E-3</v>
      </c>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spans="1:37">
      <c r="A325" s="134">
        <v>45156</v>
      </c>
      <c r="B325" s="135">
        <v>1231</v>
      </c>
      <c r="C325" s="133">
        <f t="shared" si="34"/>
        <v>-1.1244979919678766E-2</v>
      </c>
      <c r="D325" s="133">
        <v>19310.150000000001</v>
      </c>
      <c r="E325" s="133">
        <f t="shared" si="35"/>
        <v>-2.8453027975366973E-3</v>
      </c>
      <c r="F325" s="135">
        <v>15358.45</v>
      </c>
      <c r="G325" s="67">
        <f t="shared" si="33"/>
        <v>2.6272182414239786E-3</v>
      </c>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spans="1:37">
      <c r="A326" s="134">
        <v>45155</v>
      </c>
      <c r="B326" s="135">
        <v>1245</v>
      </c>
      <c r="C326" s="133">
        <f t="shared" si="34"/>
        <v>3.7894057889220623E-3</v>
      </c>
      <c r="D326" s="133">
        <v>19365.25</v>
      </c>
      <c r="E326" s="133">
        <f t="shared" si="35"/>
        <v>-5.1245825841254034E-3</v>
      </c>
      <c r="F326" s="135">
        <v>15398.8</v>
      </c>
      <c r="G326" s="67">
        <f t="shared" si="33"/>
        <v>-6.0654076941060175E-3</v>
      </c>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spans="1:37">
      <c r="A327" s="134">
        <v>45154</v>
      </c>
      <c r="B327" s="135">
        <v>1240.3</v>
      </c>
      <c r="C327" s="133">
        <f t="shared" si="34"/>
        <v>5.9205190592050982E-3</v>
      </c>
      <c r="D327" s="133">
        <v>19465</v>
      </c>
      <c r="E327" s="133">
        <f t="shared" si="35"/>
        <v>1.5667972759854099E-3</v>
      </c>
      <c r="F327" s="135">
        <v>15305.4</v>
      </c>
      <c r="G327" s="67">
        <f t="shared" si="33"/>
        <v>3.2733545023324595E-3</v>
      </c>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spans="1:37">
      <c r="A328" s="134">
        <v>45152</v>
      </c>
      <c r="B328" s="135">
        <v>1233</v>
      </c>
      <c r="C328" s="133">
        <f t="shared" si="34"/>
        <v>-1.3165792948897526E-2</v>
      </c>
      <c r="D328" s="133">
        <v>19434.55</v>
      </c>
      <c r="E328" s="133">
        <f t="shared" si="35"/>
        <v>3.2169567074835648E-4</v>
      </c>
      <c r="F328" s="135">
        <v>15355.5</v>
      </c>
      <c r="G328" s="67">
        <f t="shared" si="33"/>
        <v>1.466575494122635E-2</v>
      </c>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spans="1:37">
      <c r="A329" s="134">
        <v>45149</v>
      </c>
      <c r="B329" s="135">
        <v>1249.45</v>
      </c>
      <c r="C329" s="133">
        <f t="shared" si="34"/>
        <v>-5.3337579110774858E-3</v>
      </c>
      <c r="D329" s="133">
        <v>19428.3</v>
      </c>
      <c r="E329" s="133">
        <f t="shared" si="35"/>
        <v>-5.8741960077981492E-3</v>
      </c>
      <c r="F329" s="135">
        <v>15580.7</v>
      </c>
      <c r="G329" s="67">
        <f t="shared" ref="G329:G392" si="36">F330/F329-1</f>
        <v>7.4547356665617404E-3</v>
      </c>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spans="1:37">
      <c r="A330" s="134">
        <v>45148</v>
      </c>
      <c r="B330" s="135">
        <v>1256.1500000000001</v>
      </c>
      <c r="C330" s="133">
        <f t="shared" ref="C330:C393" si="37">B330/B331-1</f>
        <v>-4.7143649473099236E-3</v>
      </c>
      <c r="D330" s="133">
        <v>19543.099999999999</v>
      </c>
      <c r="E330" s="133">
        <f t="shared" ref="E330:E393" si="38">D330/D331-1</f>
        <v>-4.5562089489139534E-3</v>
      </c>
      <c r="F330" s="135">
        <v>15696.85</v>
      </c>
      <c r="G330" s="67">
        <f t="shared" si="36"/>
        <v>-7.5397293087466899E-3</v>
      </c>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spans="1:37">
      <c r="A331" s="134">
        <v>45147</v>
      </c>
      <c r="B331" s="135">
        <v>1262.0999999999999</v>
      </c>
      <c r="C331" s="133">
        <f t="shared" si="37"/>
        <v>-4.7707290147066539E-3</v>
      </c>
      <c r="D331" s="133">
        <v>19632.55</v>
      </c>
      <c r="E331" s="133">
        <f t="shared" si="38"/>
        <v>3.152647943242215E-3</v>
      </c>
      <c r="F331" s="135">
        <v>15578.5</v>
      </c>
      <c r="G331" s="67">
        <f t="shared" si="36"/>
        <v>-6.3709599768911884E-3</v>
      </c>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spans="1:37">
      <c r="A332" s="134">
        <v>45146</v>
      </c>
      <c r="B332" s="135">
        <v>1268.1500000000001</v>
      </c>
      <c r="C332" s="133">
        <f t="shared" si="37"/>
        <v>3.7256666121380899E-2</v>
      </c>
      <c r="D332" s="133">
        <v>19570.849999999999</v>
      </c>
      <c r="E332" s="133">
        <f t="shared" si="38"/>
        <v>-1.3496757206350463E-3</v>
      </c>
      <c r="F332" s="135">
        <v>15479.25</v>
      </c>
      <c r="G332" s="67">
        <f t="shared" si="36"/>
        <v>-1.539157258911128E-2</v>
      </c>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spans="1:37">
      <c r="A333" s="134">
        <v>45145</v>
      </c>
      <c r="B333" s="135">
        <v>1222.5999999999999</v>
      </c>
      <c r="C333" s="133">
        <f t="shared" si="37"/>
        <v>1.2966568623389518E-2</v>
      </c>
      <c r="D333" s="133">
        <v>19597.3</v>
      </c>
      <c r="E333" s="133">
        <f t="shared" si="38"/>
        <v>4.1143618383971958E-3</v>
      </c>
      <c r="F333" s="135">
        <v>15241</v>
      </c>
      <c r="G333" s="67">
        <f t="shared" si="36"/>
        <v>-9.3038514533166916E-3</v>
      </c>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spans="1:37">
      <c r="A334" s="134">
        <v>45142</v>
      </c>
      <c r="B334" s="135">
        <v>1206.95</v>
      </c>
      <c r="C334" s="133">
        <f t="shared" si="37"/>
        <v>3.6008583690987139E-2</v>
      </c>
      <c r="D334" s="133">
        <v>19517</v>
      </c>
      <c r="E334" s="133">
        <f t="shared" si="38"/>
        <v>6.983409565233023E-3</v>
      </c>
      <c r="F334" s="135">
        <v>15099.2</v>
      </c>
      <c r="G334" s="67">
        <f t="shared" si="36"/>
        <v>-1.0318427466355917E-2</v>
      </c>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spans="1:37">
      <c r="A335" s="134">
        <v>45141</v>
      </c>
      <c r="B335" s="135">
        <v>1165</v>
      </c>
      <c r="C335" s="133">
        <f t="shared" si="37"/>
        <v>-2.5257930562095909E-3</v>
      </c>
      <c r="D335" s="133">
        <v>19381.650000000001</v>
      </c>
      <c r="E335" s="133">
        <f t="shared" si="38"/>
        <v>-7.4206657089961325E-3</v>
      </c>
      <c r="F335" s="135">
        <v>14943.4</v>
      </c>
      <c r="G335" s="67">
        <f t="shared" si="36"/>
        <v>3.8746202336816804E-3</v>
      </c>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spans="1:37">
      <c r="A336" s="134">
        <v>45140</v>
      </c>
      <c r="B336" s="135">
        <v>1167.95</v>
      </c>
      <c r="C336" s="133">
        <f t="shared" si="37"/>
        <v>-1.1049957662997434E-2</v>
      </c>
      <c r="D336" s="133">
        <v>19526.55</v>
      </c>
      <c r="E336" s="133">
        <f t="shared" si="38"/>
        <v>-1.0489749690248296E-2</v>
      </c>
      <c r="F336" s="135">
        <v>15001.3</v>
      </c>
      <c r="G336" s="67">
        <f t="shared" si="36"/>
        <v>-6.0994713791473476E-4</v>
      </c>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spans="1:37">
      <c r="A337" s="134">
        <v>45139</v>
      </c>
      <c r="B337" s="135">
        <v>1181</v>
      </c>
      <c r="C337" s="133">
        <f t="shared" si="37"/>
        <v>2.5466893039050031E-3</v>
      </c>
      <c r="D337" s="133">
        <v>19733.55</v>
      </c>
      <c r="E337" s="133">
        <f t="shared" si="38"/>
        <v>-1.0251192175683155E-3</v>
      </c>
      <c r="F337" s="135">
        <v>14992.15</v>
      </c>
      <c r="G337" s="67">
        <f t="shared" si="36"/>
        <v>-1.9743665851795766E-3</v>
      </c>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spans="1:37">
      <c r="A338" s="134">
        <v>45138</v>
      </c>
      <c r="B338" s="135">
        <v>1178</v>
      </c>
      <c r="C338" s="133">
        <f t="shared" si="37"/>
        <v>8.4961767204760896E-4</v>
      </c>
      <c r="D338" s="133">
        <v>19753.8</v>
      </c>
      <c r="E338" s="133">
        <f t="shared" si="38"/>
        <v>5.4845630546598301E-3</v>
      </c>
      <c r="F338" s="135">
        <v>14962.55</v>
      </c>
      <c r="G338" s="67">
        <f t="shared" si="36"/>
        <v>-2.8471082803398495E-3</v>
      </c>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spans="1:37">
      <c r="A339" s="134">
        <v>45135</v>
      </c>
      <c r="B339" s="135">
        <v>1177</v>
      </c>
      <c r="C339" s="133">
        <f t="shared" si="37"/>
        <v>3.4100596760442414E-3</v>
      </c>
      <c r="D339" s="133">
        <v>19646.05</v>
      </c>
      <c r="E339" s="133">
        <f t="shared" si="38"/>
        <v>-7.044796769059003E-4</v>
      </c>
      <c r="F339" s="135">
        <v>14919.95</v>
      </c>
      <c r="G339" s="67">
        <f t="shared" si="36"/>
        <v>-2.9597954416737293E-2</v>
      </c>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spans="1:37">
      <c r="A340" s="134">
        <v>45134</v>
      </c>
      <c r="B340" s="135">
        <v>1173</v>
      </c>
      <c r="C340" s="133">
        <f t="shared" si="37"/>
        <v>8.7117701575532891E-2</v>
      </c>
      <c r="D340" s="133">
        <v>19659.900000000001</v>
      </c>
      <c r="E340" s="133">
        <f t="shared" si="38"/>
        <v>-5.9863587871554769E-3</v>
      </c>
      <c r="F340" s="135">
        <v>14478.35</v>
      </c>
      <c r="G340" s="67">
        <f t="shared" si="36"/>
        <v>-6.5684280321998134E-3</v>
      </c>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spans="1:37">
      <c r="A341" s="134">
        <v>45133</v>
      </c>
      <c r="B341" s="135">
        <v>1079</v>
      </c>
      <c r="C341" s="133">
        <f t="shared" si="37"/>
        <v>2.274881516587679E-2</v>
      </c>
      <c r="D341" s="133">
        <v>19778.3</v>
      </c>
      <c r="E341" s="133">
        <f t="shared" si="38"/>
        <v>4.9642795443227694E-3</v>
      </c>
      <c r="F341" s="135">
        <v>14383.25</v>
      </c>
      <c r="G341" s="67">
        <f t="shared" si="36"/>
        <v>-3.5596961743695754E-3</v>
      </c>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spans="1:37">
      <c r="A342" s="134">
        <v>45132</v>
      </c>
      <c r="B342" s="135">
        <v>1055</v>
      </c>
      <c r="C342" s="133">
        <f t="shared" si="37"/>
        <v>5.8156163599960564E-3</v>
      </c>
      <c r="D342" s="133">
        <v>19680.599999999999</v>
      </c>
      <c r="E342" s="133">
        <f t="shared" si="38"/>
        <v>4.1937033450500927E-4</v>
      </c>
      <c r="F342" s="135">
        <v>14332.05</v>
      </c>
      <c r="G342" s="67">
        <f t="shared" si="36"/>
        <v>-4.0503626487486954E-3</v>
      </c>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spans="1:37">
      <c r="A343" s="134">
        <v>45131</v>
      </c>
      <c r="B343" s="135">
        <v>1048.9000000000001</v>
      </c>
      <c r="C343" s="133">
        <f t="shared" si="37"/>
        <v>1.7668688219283357E-3</v>
      </c>
      <c r="D343" s="133">
        <v>19672.349999999999</v>
      </c>
      <c r="E343" s="133">
        <f t="shared" si="38"/>
        <v>-3.679412509496105E-3</v>
      </c>
      <c r="F343" s="135">
        <v>14274</v>
      </c>
      <c r="G343" s="67">
        <f t="shared" si="36"/>
        <v>1.7549390500208872E-3</v>
      </c>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row>
    <row r="344" spans="1:37">
      <c r="A344" s="134">
        <v>45128</v>
      </c>
      <c r="B344" s="135">
        <v>1047.05</v>
      </c>
      <c r="C344" s="133">
        <f t="shared" si="37"/>
        <v>-7.5355450236966881E-3</v>
      </c>
      <c r="D344" s="133">
        <v>19745</v>
      </c>
      <c r="E344" s="133">
        <f t="shared" si="38"/>
        <v>-1.1719717805812602E-2</v>
      </c>
      <c r="F344" s="135">
        <v>14299.05</v>
      </c>
      <c r="G344" s="67">
        <f t="shared" si="36"/>
        <v>-1.4438022106363579E-2</v>
      </c>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row>
    <row r="345" spans="1:37">
      <c r="A345" s="134">
        <v>45127</v>
      </c>
      <c r="B345" s="135">
        <v>1055</v>
      </c>
      <c r="C345" s="133">
        <f t="shared" si="37"/>
        <v>1.9323671497584627E-2</v>
      </c>
      <c r="D345" s="133">
        <v>19979.150000000001</v>
      </c>
      <c r="E345" s="133">
        <f t="shared" si="38"/>
        <v>7.3614125844860823E-3</v>
      </c>
      <c r="F345" s="135">
        <v>14092.6</v>
      </c>
      <c r="G345" s="67">
        <f t="shared" si="36"/>
        <v>-5.3538736641925988E-3</v>
      </c>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row>
    <row r="346" spans="1:37">
      <c r="A346" s="134">
        <v>45126</v>
      </c>
      <c r="B346" s="135">
        <v>1035</v>
      </c>
      <c r="C346" s="133">
        <f t="shared" si="37"/>
        <v>4.8543689320388328E-3</v>
      </c>
      <c r="D346" s="133">
        <v>19833.150000000001</v>
      </c>
      <c r="E346" s="133">
        <f t="shared" si="38"/>
        <v>4.248262592250418E-3</v>
      </c>
      <c r="F346" s="135">
        <v>14017.15</v>
      </c>
      <c r="G346" s="67">
        <f t="shared" si="36"/>
        <v>2.6075200736241921E-3</v>
      </c>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row>
    <row r="347" spans="1:37">
      <c r="A347" s="134">
        <v>45125</v>
      </c>
      <c r="B347" s="135">
        <v>1030</v>
      </c>
      <c r="C347" s="133">
        <f t="shared" si="37"/>
        <v>-3.2418831954322824E-3</v>
      </c>
      <c r="D347" s="133">
        <v>19749.25</v>
      </c>
      <c r="E347" s="133">
        <f t="shared" si="38"/>
        <v>1.9176671427012515E-3</v>
      </c>
      <c r="F347" s="135">
        <v>14053.7</v>
      </c>
      <c r="G347" s="67">
        <f t="shared" si="36"/>
        <v>-7.6883667646243659E-3</v>
      </c>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row>
    <row r="348" spans="1:37">
      <c r="A348" s="134">
        <v>45124</v>
      </c>
      <c r="B348" s="135">
        <v>1033.3499999999999</v>
      </c>
      <c r="C348" s="133">
        <f t="shared" si="37"/>
        <v>-6.2862669245655756E-4</v>
      </c>
      <c r="D348" s="133">
        <v>19711.45</v>
      </c>
      <c r="E348" s="133">
        <f t="shared" si="38"/>
        <v>7.5110531830611116E-3</v>
      </c>
      <c r="F348" s="135">
        <v>13945.65</v>
      </c>
      <c r="G348" s="67">
        <f t="shared" si="36"/>
        <v>-4.9549501098908877E-3</v>
      </c>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row>
    <row r="349" spans="1:37">
      <c r="A349" s="134">
        <v>45121</v>
      </c>
      <c r="B349" s="135">
        <v>1034</v>
      </c>
      <c r="C349" s="133">
        <f t="shared" si="37"/>
        <v>1.1741682974559797E-2</v>
      </c>
      <c r="D349" s="133">
        <v>19564.5</v>
      </c>
      <c r="E349" s="133">
        <f t="shared" si="38"/>
        <v>7.7651149314275081E-3</v>
      </c>
      <c r="F349" s="135">
        <v>13876.55</v>
      </c>
      <c r="G349" s="67">
        <f t="shared" si="36"/>
        <v>4.3346509038630909E-3</v>
      </c>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row>
    <row r="350" spans="1:37">
      <c r="A350" s="134">
        <v>45120</v>
      </c>
      <c r="B350" s="135">
        <v>1022</v>
      </c>
      <c r="C350" s="133">
        <f t="shared" si="37"/>
        <v>-2.1480179652412223E-3</v>
      </c>
      <c r="D350" s="133">
        <v>19413.75</v>
      </c>
      <c r="E350" s="133">
        <f t="shared" si="38"/>
        <v>1.5192707500399916E-3</v>
      </c>
      <c r="F350" s="135">
        <v>13936.7</v>
      </c>
      <c r="G350" s="67">
        <f t="shared" si="36"/>
        <v>-2.9633987959847286E-3</v>
      </c>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row>
    <row r="351" spans="1:37">
      <c r="A351" s="134">
        <v>45119</v>
      </c>
      <c r="B351" s="135">
        <v>1024.2</v>
      </c>
      <c r="C351" s="133">
        <f t="shared" si="37"/>
        <v>1.9531250000004441E-4</v>
      </c>
      <c r="D351" s="133">
        <v>19384.3</v>
      </c>
      <c r="E351" s="133">
        <f t="shared" si="38"/>
        <v>-2.8344496229308902E-3</v>
      </c>
      <c r="F351" s="135">
        <v>13895.4</v>
      </c>
      <c r="G351" s="67">
        <f t="shared" si="36"/>
        <v>-1.0334355254256855E-2</v>
      </c>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row>
    <row r="352" spans="1:37">
      <c r="A352" s="134">
        <v>45118</v>
      </c>
      <c r="B352" s="135">
        <v>1024</v>
      </c>
      <c r="C352" s="133">
        <f t="shared" si="37"/>
        <v>5.3013940702926199E-3</v>
      </c>
      <c r="D352" s="133">
        <v>19439.400000000001</v>
      </c>
      <c r="E352" s="133">
        <f t="shared" si="38"/>
        <v>4.3139301194985435E-3</v>
      </c>
      <c r="F352" s="135">
        <v>13751.8</v>
      </c>
      <c r="G352" s="67">
        <f t="shared" si="36"/>
        <v>1.25074535697145E-3</v>
      </c>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row>
    <row r="353" spans="1:37">
      <c r="A353" s="134">
        <v>45117</v>
      </c>
      <c r="B353" s="135">
        <v>1018.6</v>
      </c>
      <c r="C353" s="133">
        <f t="shared" si="37"/>
        <v>-4.2524072535314872E-3</v>
      </c>
      <c r="D353" s="133">
        <v>19355.900000000001</v>
      </c>
      <c r="E353" s="133">
        <f t="shared" si="38"/>
        <v>1.2466505964268126E-3</v>
      </c>
      <c r="F353" s="135">
        <v>13769</v>
      </c>
      <c r="G353" s="67">
        <f t="shared" si="36"/>
        <v>7.4515215338804008E-3</v>
      </c>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row>
    <row r="354" spans="1:37">
      <c r="A354" s="134">
        <v>45114</v>
      </c>
      <c r="B354" s="135">
        <v>1022.95</v>
      </c>
      <c r="C354" s="133">
        <f t="shared" si="37"/>
        <v>2.8921568627451322E-3</v>
      </c>
      <c r="D354" s="133">
        <v>19331.8</v>
      </c>
      <c r="E354" s="133">
        <f t="shared" si="38"/>
        <v>-8.4883547978438223E-3</v>
      </c>
      <c r="F354" s="135">
        <v>13871.6</v>
      </c>
      <c r="G354" s="67">
        <f t="shared" si="36"/>
        <v>-7.1801378355778045E-3</v>
      </c>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row>
    <row r="355" spans="1:37">
      <c r="A355" s="134">
        <v>45113</v>
      </c>
      <c r="B355" s="135">
        <v>1020</v>
      </c>
      <c r="C355" s="133">
        <f t="shared" si="37"/>
        <v>8.2040130473459705E-3</v>
      </c>
      <c r="D355" s="133">
        <v>19497.3</v>
      </c>
      <c r="E355" s="133">
        <f t="shared" si="38"/>
        <v>5.0931773075237885E-3</v>
      </c>
      <c r="F355" s="135">
        <v>13772</v>
      </c>
      <c r="G355" s="67">
        <f t="shared" si="36"/>
        <v>-7.010601219866297E-3</v>
      </c>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row>
    <row r="356" spans="1:37">
      <c r="A356" s="134">
        <v>45112</v>
      </c>
      <c r="B356" s="135">
        <v>1011.7</v>
      </c>
      <c r="C356" s="133">
        <f t="shared" si="37"/>
        <v>-3.2512315270935011E-3</v>
      </c>
      <c r="D356" s="133">
        <v>19398.5</v>
      </c>
      <c r="E356" s="133">
        <f t="shared" si="38"/>
        <v>4.8996853886218439E-4</v>
      </c>
      <c r="F356" s="135">
        <v>13675.45</v>
      </c>
      <c r="G356" s="67">
        <f t="shared" si="36"/>
        <v>-4.4934535975050816E-3</v>
      </c>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row>
    <row r="357" spans="1:37">
      <c r="A357" s="134">
        <v>45111</v>
      </c>
      <c r="B357" s="135">
        <v>1015</v>
      </c>
      <c r="C357" s="133">
        <f t="shared" si="37"/>
        <v>1.2468827930174564E-2</v>
      </c>
      <c r="D357" s="133">
        <v>19389</v>
      </c>
      <c r="E357" s="133">
        <f t="shared" si="38"/>
        <v>3.4389870902133968E-3</v>
      </c>
      <c r="F357" s="135">
        <v>13614</v>
      </c>
      <c r="G357" s="67">
        <f t="shared" si="36"/>
        <v>1.1275157925664692E-2</v>
      </c>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row>
    <row r="358" spans="1:37">
      <c r="A358" s="134">
        <v>45110</v>
      </c>
      <c r="B358" s="135">
        <v>1002.5</v>
      </c>
      <c r="C358" s="133">
        <f t="shared" si="37"/>
        <v>-9.8765432098765205E-3</v>
      </c>
      <c r="D358" s="133">
        <v>19322.55</v>
      </c>
      <c r="E358" s="133">
        <f t="shared" si="38"/>
        <v>6.9570927169402275E-3</v>
      </c>
      <c r="F358" s="135">
        <v>13767.5</v>
      </c>
      <c r="G358" s="67">
        <f t="shared" si="36"/>
        <v>-1.0513891410931508E-2</v>
      </c>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row>
    <row r="359" spans="1:37">
      <c r="A359" s="134">
        <v>45107</v>
      </c>
      <c r="B359" s="135">
        <v>1012.5</v>
      </c>
      <c r="C359" s="133">
        <f t="shared" si="37"/>
        <v>-5.4291495977487614E-4</v>
      </c>
      <c r="D359" s="133">
        <v>19189.05</v>
      </c>
      <c r="E359" s="133">
        <f t="shared" si="38"/>
        <v>1.1435212759789426E-2</v>
      </c>
      <c r="F359" s="135">
        <v>13622.75</v>
      </c>
      <c r="G359" s="67">
        <f t="shared" si="36"/>
        <v>-1.4376686058248156E-2</v>
      </c>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row>
    <row r="360" spans="1:37">
      <c r="A360" s="134">
        <v>45105</v>
      </c>
      <c r="B360" s="135">
        <v>1013.05</v>
      </c>
      <c r="C360" s="133">
        <f t="shared" si="37"/>
        <v>2.0276953511373375E-3</v>
      </c>
      <c r="D360" s="133">
        <v>18972.099999999999</v>
      </c>
      <c r="E360" s="133">
        <f t="shared" si="38"/>
        <v>8.2211145004089659E-3</v>
      </c>
      <c r="F360" s="135">
        <v>13426.9</v>
      </c>
      <c r="G360" s="67">
        <f t="shared" si="36"/>
        <v>-2.8524827026341626E-3</v>
      </c>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row>
    <row r="361" spans="1:37">
      <c r="A361" s="134">
        <v>45104</v>
      </c>
      <c r="B361" s="135">
        <v>1011</v>
      </c>
      <c r="C361" s="133">
        <f t="shared" si="37"/>
        <v>-1.2502441883180282E-2</v>
      </c>
      <c r="D361" s="133">
        <v>18817.400000000001</v>
      </c>
      <c r="E361" s="133">
        <f t="shared" si="38"/>
        <v>6.7518404382811426E-3</v>
      </c>
      <c r="F361" s="135">
        <v>13388.6</v>
      </c>
      <c r="G361" s="67">
        <f t="shared" si="36"/>
        <v>-1.5109869590547276E-2</v>
      </c>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row>
    <row r="362" spans="1:37">
      <c r="A362" s="134">
        <v>45103</v>
      </c>
      <c r="B362" s="135">
        <v>1023.8</v>
      </c>
      <c r="C362" s="133">
        <f t="shared" si="37"/>
        <v>3.3828132889023532E-2</v>
      </c>
      <c r="D362" s="133">
        <v>18691.2</v>
      </c>
      <c r="E362" s="133">
        <f t="shared" si="38"/>
        <v>1.3768717687712151E-3</v>
      </c>
      <c r="F362" s="135">
        <v>13186.3</v>
      </c>
      <c r="G362" s="67">
        <f t="shared" si="36"/>
        <v>-1.4750157360289284E-3</v>
      </c>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row>
    <row r="363" spans="1:37">
      <c r="A363" s="134">
        <v>45100</v>
      </c>
      <c r="B363" s="133">
        <v>990.3</v>
      </c>
      <c r="C363" s="133">
        <f t="shared" si="37"/>
        <v>-8.7087087087087678E-3</v>
      </c>
      <c r="D363" s="133">
        <v>18665.5</v>
      </c>
      <c r="E363" s="133">
        <f t="shared" si="38"/>
        <v>-5.6336152360657588E-3</v>
      </c>
      <c r="F363" s="135">
        <v>13166.85</v>
      </c>
      <c r="G363" s="67">
        <f t="shared" si="36"/>
        <v>6.1404208295834373E-3</v>
      </c>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row>
    <row r="364" spans="1:37">
      <c r="A364" s="134">
        <v>45099</v>
      </c>
      <c r="B364" s="133">
        <v>999</v>
      </c>
      <c r="C364" s="133">
        <f t="shared" si="37"/>
        <v>-1.1869436201780381E-2</v>
      </c>
      <c r="D364" s="133">
        <v>18771.25</v>
      </c>
      <c r="E364" s="133">
        <f t="shared" si="38"/>
        <v>-4.5394644386521632E-3</v>
      </c>
      <c r="F364" s="135">
        <v>13247.7</v>
      </c>
      <c r="G364" s="67">
        <f t="shared" si="36"/>
        <v>-6.6804049004731691E-4</v>
      </c>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spans="1:37">
      <c r="A365" s="134">
        <v>45098</v>
      </c>
      <c r="B365" s="135">
        <v>1011</v>
      </c>
      <c r="C365" s="133">
        <f t="shared" si="37"/>
        <v>-1.1855364552459946E-3</v>
      </c>
      <c r="D365" s="133">
        <v>18856.849999999999</v>
      </c>
      <c r="E365" s="133">
        <f t="shared" si="38"/>
        <v>2.1337428985952478E-3</v>
      </c>
      <c r="F365" s="135">
        <v>13238.85</v>
      </c>
      <c r="G365" s="67">
        <f t="shared" si="36"/>
        <v>1.9488097531128457E-3</v>
      </c>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row>
    <row r="366" spans="1:37">
      <c r="A366" s="134">
        <v>45097</v>
      </c>
      <c r="B366" s="135">
        <v>1012.2</v>
      </c>
      <c r="C366" s="133">
        <f t="shared" si="37"/>
        <v>-3.2496307237813715E-3</v>
      </c>
      <c r="D366" s="133">
        <v>18816.7</v>
      </c>
      <c r="E366" s="133">
        <f t="shared" si="38"/>
        <v>3.2657174314665305E-3</v>
      </c>
      <c r="F366" s="135">
        <v>13264.65</v>
      </c>
      <c r="G366" s="67">
        <f t="shared" si="36"/>
        <v>-1.7113154135238728E-3</v>
      </c>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spans="1:37">
      <c r="A367" s="134">
        <v>45096</v>
      </c>
      <c r="B367" s="135">
        <v>1015.5</v>
      </c>
      <c r="C367" s="133">
        <f t="shared" si="37"/>
        <v>9.1925465838509357E-3</v>
      </c>
      <c r="D367" s="133">
        <v>18755.45</v>
      </c>
      <c r="E367" s="133">
        <f t="shared" si="38"/>
        <v>-3.7474768936576197E-3</v>
      </c>
      <c r="F367" s="135">
        <v>13241.95</v>
      </c>
      <c r="G367" s="67">
        <f t="shared" si="36"/>
        <v>-6.1433550194647246E-3</v>
      </c>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spans="1:37">
      <c r="A368" s="134">
        <v>45093</v>
      </c>
      <c r="B368" s="135">
        <v>1006.25</v>
      </c>
      <c r="C368" s="133">
        <f t="shared" si="37"/>
        <v>8.1655144775072408E-3</v>
      </c>
      <c r="D368" s="133">
        <v>18826</v>
      </c>
      <c r="E368" s="133">
        <f t="shared" si="38"/>
        <v>7.3790272954448177E-3</v>
      </c>
      <c r="F368" s="135">
        <v>13160.6</v>
      </c>
      <c r="G368" s="67">
        <f t="shared" si="36"/>
        <v>-1.3965928605078837E-2</v>
      </c>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row>
    <row r="369" spans="1:37">
      <c r="A369" s="134">
        <v>45092</v>
      </c>
      <c r="B369" s="133">
        <v>998.1</v>
      </c>
      <c r="C369" s="133">
        <f t="shared" si="37"/>
        <v>1.9509703779366783E-2</v>
      </c>
      <c r="D369" s="133">
        <v>18688.099999999999</v>
      </c>
      <c r="E369" s="133">
        <f t="shared" si="38"/>
        <v>-3.6148625232594878E-3</v>
      </c>
      <c r="F369" s="135">
        <v>12976.8</v>
      </c>
      <c r="G369" s="67">
        <f t="shared" si="36"/>
        <v>1.3061771777325148E-3</v>
      </c>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spans="1:37">
      <c r="A370" s="134">
        <v>45091</v>
      </c>
      <c r="B370" s="133">
        <v>979</v>
      </c>
      <c r="C370" s="133">
        <f t="shared" si="37"/>
        <v>-3.2072494018224873E-3</v>
      </c>
      <c r="D370" s="133">
        <v>18755.900000000001</v>
      </c>
      <c r="E370" s="133">
        <f t="shared" si="38"/>
        <v>2.123834228727528E-3</v>
      </c>
      <c r="F370" s="135">
        <v>12993.75</v>
      </c>
      <c r="G370" s="67">
        <f t="shared" si="36"/>
        <v>-1.0597402597402605E-2</v>
      </c>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spans="1:37">
      <c r="A371" s="134">
        <v>45090</v>
      </c>
      <c r="B371" s="133">
        <v>982.15</v>
      </c>
      <c r="C371" s="133">
        <f t="shared" si="37"/>
        <v>2.254034357105672E-2</v>
      </c>
      <c r="D371" s="133">
        <v>18716.150000000001</v>
      </c>
      <c r="E371" s="133">
        <f t="shared" si="38"/>
        <v>6.1634814396689386E-3</v>
      </c>
      <c r="F371" s="135">
        <v>12856.05</v>
      </c>
      <c r="G371" s="67">
        <f t="shared" si="36"/>
        <v>3.8892194725437257E-4</v>
      </c>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row>
    <row r="372" spans="1:37">
      <c r="A372" s="134">
        <v>45089</v>
      </c>
      <c r="B372" s="133">
        <v>960.5</v>
      </c>
      <c r="C372" s="133">
        <f t="shared" si="37"/>
        <v>-9.7938144329896559E-3</v>
      </c>
      <c r="D372" s="133">
        <v>18601.5</v>
      </c>
      <c r="E372" s="133">
        <f t="shared" si="38"/>
        <v>2.0524257409741953E-3</v>
      </c>
      <c r="F372" s="135">
        <v>12861.05</v>
      </c>
      <c r="G372" s="67">
        <f t="shared" si="36"/>
        <v>3.9110337025360931E-3</v>
      </c>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row>
    <row r="373" spans="1:37">
      <c r="A373" s="134">
        <v>45086</v>
      </c>
      <c r="B373" s="133">
        <v>970</v>
      </c>
      <c r="C373" s="133">
        <f t="shared" si="37"/>
        <v>4.2967334472225893E-3</v>
      </c>
      <c r="D373" s="133">
        <v>18563.400000000001</v>
      </c>
      <c r="E373" s="133">
        <f t="shared" si="38"/>
        <v>-3.8181764518058214E-3</v>
      </c>
      <c r="F373" s="135">
        <v>12911.35</v>
      </c>
      <c r="G373" s="67">
        <f t="shared" si="36"/>
        <v>1.0401700829115512E-2</v>
      </c>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374" spans="1:37">
      <c r="A374" s="134">
        <v>45085</v>
      </c>
      <c r="B374" s="133">
        <v>965.85</v>
      </c>
      <c r="C374" s="133">
        <f t="shared" si="37"/>
        <v>3.4805194805194173E-3</v>
      </c>
      <c r="D374" s="133">
        <v>18634.55</v>
      </c>
      <c r="E374" s="133">
        <f t="shared" si="38"/>
        <v>-4.9048402255640333E-3</v>
      </c>
      <c r="F374" s="135">
        <v>13045.65</v>
      </c>
      <c r="G374" s="67">
        <f t="shared" si="36"/>
        <v>-2.5104153491777303E-3</v>
      </c>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row>
    <row r="375" spans="1:37">
      <c r="A375" s="134">
        <v>45084</v>
      </c>
      <c r="B375" s="133">
        <v>962.5</v>
      </c>
      <c r="C375" s="133">
        <f t="shared" si="37"/>
        <v>-1.1299435028248594E-2</v>
      </c>
      <c r="D375" s="133">
        <v>18726.400000000001</v>
      </c>
      <c r="E375" s="133">
        <f t="shared" si="38"/>
        <v>6.8498306360558203E-3</v>
      </c>
      <c r="F375" s="135">
        <v>13012.9</v>
      </c>
      <c r="G375" s="67">
        <f t="shared" si="36"/>
        <v>-6.0247907845292215E-3</v>
      </c>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row>
    <row r="376" spans="1:37">
      <c r="A376" s="134">
        <v>45083</v>
      </c>
      <c r="B376" s="133">
        <v>973.5</v>
      </c>
      <c r="C376" s="133">
        <f t="shared" si="37"/>
        <v>-2.3059185242121361E-3</v>
      </c>
      <c r="D376" s="133">
        <v>18599</v>
      </c>
      <c r="E376" s="133">
        <f t="shared" si="38"/>
        <v>2.7697330031184464E-4</v>
      </c>
      <c r="F376" s="135">
        <v>12934.5</v>
      </c>
      <c r="G376" s="67">
        <f t="shared" si="36"/>
        <v>-2.6208975994432837E-3</v>
      </c>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row>
    <row r="377" spans="1:37">
      <c r="A377" s="134">
        <v>45082</v>
      </c>
      <c r="B377" s="133">
        <v>975.75</v>
      </c>
      <c r="C377" s="133">
        <f t="shared" si="37"/>
        <v>1.1139896373056901E-2</v>
      </c>
      <c r="D377" s="133">
        <v>18593.849999999999</v>
      </c>
      <c r="E377" s="133">
        <f t="shared" si="38"/>
        <v>3.223787505193032E-3</v>
      </c>
      <c r="F377" s="135">
        <v>12900.6</v>
      </c>
      <c r="G377" s="67">
        <f t="shared" si="36"/>
        <v>-6.8058849975970448E-3</v>
      </c>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row>
    <row r="378" spans="1:37">
      <c r="A378" s="134">
        <v>45079</v>
      </c>
      <c r="B378" s="133">
        <v>965</v>
      </c>
      <c r="C378" s="133">
        <f t="shared" si="37"/>
        <v>9.3351312104550388E-4</v>
      </c>
      <c r="D378" s="133">
        <v>18534.099999999999</v>
      </c>
      <c r="E378" s="133">
        <f t="shared" si="38"/>
        <v>2.507065489310456E-3</v>
      </c>
      <c r="F378" s="135">
        <v>12812.8</v>
      </c>
      <c r="G378" s="67">
        <f t="shared" si="36"/>
        <v>-1.0489510489510412E-2</v>
      </c>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row>
    <row r="379" spans="1:37">
      <c r="A379" s="134">
        <v>45078</v>
      </c>
      <c r="B379" s="133">
        <v>964.1</v>
      </c>
      <c r="C379" s="133">
        <f t="shared" si="37"/>
        <v>1.5911485774499523E-2</v>
      </c>
      <c r="D379" s="133">
        <v>18487.75</v>
      </c>
      <c r="E379" s="133">
        <f t="shared" si="38"/>
        <v>-2.5169414709945714E-3</v>
      </c>
      <c r="F379" s="135">
        <v>12678.4</v>
      </c>
      <c r="G379" s="67">
        <f t="shared" si="36"/>
        <v>-5.813036345280076E-3</v>
      </c>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row>
    <row r="380" spans="1:37">
      <c r="A380" s="134">
        <v>45077</v>
      </c>
      <c r="B380" s="133">
        <v>949</v>
      </c>
      <c r="C380" s="133">
        <f t="shared" si="37"/>
        <v>-1.0427528675703845E-2</v>
      </c>
      <c r="D380" s="133">
        <v>18534.400000000001</v>
      </c>
      <c r="E380" s="133">
        <f t="shared" si="38"/>
        <v>-5.3370613158310043E-3</v>
      </c>
      <c r="F380" s="135">
        <v>12604.7</v>
      </c>
      <c r="G380" s="67">
        <f t="shared" si="36"/>
        <v>1.5470419764056498E-3</v>
      </c>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row>
    <row r="381" spans="1:37">
      <c r="A381" s="134">
        <v>45076</v>
      </c>
      <c r="B381" s="133">
        <v>959</v>
      </c>
      <c r="C381" s="133">
        <f t="shared" si="37"/>
        <v>6.1903263036406919E-3</v>
      </c>
      <c r="D381" s="133">
        <v>18633.849999999999</v>
      </c>
      <c r="E381" s="133">
        <f t="shared" si="38"/>
        <v>1.8926104851695325E-3</v>
      </c>
      <c r="F381" s="135">
        <v>12624.2</v>
      </c>
      <c r="G381" s="67">
        <f t="shared" si="36"/>
        <v>-1.7941730961170688E-3</v>
      </c>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row>
    <row r="382" spans="1:37">
      <c r="A382" s="134">
        <v>45075</v>
      </c>
      <c r="B382" s="133">
        <v>953.1</v>
      </c>
      <c r="C382" s="133">
        <f t="shared" si="37"/>
        <v>3.2631578947368567E-3</v>
      </c>
      <c r="D382" s="133">
        <v>18598.650000000001</v>
      </c>
      <c r="E382" s="133">
        <f t="shared" si="38"/>
        <v>5.3677561644058791E-3</v>
      </c>
      <c r="F382" s="135">
        <v>12601.55</v>
      </c>
      <c r="G382" s="67">
        <f t="shared" si="36"/>
        <v>-1.1589844106478897E-2</v>
      </c>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row>
    <row r="383" spans="1:37">
      <c r="A383" s="134">
        <v>45072</v>
      </c>
      <c r="B383" s="133">
        <v>950</v>
      </c>
      <c r="C383" s="133">
        <f t="shared" si="37"/>
        <v>4.7593865679533831E-3</v>
      </c>
      <c r="D383" s="133">
        <v>18499.349999999999</v>
      </c>
      <c r="E383" s="133">
        <f t="shared" si="38"/>
        <v>9.7264636772254054E-3</v>
      </c>
      <c r="F383" s="135">
        <v>12455.5</v>
      </c>
      <c r="G383" s="67">
        <f t="shared" si="36"/>
        <v>-1.2083015535304664E-3</v>
      </c>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row>
    <row r="384" spans="1:37">
      <c r="A384" s="134">
        <v>45071</v>
      </c>
      <c r="B384" s="133">
        <v>945.5</v>
      </c>
      <c r="C384" s="133">
        <f t="shared" si="37"/>
        <v>8.1032092973665204E-3</v>
      </c>
      <c r="D384" s="133">
        <v>18321.150000000001</v>
      </c>
      <c r="E384" s="133">
        <f t="shared" si="38"/>
        <v>1.955111728482839E-3</v>
      </c>
      <c r="F384" s="135">
        <v>12440.45</v>
      </c>
      <c r="G384" s="67">
        <f t="shared" si="36"/>
        <v>-1.0148346723792168E-2</v>
      </c>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row>
    <row r="385" spans="1:37">
      <c r="A385" s="134">
        <v>45070</v>
      </c>
      <c r="B385" s="133">
        <v>937.9</v>
      </c>
      <c r="C385" s="133">
        <f t="shared" si="37"/>
        <v>7.0868678191775558E-3</v>
      </c>
      <c r="D385" s="133">
        <v>18285.400000000001</v>
      </c>
      <c r="E385" s="133">
        <f t="shared" si="38"/>
        <v>-3.4118160017440058E-3</v>
      </c>
      <c r="F385" s="135">
        <v>12314.2</v>
      </c>
      <c r="G385" s="67">
        <f t="shared" si="36"/>
        <v>-5.6844943236263878E-3</v>
      </c>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row>
    <row r="386" spans="1:37">
      <c r="A386" s="134">
        <v>45069</v>
      </c>
      <c r="B386" s="133">
        <v>931.3</v>
      </c>
      <c r="C386" s="133">
        <f t="shared" si="37"/>
        <v>7.3553272038939799E-3</v>
      </c>
      <c r="D386" s="133">
        <v>18348</v>
      </c>
      <c r="E386" s="133">
        <f t="shared" si="38"/>
        <v>1.834621936836589E-3</v>
      </c>
      <c r="F386" s="135">
        <v>12244.2</v>
      </c>
      <c r="G386" s="67">
        <f t="shared" si="36"/>
        <v>-9.7964750657454358E-3</v>
      </c>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row>
    <row r="387" spans="1:37">
      <c r="A387" s="134">
        <v>45068</v>
      </c>
      <c r="B387" s="133">
        <v>924.5</v>
      </c>
      <c r="C387" s="133">
        <f t="shared" si="37"/>
        <v>8.1788440567065468E-3</v>
      </c>
      <c r="D387" s="133">
        <v>18314.400000000001</v>
      </c>
      <c r="E387" s="133">
        <f t="shared" si="38"/>
        <v>6.0977619565576457E-3</v>
      </c>
      <c r="F387" s="135">
        <v>12124.25</v>
      </c>
      <c r="G387" s="67">
        <f t="shared" si="36"/>
        <v>9.6583293811989268E-3</v>
      </c>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row>
    <row r="388" spans="1:37">
      <c r="A388" s="134">
        <v>45065</v>
      </c>
      <c r="B388" s="133">
        <v>917</v>
      </c>
      <c r="C388" s="133">
        <f t="shared" si="37"/>
        <v>1.0917030567685337E-3</v>
      </c>
      <c r="D388" s="133">
        <v>18203.400000000001</v>
      </c>
      <c r="E388" s="133">
        <f t="shared" si="38"/>
        <v>4.0513073670915833E-3</v>
      </c>
      <c r="F388" s="135">
        <v>12241.35</v>
      </c>
      <c r="G388" s="67">
        <f t="shared" si="36"/>
        <v>1.2841720888627339E-2</v>
      </c>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row>
    <row r="389" spans="1:37">
      <c r="A389" s="134">
        <v>45064</v>
      </c>
      <c r="B389" s="133">
        <v>916</v>
      </c>
      <c r="C389" s="133">
        <f t="shared" si="37"/>
        <v>-6.6691969853061028E-3</v>
      </c>
      <c r="D389" s="133">
        <v>18129.95</v>
      </c>
      <c r="E389" s="133">
        <f t="shared" si="38"/>
        <v>-2.8490106837900653E-3</v>
      </c>
      <c r="F389" s="135">
        <v>12398.55</v>
      </c>
      <c r="G389" s="67">
        <f t="shared" si="36"/>
        <v>4.5126244601183529E-3</v>
      </c>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row>
    <row r="390" spans="1:37">
      <c r="A390" s="134">
        <v>45063</v>
      </c>
      <c r="B390" s="133">
        <v>922.15</v>
      </c>
      <c r="C390" s="133">
        <f t="shared" si="37"/>
        <v>2.336956521739042E-3</v>
      </c>
      <c r="D390" s="133">
        <v>18181.75</v>
      </c>
      <c r="E390" s="133">
        <f t="shared" si="38"/>
        <v>-5.7282694884204233E-3</v>
      </c>
      <c r="F390" s="135">
        <v>12454.5</v>
      </c>
      <c r="G390" s="67">
        <f t="shared" si="36"/>
        <v>2.6416154803483582E-3</v>
      </c>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row>
    <row r="391" spans="1:37">
      <c r="A391" s="134">
        <v>45062</v>
      </c>
      <c r="B391" s="133">
        <v>920</v>
      </c>
      <c r="C391" s="133">
        <f t="shared" si="37"/>
        <v>-1.573606815345463E-3</v>
      </c>
      <c r="D391" s="133">
        <v>18286.5</v>
      </c>
      <c r="E391" s="133">
        <f t="shared" si="38"/>
        <v>-6.1063599083637232E-3</v>
      </c>
      <c r="F391" s="135">
        <v>12487.4</v>
      </c>
      <c r="G391" s="67">
        <f t="shared" si="36"/>
        <v>-5.6056504956880637E-5</v>
      </c>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row>
    <row r="392" spans="1:37">
      <c r="A392" s="134">
        <v>45061</v>
      </c>
      <c r="B392" s="133">
        <v>921.45</v>
      </c>
      <c r="C392" s="133">
        <f t="shared" si="37"/>
        <v>-1.0789049919484706E-2</v>
      </c>
      <c r="D392" s="133">
        <v>18398.849999999999</v>
      </c>
      <c r="E392" s="133">
        <f t="shared" si="38"/>
        <v>4.5891847030816724E-3</v>
      </c>
      <c r="F392" s="135">
        <v>12486.7</v>
      </c>
      <c r="G392" s="67">
        <f t="shared" si="36"/>
        <v>5.6339945702226224E-3</v>
      </c>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row>
    <row r="393" spans="1:37">
      <c r="A393" s="134">
        <v>45058</v>
      </c>
      <c r="B393" s="133">
        <v>931.5</v>
      </c>
      <c r="C393" s="133">
        <f t="shared" si="37"/>
        <v>-1.2195121951219523E-2</v>
      </c>
      <c r="D393" s="133">
        <v>18314.8</v>
      </c>
      <c r="E393" s="133">
        <f t="shared" si="38"/>
        <v>9.7283707711648404E-4</v>
      </c>
      <c r="F393" s="135">
        <v>12557.05</v>
      </c>
      <c r="G393" s="67">
        <f t="shared" ref="G393:G456" si="39">F394/F393-1</f>
        <v>1.2729900733054356E-2</v>
      </c>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row>
    <row r="394" spans="1:37">
      <c r="A394" s="134">
        <v>45057</v>
      </c>
      <c r="B394" s="133">
        <v>943</v>
      </c>
      <c r="C394" s="133">
        <f t="shared" ref="C394:C457" si="40">B394/B395-1</f>
        <v>-3.32928182634884E-3</v>
      </c>
      <c r="D394" s="133">
        <v>18297</v>
      </c>
      <c r="E394" s="133">
        <f t="shared" ref="E394:E457" si="41">D394/D395-1</f>
        <v>-9.8825559238002736E-4</v>
      </c>
      <c r="F394" s="135">
        <v>12716.9</v>
      </c>
      <c r="G394" s="67">
        <f t="shared" si="39"/>
        <v>-1.5727103303442291E-5</v>
      </c>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row>
    <row r="395" spans="1:37">
      <c r="A395" s="134">
        <v>45056</v>
      </c>
      <c r="B395" s="133">
        <v>946.15</v>
      </c>
      <c r="C395" s="133">
        <f t="shared" si="40"/>
        <v>6.5425531914893309E-3</v>
      </c>
      <c r="D395" s="133">
        <v>18315.099999999999</v>
      </c>
      <c r="E395" s="133">
        <f t="shared" si="41"/>
        <v>2.6907990003255389E-3</v>
      </c>
      <c r="F395" s="135">
        <v>12716.7</v>
      </c>
      <c r="G395" s="67">
        <f t="shared" si="39"/>
        <v>-4.2149299739712154E-3</v>
      </c>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row>
    <row r="396" spans="1:37">
      <c r="A396" s="134">
        <v>45055</v>
      </c>
      <c r="B396" s="133">
        <v>940</v>
      </c>
      <c r="C396" s="133">
        <f t="shared" si="40"/>
        <v>6.4778628406230165E-3</v>
      </c>
      <c r="D396" s="133">
        <v>18265.95</v>
      </c>
      <c r="E396" s="133">
        <f t="shared" si="41"/>
        <v>8.4864545235596722E-5</v>
      </c>
      <c r="F396" s="135">
        <v>12663.1</v>
      </c>
      <c r="G396" s="67">
        <f t="shared" si="39"/>
        <v>-4.3235858518055892E-3</v>
      </c>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row>
    <row r="397" spans="1:37">
      <c r="A397" s="134">
        <v>45054</v>
      </c>
      <c r="B397" s="133">
        <v>933.95</v>
      </c>
      <c r="C397" s="133">
        <f t="shared" si="40"/>
        <v>1.2960954446854744E-2</v>
      </c>
      <c r="D397" s="133">
        <v>18264.400000000001</v>
      </c>
      <c r="E397" s="133">
        <f t="shared" si="41"/>
        <v>1.0814101499806439E-2</v>
      </c>
      <c r="F397" s="135">
        <v>12608.35</v>
      </c>
      <c r="G397" s="67">
        <f t="shared" si="39"/>
        <v>3.6721696336157184E-3</v>
      </c>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row>
    <row r="398" spans="1:37">
      <c r="A398" s="134">
        <v>45051</v>
      </c>
      <c r="B398" s="133">
        <v>922</v>
      </c>
      <c r="C398" s="133">
        <f t="shared" si="40"/>
        <v>-1.1260053619302934E-2</v>
      </c>
      <c r="D398" s="133">
        <v>18069</v>
      </c>
      <c r="E398" s="133">
        <f t="shared" si="41"/>
        <v>-1.0232364508813596E-2</v>
      </c>
      <c r="F398" s="135">
        <v>12654.65</v>
      </c>
      <c r="G398" s="67">
        <f t="shared" si="39"/>
        <v>-5.3616654747464798E-3</v>
      </c>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row>
    <row r="399" spans="1:37">
      <c r="A399" s="134">
        <v>45050</v>
      </c>
      <c r="B399" s="133">
        <v>932.5</v>
      </c>
      <c r="C399" s="133">
        <f t="shared" si="40"/>
        <v>1.30363932645301E-2</v>
      </c>
      <c r="D399" s="133">
        <v>18255.8</v>
      </c>
      <c r="E399" s="133">
        <f t="shared" si="41"/>
        <v>9.1736526284076358E-3</v>
      </c>
      <c r="F399" s="135">
        <v>12586.8</v>
      </c>
      <c r="G399" s="67">
        <f t="shared" si="39"/>
        <v>2.7806908825112053E-4</v>
      </c>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row>
    <row r="400" spans="1:37">
      <c r="A400" s="134">
        <v>45049</v>
      </c>
      <c r="B400" s="133">
        <v>920.5</v>
      </c>
      <c r="C400" s="133">
        <f t="shared" si="40"/>
        <v>1.5777161199064249E-3</v>
      </c>
      <c r="D400" s="133">
        <v>18089.849999999999</v>
      </c>
      <c r="E400" s="133">
        <f t="shared" si="41"/>
        <v>-3.1849853837826458E-3</v>
      </c>
      <c r="F400" s="135">
        <v>12590.3</v>
      </c>
      <c r="G400" s="67">
        <f t="shared" si="39"/>
        <v>1.8784302200902658E-3</v>
      </c>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row>
    <row r="401" spans="1:37">
      <c r="A401" s="134">
        <v>45048</v>
      </c>
      <c r="B401" s="133">
        <v>919.05</v>
      </c>
      <c r="C401" s="133">
        <f t="shared" si="40"/>
        <v>1.1111722316959005E-2</v>
      </c>
      <c r="D401" s="133">
        <v>18147.650000000001</v>
      </c>
      <c r="E401" s="133">
        <f t="shared" si="41"/>
        <v>4.5751453086078087E-3</v>
      </c>
      <c r="F401" s="135">
        <v>12613.95</v>
      </c>
      <c r="G401" s="67">
        <f t="shared" si="39"/>
        <v>-7.4996333424502959E-3</v>
      </c>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row>
    <row r="402" spans="1:37">
      <c r="A402" s="134">
        <v>45044</v>
      </c>
      <c r="B402" s="133">
        <v>908.95</v>
      </c>
      <c r="C402" s="133">
        <f t="shared" si="40"/>
        <v>-8.9947666812036919E-3</v>
      </c>
      <c r="D402" s="133">
        <v>18065</v>
      </c>
      <c r="E402" s="133">
        <f t="shared" si="41"/>
        <v>8.3700575772884811E-3</v>
      </c>
      <c r="F402" s="135">
        <v>12519.35</v>
      </c>
      <c r="G402" s="67">
        <f t="shared" si="39"/>
        <v>-4.9123956115932899E-3</v>
      </c>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row>
    <row r="403" spans="1:37">
      <c r="A403" s="134">
        <v>45043</v>
      </c>
      <c r="B403" s="133">
        <v>917.2</v>
      </c>
      <c r="C403" s="133">
        <f t="shared" si="40"/>
        <v>4.6002190580505253E-3</v>
      </c>
      <c r="D403" s="133">
        <v>17915.05</v>
      </c>
      <c r="E403" s="133">
        <f t="shared" si="41"/>
        <v>5.6950868998968396E-3</v>
      </c>
      <c r="F403" s="135">
        <v>12457.85</v>
      </c>
      <c r="G403" s="67">
        <f t="shared" si="39"/>
        <v>-1.0033834088551963E-4</v>
      </c>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row>
    <row r="404" spans="1:37">
      <c r="A404" s="134">
        <v>45042</v>
      </c>
      <c r="B404" s="133">
        <v>913</v>
      </c>
      <c r="C404" s="133">
        <f t="shared" si="40"/>
        <v>4.4004400440043057E-3</v>
      </c>
      <c r="D404" s="133">
        <v>17813.599999999999</v>
      </c>
      <c r="E404" s="133">
        <f t="shared" si="41"/>
        <v>2.4958847447134058E-3</v>
      </c>
      <c r="F404" s="135">
        <v>12456.6</v>
      </c>
      <c r="G404" s="67">
        <f t="shared" si="39"/>
        <v>-1.8062713742117431E-4</v>
      </c>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row>
    <row r="405" spans="1:37">
      <c r="A405" s="134">
        <v>45041</v>
      </c>
      <c r="B405" s="133">
        <v>909</v>
      </c>
      <c r="C405" s="133">
        <f t="shared" si="40"/>
        <v>4.9751243781095411E-3</v>
      </c>
      <c r="D405" s="133">
        <v>17769.25</v>
      </c>
      <c r="E405" s="133">
        <f t="shared" si="41"/>
        <v>1.4568797411995682E-3</v>
      </c>
      <c r="F405" s="135">
        <v>12454.35</v>
      </c>
      <c r="G405" s="67">
        <f t="shared" si="39"/>
        <v>7.3388013023560905E-3</v>
      </c>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row>
    <row r="406" spans="1:37">
      <c r="A406" s="134">
        <v>45040</v>
      </c>
      <c r="B406" s="133">
        <v>904.5</v>
      </c>
      <c r="C406" s="133">
        <f t="shared" si="40"/>
        <v>-1.2446773665247268E-2</v>
      </c>
      <c r="D406" s="133">
        <v>17743.400000000001</v>
      </c>
      <c r="E406" s="133">
        <f t="shared" si="41"/>
        <v>6.7719962210730511E-3</v>
      </c>
      <c r="F406" s="135">
        <v>12545.75</v>
      </c>
      <c r="G406" s="67">
        <f t="shared" si="39"/>
        <v>-4.8223501982742611E-3</v>
      </c>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row>
    <row r="407" spans="1:37">
      <c r="A407" s="134">
        <v>45037</v>
      </c>
      <c r="B407" s="133">
        <v>915.9</v>
      </c>
      <c r="C407" s="133">
        <f t="shared" si="40"/>
        <v>1.2044198895027503E-2</v>
      </c>
      <c r="D407" s="133">
        <v>17624.05</v>
      </c>
      <c r="E407" s="133">
        <f t="shared" si="41"/>
        <v>-2.2695743697065396E-5</v>
      </c>
      <c r="F407" s="135">
        <v>12485.25</v>
      </c>
      <c r="G407" s="67">
        <f t="shared" si="39"/>
        <v>1.1217236338879832E-2</v>
      </c>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row>
    <row r="408" spans="1:37">
      <c r="A408" s="134">
        <v>45036</v>
      </c>
      <c r="B408" s="133">
        <v>905</v>
      </c>
      <c r="C408" s="133">
        <f t="shared" si="40"/>
        <v>-8.5451358457493409E-3</v>
      </c>
      <c r="D408" s="133">
        <v>17624.45</v>
      </c>
      <c r="E408" s="133">
        <f t="shared" si="41"/>
        <v>3.2351897836124799E-4</v>
      </c>
      <c r="F408" s="135">
        <v>12625.3</v>
      </c>
      <c r="G408" s="67">
        <f t="shared" si="39"/>
        <v>-1.4217483940974773E-3</v>
      </c>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row>
    <row r="409" spans="1:37">
      <c r="A409" s="134">
        <v>45035</v>
      </c>
      <c r="B409" s="133">
        <v>912.8</v>
      </c>
      <c r="C409" s="133">
        <f t="shared" si="40"/>
        <v>-1.3295859907037189E-2</v>
      </c>
      <c r="D409" s="133">
        <v>17618.75</v>
      </c>
      <c r="E409" s="133">
        <f t="shared" si="41"/>
        <v>-2.3442609490860189E-3</v>
      </c>
      <c r="F409" s="135">
        <v>12607.35</v>
      </c>
      <c r="G409" s="67">
        <f t="shared" si="39"/>
        <v>-1.6161207549564294E-2</v>
      </c>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row>
    <row r="410" spans="1:37">
      <c r="A410" s="134">
        <v>45034</v>
      </c>
      <c r="B410" s="133">
        <v>925.1</v>
      </c>
      <c r="C410" s="133">
        <f t="shared" si="40"/>
        <v>1.9955898566703434E-2</v>
      </c>
      <c r="D410" s="133">
        <v>17660.150000000001</v>
      </c>
      <c r="E410" s="133">
        <f t="shared" si="41"/>
        <v>-2.6373973914048943E-3</v>
      </c>
      <c r="F410" s="135">
        <v>12403.6</v>
      </c>
      <c r="G410" s="67">
        <f t="shared" si="39"/>
        <v>6.0708181495694458E-3</v>
      </c>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row>
    <row r="411" spans="1:37">
      <c r="A411" s="134">
        <v>45033</v>
      </c>
      <c r="B411" s="133">
        <v>907</v>
      </c>
      <c r="C411" s="133">
        <f t="shared" si="40"/>
        <v>-8.4180605663058961E-3</v>
      </c>
      <c r="D411" s="133">
        <v>17706.849999999999</v>
      </c>
      <c r="E411" s="133">
        <f t="shared" si="41"/>
        <v>-6.7954902400718664E-3</v>
      </c>
      <c r="F411" s="135">
        <v>12478.9</v>
      </c>
      <c r="G411" s="67">
        <f t="shared" si="39"/>
        <v>7.6368910721298366E-3</v>
      </c>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row>
    <row r="412" spans="1:37">
      <c r="A412" s="134">
        <v>45029</v>
      </c>
      <c r="B412" s="133">
        <v>914.7</v>
      </c>
      <c r="C412" s="133">
        <f t="shared" si="40"/>
        <v>-4.8955613577023049E-3</v>
      </c>
      <c r="D412" s="133">
        <v>17828</v>
      </c>
      <c r="E412" s="133">
        <f t="shared" si="41"/>
        <v>8.7579439042451135E-4</v>
      </c>
      <c r="F412" s="135">
        <v>12574.2</v>
      </c>
      <c r="G412" s="67">
        <f t="shared" si="39"/>
        <v>-2.1806556281910638E-2</v>
      </c>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row>
    <row r="413" spans="1:37">
      <c r="A413" s="134">
        <v>45028</v>
      </c>
      <c r="B413" s="133">
        <v>919.2</v>
      </c>
      <c r="C413" s="133">
        <f t="shared" si="40"/>
        <v>1.3395071936497471E-2</v>
      </c>
      <c r="D413" s="133">
        <v>17812.400000000001</v>
      </c>
      <c r="E413" s="133">
        <f t="shared" si="41"/>
        <v>5.083990227002344E-3</v>
      </c>
      <c r="F413" s="135">
        <v>12300</v>
      </c>
      <c r="G413" s="67">
        <f t="shared" si="39"/>
        <v>-1.016260162601812E-4</v>
      </c>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row>
    <row r="414" spans="1:37">
      <c r="A414" s="134">
        <v>45027</v>
      </c>
      <c r="B414" s="133">
        <v>907.05</v>
      </c>
      <c r="C414" s="133">
        <f t="shared" si="40"/>
        <v>5.598669623059882E-3</v>
      </c>
      <c r="D414" s="133">
        <v>17722.3</v>
      </c>
      <c r="E414" s="133">
        <f t="shared" si="41"/>
        <v>5.5747685690858972E-3</v>
      </c>
      <c r="F414" s="135">
        <v>12298.75</v>
      </c>
      <c r="G414" s="67">
        <f t="shared" si="39"/>
        <v>-1.9839414574651659E-3</v>
      </c>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row>
    <row r="415" spans="1:37">
      <c r="A415" s="134">
        <v>45026</v>
      </c>
      <c r="B415" s="133">
        <v>902</v>
      </c>
      <c r="C415" s="133">
        <f t="shared" si="40"/>
        <v>7.9338473572465595E-3</v>
      </c>
      <c r="D415" s="133">
        <v>17624.05</v>
      </c>
      <c r="E415" s="133">
        <f t="shared" si="41"/>
        <v>1.4148410576646508E-3</v>
      </c>
      <c r="F415" s="135">
        <v>12274.35</v>
      </c>
      <c r="G415" s="67">
        <f t="shared" si="39"/>
        <v>-7.5360406050014594E-3</v>
      </c>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row>
    <row r="416" spans="1:37">
      <c r="A416" s="134">
        <v>45022</v>
      </c>
      <c r="B416" s="133">
        <v>894.9</v>
      </c>
      <c r="C416" s="133">
        <f t="shared" si="40"/>
        <v>-2.34113712374584E-3</v>
      </c>
      <c r="D416" s="133">
        <v>17599.150000000001</v>
      </c>
      <c r="E416" s="133">
        <f t="shared" si="41"/>
        <v>2.3978971410345551E-3</v>
      </c>
      <c r="F416" s="135">
        <v>12181.85</v>
      </c>
      <c r="G416" s="67">
        <f t="shared" si="39"/>
        <v>-9.3499755784219873E-3</v>
      </c>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row>
    <row r="417" spans="1:37">
      <c r="A417" s="134">
        <v>45021</v>
      </c>
      <c r="B417" s="133">
        <v>897</v>
      </c>
      <c r="C417" s="133">
        <f t="shared" si="40"/>
        <v>6.5645514223195978E-3</v>
      </c>
      <c r="D417" s="133">
        <v>17557.05</v>
      </c>
      <c r="E417" s="133">
        <f t="shared" si="41"/>
        <v>9.1389552277409969E-3</v>
      </c>
      <c r="F417" s="135">
        <v>12067.95</v>
      </c>
      <c r="G417" s="67">
        <f t="shared" si="39"/>
        <v>-4.217783467780456E-3</v>
      </c>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row>
    <row r="418" spans="1:37">
      <c r="A418" s="134">
        <v>45019</v>
      </c>
      <c r="B418" s="133">
        <v>891.15</v>
      </c>
      <c r="C418" s="133">
        <f t="shared" si="40"/>
        <v>-1.0383120488617448E-2</v>
      </c>
      <c r="D418" s="133">
        <v>17398.05</v>
      </c>
      <c r="E418" s="133">
        <f t="shared" si="41"/>
        <v>2.2062529702329137E-3</v>
      </c>
      <c r="F418" s="135">
        <v>12017.05</v>
      </c>
      <c r="G418" s="67">
        <f t="shared" si="39"/>
        <v>-6.203685596714581E-3</v>
      </c>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row>
    <row r="419" spans="1:37">
      <c r="A419" s="134">
        <v>45016</v>
      </c>
      <c r="B419" s="133">
        <v>900.5</v>
      </c>
      <c r="C419" s="133">
        <f t="shared" si="40"/>
        <v>1.3505908835115266E-2</v>
      </c>
      <c r="D419" s="133">
        <v>17359.75</v>
      </c>
      <c r="E419" s="133">
        <f t="shared" si="41"/>
        <v>1.6337152458622883E-2</v>
      </c>
      <c r="F419" s="135">
        <v>11942.5</v>
      </c>
      <c r="G419" s="67">
        <f t="shared" si="39"/>
        <v>-5.8028051078081733E-3</v>
      </c>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row>
    <row r="420" spans="1:37">
      <c r="A420" s="134">
        <v>45014</v>
      </c>
      <c r="B420" s="133">
        <v>888.5</v>
      </c>
      <c r="C420" s="133">
        <f t="shared" si="40"/>
        <v>-8.9958394242661832E-4</v>
      </c>
      <c r="D420" s="133">
        <v>17080.7</v>
      </c>
      <c r="E420" s="133">
        <f t="shared" si="41"/>
        <v>7.6098562386073265E-3</v>
      </c>
      <c r="F420" s="135">
        <v>11873.2</v>
      </c>
      <c r="G420" s="67">
        <f t="shared" si="39"/>
        <v>8.0433244618127731E-4</v>
      </c>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row>
    <row r="421" spans="1:37">
      <c r="A421" s="134">
        <v>45013</v>
      </c>
      <c r="B421" s="133">
        <v>889.3</v>
      </c>
      <c r="C421" s="133">
        <f t="shared" si="40"/>
        <v>-2.8104097577430487E-4</v>
      </c>
      <c r="D421" s="133">
        <v>16951.7</v>
      </c>
      <c r="E421" s="133">
        <f t="shared" si="41"/>
        <v>-2.0016837692883316E-3</v>
      </c>
      <c r="F421" s="135">
        <v>11882.75</v>
      </c>
      <c r="G421" s="67">
        <f t="shared" si="39"/>
        <v>-1.072142391281472E-2</v>
      </c>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row>
    <row r="422" spans="1:37">
      <c r="A422" s="134">
        <v>45012</v>
      </c>
      <c r="B422" s="133">
        <v>889.55</v>
      </c>
      <c r="C422" s="133">
        <f t="shared" si="40"/>
        <v>1.2693533697631931E-2</v>
      </c>
      <c r="D422" s="133">
        <v>16985.7</v>
      </c>
      <c r="E422" s="133">
        <f t="shared" si="41"/>
        <v>2.3989306611666983E-3</v>
      </c>
      <c r="F422" s="135">
        <v>11755.35</v>
      </c>
      <c r="G422" s="67">
        <f t="shared" si="39"/>
        <v>2.169225076241954E-3</v>
      </c>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row>
    <row r="423" spans="1:37">
      <c r="A423" s="134">
        <v>45009</v>
      </c>
      <c r="B423" s="133">
        <v>878.4</v>
      </c>
      <c r="C423" s="133">
        <f t="shared" si="40"/>
        <v>1.1282523601197303E-2</v>
      </c>
      <c r="D423" s="133">
        <v>16945.05</v>
      </c>
      <c r="E423" s="133">
        <f t="shared" si="41"/>
        <v>-7.7209563796709624E-3</v>
      </c>
      <c r="F423" s="135">
        <v>11780.85</v>
      </c>
      <c r="G423" s="67">
        <f t="shared" si="39"/>
        <v>-2.2197040111706645E-3</v>
      </c>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row>
    <row r="424" spans="1:37">
      <c r="A424" s="134">
        <v>45008</v>
      </c>
      <c r="B424" s="133">
        <v>868.6</v>
      </c>
      <c r="C424" s="133">
        <f t="shared" si="40"/>
        <v>3.5817446562680377E-3</v>
      </c>
      <c r="D424" s="133">
        <v>17076.900000000001</v>
      </c>
      <c r="E424" s="133">
        <f t="shared" si="41"/>
        <v>-4.3726934042292998E-3</v>
      </c>
      <c r="F424" s="135">
        <v>11754.7</v>
      </c>
      <c r="G424" s="67">
        <f t="shared" si="39"/>
        <v>-1.0289501220788311E-2</v>
      </c>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row>
    <row r="425" spans="1:37">
      <c r="A425" s="134">
        <v>45007</v>
      </c>
      <c r="B425" s="133">
        <v>865.5</v>
      </c>
      <c r="C425" s="133">
        <f t="shared" si="40"/>
        <v>2.8968713789108147E-3</v>
      </c>
      <c r="D425" s="133">
        <v>17151.900000000001</v>
      </c>
      <c r="E425" s="133">
        <f t="shared" si="41"/>
        <v>2.5953529153881494E-3</v>
      </c>
      <c r="F425" s="135">
        <v>11633.75</v>
      </c>
      <c r="G425" s="67">
        <f t="shared" si="39"/>
        <v>2.540023638121891E-3</v>
      </c>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row>
    <row r="426" spans="1:37">
      <c r="A426" s="134">
        <v>45006</v>
      </c>
      <c r="B426" s="133">
        <v>863</v>
      </c>
      <c r="C426" s="133">
        <f t="shared" si="40"/>
        <v>-4.6136101499423265E-3</v>
      </c>
      <c r="D426" s="133">
        <v>17107.5</v>
      </c>
      <c r="E426" s="133">
        <f t="shared" si="41"/>
        <v>7.0106661015751914E-3</v>
      </c>
      <c r="F426" s="135">
        <v>11663.3</v>
      </c>
      <c r="G426" s="67">
        <f t="shared" si="39"/>
        <v>1.1017465039910856E-3</v>
      </c>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row>
    <row r="427" spans="1:37">
      <c r="A427" s="134">
        <v>45005</v>
      </c>
      <c r="B427" s="133">
        <v>867</v>
      </c>
      <c r="C427" s="133">
        <f t="shared" si="40"/>
        <v>-6.8728522336769515E-3</v>
      </c>
      <c r="D427" s="133">
        <v>16988.400000000001</v>
      </c>
      <c r="E427" s="133">
        <f t="shared" si="41"/>
        <v>-6.5292206747932235E-3</v>
      </c>
      <c r="F427" s="135">
        <v>11676.15</v>
      </c>
      <c r="G427" s="67">
        <f t="shared" si="39"/>
        <v>5.7424750452848006E-3</v>
      </c>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row>
    <row r="428" spans="1:37">
      <c r="A428" s="134">
        <v>45002</v>
      </c>
      <c r="B428" s="133">
        <v>873</v>
      </c>
      <c r="C428" s="133">
        <f t="shared" si="40"/>
        <v>-1.2443438914027105E-2</v>
      </c>
      <c r="D428" s="133">
        <v>17100.05</v>
      </c>
      <c r="E428" s="133">
        <f t="shared" si="41"/>
        <v>6.7380604747551143E-3</v>
      </c>
      <c r="F428" s="135">
        <v>11743.2</v>
      </c>
      <c r="G428" s="67">
        <f t="shared" si="39"/>
        <v>-9.3032563526125323E-3</v>
      </c>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row>
    <row r="429" spans="1:37">
      <c r="A429" s="134">
        <v>45001</v>
      </c>
      <c r="B429" s="133">
        <v>884</v>
      </c>
      <c r="C429" s="133">
        <f t="shared" si="40"/>
        <v>5.6882821387940208E-3</v>
      </c>
      <c r="D429" s="133">
        <v>16985.599999999999</v>
      </c>
      <c r="E429" s="133">
        <f t="shared" si="41"/>
        <v>7.9247473066157426E-4</v>
      </c>
      <c r="F429" s="135">
        <v>11633.95</v>
      </c>
      <c r="G429" s="67">
        <f t="shared" si="39"/>
        <v>-3.0943918445583973E-3</v>
      </c>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row>
    <row r="430" spans="1:37">
      <c r="A430" s="134">
        <v>45000</v>
      </c>
      <c r="B430" s="133">
        <v>879</v>
      </c>
      <c r="C430" s="133">
        <f t="shared" si="40"/>
        <v>6.8728522336769515E-3</v>
      </c>
      <c r="D430" s="133">
        <v>16972.150000000001</v>
      </c>
      <c r="E430" s="133">
        <f t="shared" si="41"/>
        <v>-4.1746610104849147E-3</v>
      </c>
      <c r="F430" s="135">
        <v>11597.95</v>
      </c>
      <c r="G430" s="67">
        <f t="shared" si="39"/>
        <v>-5.1733280450494412E-5</v>
      </c>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row>
    <row r="431" spans="1:37">
      <c r="A431" s="134">
        <v>44999</v>
      </c>
      <c r="B431" s="133">
        <v>873</v>
      </c>
      <c r="C431" s="133">
        <f t="shared" si="40"/>
        <v>-4.9581124978629321E-3</v>
      </c>
      <c r="D431" s="133">
        <v>17043.3</v>
      </c>
      <c r="E431" s="133">
        <f t="shared" si="41"/>
        <v>-6.4706808205522437E-3</v>
      </c>
      <c r="F431" s="135">
        <v>11597.35</v>
      </c>
      <c r="G431" s="67">
        <f t="shared" si="39"/>
        <v>7.467223115625643E-3</v>
      </c>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row>
    <row r="432" spans="1:37">
      <c r="A432" s="134">
        <v>44998</v>
      </c>
      <c r="B432" s="133">
        <v>877.35</v>
      </c>
      <c r="C432" s="133">
        <f t="shared" si="40"/>
        <v>-4.8207803992740272E-3</v>
      </c>
      <c r="D432" s="133">
        <v>17154.3</v>
      </c>
      <c r="E432" s="133">
        <f t="shared" si="41"/>
        <v>-1.4851058697862074E-2</v>
      </c>
      <c r="F432" s="135">
        <v>11683.95</v>
      </c>
      <c r="G432" s="67">
        <f t="shared" si="39"/>
        <v>1.407914275565858E-3</v>
      </c>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row>
    <row r="433" spans="1:37">
      <c r="A433" s="134">
        <v>44995</v>
      </c>
      <c r="B433" s="133">
        <v>881.6</v>
      </c>
      <c r="C433" s="133">
        <f t="shared" si="40"/>
        <v>-1.0198300283286166E-3</v>
      </c>
      <c r="D433" s="133">
        <v>17412.900000000001</v>
      </c>
      <c r="E433" s="133">
        <f t="shared" si="41"/>
        <v>-1.0045708827943645E-2</v>
      </c>
      <c r="F433" s="135">
        <v>11700.4</v>
      </c>
      <c r="G433" s="67">
        <f t="shared" si="39"/>
        <v>4.2519913849099478E-3</v>
      </c>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row>
    <row r="434" spans="1:37">
      <c r="A434" s="134">
        <v>44994</v>
      </c>
      <c r="B434" s="133">
        <v>882.5</v>
      </c>
      <c r="C434" s="133">
        <f t="shared" si="40"/>
        <v>6.2713797035347518E-3</v>
      </c>
      <c r="D434" s="133">
        <v>17589.599999999999</v>
      </c>
      <c r="E434" s="133">
        <f t="shared" si="41"/>
        <v>-9.2822061010230383E-3</v>
      </c>
      <c r="F434" s="135">
        <v>11750.15</v>
      </c>
      <c r="G434" s="67">
        <f t="shared" si="39"/>
        <v>4.9148308744995095E-3</v>
      </c>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row>
    <row r="435" spans="1:37">
      <c r="A435" s="134">
        <v>44993</v>
      </c>
      <c r="B435" s="133">
        <v>877</v>
      </c>
      <c r="C435" s="133">
        <f t="shared" si="40"/>
        <v>-3.4090909090909172E-3</v>
      </c>
      <c r="D435" s="133">
        <v>17754.400000000001</v>
      </c>
      <c r="E435" s="133">
        <f t="shared" si="41"/>
        <v>2.4249849673516621E-3</v>
      </c>
      <c r="F435" s="135">
        <v>11807.9</v>
      </c>
      <c r="G435" s="67">
        <f t="shared" si="39"/>
        <v>-2.210384573040125E-3</v>
      </c>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row>
    <row r="436" spans="1:37">
      <c r="A436" s="134">
        <v>44991</v>
      </c>
      <c r="B436" s="133">
        <v>880</v>
      </c>
      <c r="C436" s="133">
        <f t="shared" si="40"/>
        <v>1.4224751066855834E-3</v>
      </c>
      <c r="D436" s="133">
        <v>17711.45</v>
      </c>
      <c r="E436" s="133">
        <f t="shared" si="41"/>
        <v>6.6555456723325079E-3</v>
      </c>
      <c r="F436" s="135">
        <v>11781.8</v>
      </c>
      <c r="G436" s="67">
        <f t="shared" si="39"/>
        <v>-1.7569471557825622E-3</v>
      </c>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row>
    <row r="437" spans="1:37">
      <c r="A437" s="134">
        <v>44988</v>
      </c>
      <c r="B437" s="133">
        <v>878.75</v>
      </c>
      <c r="C437" s="133">
        <f t="shared" si="40"/>
        <v>-9.3010146561443019E-3</v>
      </c>
      <c r="D437" s="133">
        <v>17594.349999999999</v>
      </c>
      <c r="E437" s="133">
        <f t="shared" si="41"/>
        <v>1.5728644086387522E-2</v>
      </c>
      <c r="F437" s="135">
        <v>11761.1</v>
      </c>
      <c r="G437" s="67">
        <f t="shared" si="39"/>
        <v>2.9759121170647163E-4</v>
      </c>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row>
    <row r="438" spans="1:37">
      <c r="A438" s="134">
        <v>44987</v>
      </c>
      <c r="B438" s="133">
        <v>887</v>
      </c>
      <c r="C438" s="133">
        <f t="shared" si="40"/>
        <v>-1.4334926102900325E-2</v>
      </c>
      <c r="D438" s="133">
        <v>17321.900000000001</v>
      </c>
      <c r="E438" s="133">
        <f t="shared" si="41"/>
        <v>-7.3921688852723877E-3</v>
      </c>
      <c r="F438" s="135">
        <v>11764.6</v>
      </c>
      <c r="G438" s="67">
        <f t="shared" si="39"/>
        <v>-1.4875133876205426E-3</v>
      </c>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row>
    <row r="439" spans="1:37">
      <c r="A439" s="134">
        <v>44986</v>
      </c>
      <c r="B439" s="133">
        <v>899.9</v>
      </c>
      <c r="C439" s="133">
        <f t="shared" si="40"/>
        <v>-6.5135791565467116E-3</v>
      </c>
      <c r="D439" s="133">
        <v>17450.900000000001</v>
      </c>
      <c r="E439" s="133">
        <f t="shared" si="41"/>
        <v>8.4922806642413473E-3</v>
      </c>
      <c r="F439" s="135">
        <v>11747.1</v>
      </c>
      <c r="G439" s="67">
        <f t="shared" si="39"/>
        <v>1.3228796894552586E-2</v>
      </c>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row>
    <row r="440" spans="1:37">
      <c r="A440" s="134">
        <v>44985</v>
      </c>
      <c r="B440" s="133">
        <v>905.8</v>
      </c>
      <c r="C440" s="133">
        <f t="shared" si="40"/>
        <v>-4.8329480983399842E-2</v>
      </c>
      <c r="D440" s="133">
        <v>17303.95</v>
      </c>
      <c r="E440" s="133">
        <f t="shared" si="41"/>
        <v>-5.1027155070805241E-3</v>
      </c>
      <c r="F440" s="135">
        <v>11902.5</v>
      </c>
      <c r="G440" s="67">
        <f t="shared" si="39"/>
        <v>7.8722957361898604E-3</v>
      </c>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row>
    <row r="441" spans="1:37">
      <c r="A441" s="134">
        <v>44984</v>
      </c>
      <c r="B441" s="133">
        <v>951.8</v>
      </c>
      <c r="C441" s="133">
        <f t="shared" si="40"/>
        <v>-1.4699792960662594E-2</v>
      </c>
      <c r="D441" s="133">
        <v>17392.7</v>
      </c>
      <c r="E441" s="133">
        <f t="shared" si="41"/>
        <v>-4.1853221724741374E-3</v>
      </c>
      <c r="F441" s="135">
        <v>11996.2</v>
      </c>
      <c r="G441" s="67">
        <f t="shared" si="39"/>
        <v>-2.3340724562778137E-3</v>
      </c>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row>
    <row r="442" spans="1:37">
      <c r="A442" s="134">
        <v>44981</v>
      </c>
      <c r="B442" s="133">
        <v>966</v>
      </c>
      <c r="C442" s="133">
        <f t="shared" si="40"/>
        <v>6.2500000000000888E-3</v>
      </c>
      <c r="D442" s="133">
        <v>17465.8</v>
      </c>
      <c r="E442" s="133">
        <f t="shared" si="41"/>
        <v>-2.5954743379256184E-3</v>
      </c>
      <c r="F442" s="135">
        <v>11968.2</v>
      </c>
      <c r="G442" s="67">
        <f t="shared" si="39"/>
        <v>1.9760699186175401E-3</v>
      </c>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row>
    <row r="443" spans="1:37">
      <c r="A443" s="134">
        <v>44980</v>
      </c>
      <c r="B443" s="133">
        <v>960</v>
      </c>
      <c r="C443" s="133">
        <f t="shared" si="40"/>
        <v>-6.1597391169315729E-3</v>
      </c>
      <c r="D443" s="133">
        <v>17511.25</v>
      </c>
      <c r="E443" s="133">
        <f t="shared" si="41"/>
        <v>-2.4523905823643499E-3</v>
      </c>
      <c r="F443" s="135">
        <v>11991.85</v>
      </c>
      <c r="G443" s="67">
        <f t="shared" si="39"/>
        <v>2.3057326434203773E-3</v>
      </c>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row>
    <row r="444" spans="1:37">
      <c r="A444" s="134">
        <v>44979</v>
      </c>
      <c r="B444" s="133">
        <v>965.95</v>
      </c>
      <c r="C444" s="133">
        <f t="shared" si="40"/>
        <v>-5.200823892893891E-3</v>
      </c>
      <c r="D444" s="133">
        <v>17554.3</v>
      </c>
      <c r="E444" s="133">
        <f t="shared" si="41"/>
        <v>-1.528045011134993E-2</v>
      </c>
      <c r="F444" s="135">
        <v>12019.5</v>
      </c>
      <c r="G444" s="67">
        <f t="shared" si="39"/>
        <v>2.9868130953867311E-3</v>
      </c>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row>
    <row r="445" spans="1:37">
      <c r="A445" s="134">
        <v>44978</v>
      </c>
      <c r="B445" s="133">
        <v>971</v>
      </c>
      <c r="C445" s="133">
        <f t="shared" si="40"/>
        <v>8.3073727933540287E-3</v>
      </c>
      <c r="D445" s="133">
        <v>17826.7</v>
      </c>
      <c r="E445" s="133">
        <f t="shared" si="41"/>
        <v>-1.0031045806573324E-3</v>
      </c>
      <c r="F445" s="135">
        <v>12055.4</v>
      </c>
      <c r="G445" s="67">
        <f t="shared" si="39"/>
        <v>8.183054896560904E-3</v>
      </c>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row>
    <row r="446" spans="1:37">
      <c r="A446" s="134">
        <v>44977</v>
      </c>
      <c r="B446" s="133">
        <v>963</v>
      </c>
      <c r="C446" s="133">
        <f t="shared" si="40"/>
        <v>-6.2317429406037017E-2</v>
      </c>
      <c r="D446" s="133">
        <v>17844.599999999999</v>
      </c>
      <c r="E446" s="133">
        <f t="shared" si="41"/>
        <v>-5.5505400073562194E-3</v>
      </c>
      <c r="F446" s="135">
        <v>12154.05</v>
      </c>
      <c r="G446" s="67">
        <f t="shared" si="39"/>
        <v>1.1893154956578389E-2</v>
      </c>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row>
    <row r="447" spans="1:37">
      <c r="A447" s="134">
        <v>44974</v>
      </c>
      <c r="B447" s="135">
        <v>1027</v>
      </c>
      <c r="C447" s="133">
        <f t="shared" si="40"/>
        <v>-5.6158017041052499E-3</v>
      </c>
      <c r="D447" s="133">
        <v>17944.2</v>
      </c>
      <c r="E447" s="133">
        <f t="shared" si="41"/>
        <v>-5.0815459210404867E-3</v>
      </c>
      <c r="F447" s="135">
        <v>12298.6</v>
      </c>
      <c r="G447" s="67">
        <f t="shared" si="39"/>
        <v>-5.0005691704746447E-3</v>
      </c>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row>
    <row r="448" spans="1:37">
      <c r="A448" s="134">
        <v>44973</v>
      </c>
      <c r="B448" s="135">
        <v>1032.8</v>
      </c>
      <c r="C448" s="133">
        <f t="shared" si="40"/>
        <v>3.497862417411568E-3</v>
      </c>
      <c r="D448" s="133">
        <v>18035.849999999999</v>
      </c>
      <c r="E448" s="133">
        <f t="shared" si="41"/>
        <v>1.1101335768226583E-3</v>
      </c>
      <c r="F448" s="135">
        <v>12237.1</v>
      </c>
      <c r="G448" s="67">
        <f t="shared" si="39"/>
        <v>9.5610888200625688E-4</v>
      </c>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row>
    <row r="449" spans="1:37">
      <c r="A449" s="134">
        <v>44972</v>
      </c>
      <c r="B449" s="135">
        <v>1029.2</v>
      </c>
      <c r="C449" s="133">
        <f t="shared" si="40"/>
        <v>1.8495084201304302E-3</v>
      </c>
      <c r="D449" s="133">
        <v>18015.849999999999</v>
      </c>
      <c r="E449" s="133">
        <f t="shared" si="41"/>
        <v>4.7964706899388254E-3</v>
      </c>
      <c r="F449" s="135">
        <v>12248.8</v>
      </c>
      <c r="G449" s="67">
        <f t="shared" si="39"/>
        <v>1.5756645548952175E-3</v>
      </c>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row>
    <row r="450" spans="1:37">
      <c r="A450" s="134">
        <v>44971</v>
      </c>
      <c r="B450" s="135">
        <v>1027.3</v>
      </c>
      <c r="C450" s="133">
        <f t="shared" si="40"/>
        <v>7.0087732196244534E-3</v>
      </c>
      <c r="D450" s="133">
        <v>17929.849999999999</v>
      </c>
      <c r="E450" s="133">
        <f t="shared" si="41"/>
        <v>8.9443978639234256E-3</v>
      </c>
      <c r="F450" s="135">
        <v>12268.1</v>
      </c>
      <c r="G450" s="67">
        <f t="shared" si="39"/>
        <v>4.8010694402556009E-3</v>
      </c>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row>
    <row r="451" spans="1:37">
      <c r="A451" s="134">
        <v>44970</v>
      </c>
      <c r="B451" s="135">
        <v>1020.15</v>
      </c>
      <c r="C451" s="133">
        <f t="shared" si="40"/>
        <v>-1.2439496611810319E-2</v>
      </c>
      <c r="D451" s="133">
        <v>17770.900000000001</v>
      </c>
      <c r="E451" s="133">
        <f t="shared" si="41"/>
        <v>-4.7937725758125938E-3</v>
      </c>
      <c r="F451" s="135">
        <v>12327</v>
      </c>
      <c r="G451" s="67">
        <f t="shared" si="39"/>
        <v>-1.9875070982395826E-3</v>
      </c>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row>
    <row r="452" spans="1:37">
      <c r="A452" s="134">
        <v>44967</v>
      </c>
      <c r="B452" s="135">
        <v>1033</v>
      </c>
      <c r="C452" s="133">
        <f t="shared" si="40"/>
        <v>1.1604563482348285E-2</v>
      </c>
      <c r="D452" s="133">
        <v>17856.5</v>
      </c>
      <c r="E452" s="133">
        <f t="shared" si="41"/>
        <v>-2.0650014390740656E-3</v>
      </c>
      <c r="F452" s="135">
        <v>12302.5</v>
      </c>
      <c r="G452" s="67">
        <f t="shared" si="39"/>
        <v>4.4543791912212694E-3</v>
      </c>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row>
    <row r="453" spans="1:37">
      <c r="A453" s="134">
        <v>44966</v>
      </c>
      <c r="B453" s="135">
        <v>1021.15</v>
      </c>
      <c r="C453" s="133">
        <f t="shared" si="40"/>
        <v>-1.6233140655105949E-2</v>
      </c>
      <c r="D453" s="133">
        <v>17893.45</v>
      </c>
      <c r="E453" s="133">
        <f t="shared" si="41"/>
        <v>1.2170078951638796E-3</v>
      </c>
      <c r="F453" s="135">
        <v>12357.3</v>
      </c>
      <c r="G453" s="67">
        <f t="shared" si="39"/>
        <v>-1.3425262800126236E-2</v>
      </c>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row>
    <row r="454" spans="1:37">
      <c r="A454" s="134">
        <v>44965</v>
      </c>
      <c r="B454" s="135">
        <v>1038</v>
      </c>
      <c r="C454" s="133">
        <f t="shared" si="40"/>
        <v>8.8443969287588242E-3</v>
      </c>
      <c r="D454" s="133">
        <v>17871.7</v>
      </c>
      <c r="E454" s="133">
        <f t="shared" si="41"/>
        <v>8.475580509550662E-3</v>
      </c>
      <c r="F454" s="135">
        <v>12191.4</v>
      </c>
      <c r="G454" s="67">
        <f t="shared" si="39"/>
        <v>1.3944255786868531E-4</v>
      </c>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row>
    <row r="455" spans="1:37">
      <c r="A455" s="134">
        <v>44964</v>
      </c>
      <c r="B455" s="135">
        <v>1028.9000000000001</v>
      </c>
      <c r="C455" s="133">
        <f t="shared" si="40"/>
        <v>-2.5689496388927591E-3</v>
      </c>
      <c r="D455" s="133">
        <v>17721.5</v>
      </c>
      <c r="E455" s="133">
        <f t="shared" si="41"/>
        <v>-2.4261734010334601E-3</v>
      </c>
      <c r="F455" s="135">
        <v>12193.1</v>
      </c>
      <c r="G455" s="67">
        <f t="shared" si="39"/>
        <v>-6.9711558176344113E-4</v>
      </c>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row>
    <row r="456" spans="1:37">
      <c r="A456" s="134">
        <v>44963</v>
      </c>
      <c r="B456" s="135">
        <v>1031.55</v>
      </c>
      <c r="C456" s="133">
        <f t="shared" si="40"/>
        <v>6.4393385043171047E-3</v>
      </c>
      <c r="D456" s="133">
        <v>17764.599999999999</v>
      </c>
      <c r="E456" s="133">
        <f t="shared" si="41"/>
        <v>-5.0100677437332486E-3</v>
      </c>
      <c r="F456" s="135">
        <v>12184.6</v>
      </c>
      <c r="G456" s="67">
        <f t="shared" si="39"/>
        <v>9.9880176616384819E-3</v>
      </c>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row>
    <row r="457" spans="1:37">
      <c r="A457" s="134">
        <v>44960</v>
      </c>
      <c r="B457" s="135">
        <v>1024.95</v>
      </c>
      <c r="C457" s="133">
        <f t="shared" si="40"/>
        <v>1.8571917306096086E-3</v>
      </c>
      <c r="D457" s="133">
        <v>17854.05</v>
      </c>
      <c r="E457" s="133">
        <f t="shared" si="41"/>
        <v>1.3835574433289199E-2</v>
      </c>
      <c r="F457" s="135">
        <v>12306.3</v>
      </c>
      <c r="G457" s="67">
        <f t="shared" ref="G457:G515" si="42">F458/F457-1</f>
        <v>4.0223300260842088E-3</v>
      </c>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row>
    <row r="458" spans="1:37">
      <c r="A458" s="134">
        <v>44959</v>
      </c>
      <c r="B458" s="135">
        <v>1023.05</v>
      </c>
      <c r="C458" s="133">
        <f t="shared" ref="C458:C516" si="43">B458/B459-1</f>
        <v>-9.6321393998064497E-3</v>
      </c>
      <c r="D458" s="133">
        <v>17610.400000000001</v>
      </c>
      <c r="E458" s="133">
        <f t="shared" ref="E458:E515" si="44">D458/D459-1</f>
        <v>-3.3491709382771351E-4</v>
      </c>
      <c r="F458" s="135">
        <v>12355.8</v>
      </c>
      <c r="G458" s="67">
        <f t="shared" si="42"/>
        <v>3.6015474513995116E-4</v>
      </c>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row>
    <row r="459" spans="1:37">
      <c r="A459" s="134">
        <v>44958</v>
      </c>
      <c r="B459" s="135">
        <v>1033</v>
      </c>
      <c r="C459" s="133">
        <f t="shared" si="43"/>
        <v>1.2745098039215641E-2</v>
      </c>
      <c r="D459" s="133">
        <v>17616.3</v>
      </c>
      <c r="E459" s="133">
        <f t="shared" si="44"/>
        <v>-2.5959466995808533E-3</v>
      </c>
      <c r="F459" s="135">
        <v>12360.25</v>
      </c>
      <c r="G459" s="67">
        <f t="shared" si="42"/>
        <v>1.0011933415586149E-2</v>
      </c>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row>
    <row r="460" spans="1:37">
      <c r="A460" s="134">
        <v>44957</v>
      </c>
      <c r="B460" s="135">
        <v>1020</v>
      </c>
      <c r="C460" s="133">
        <f t="shared" si="43"/>
        <v>-1.591895803183796E-2</v>
      </c>
      <c r="D460" s="133">
        <v>17662.150000000001</v>
      </c>
      <c r="E460" s="133">
        <f t="shared" si="44"/>
        <v>7.4791984792299537E-4</v>
      </c>
      <c r="F460" s="135">
        <v>12484</v>
      </c>
      <c r="G460" s="67">
        <f t="shared" si="42"/>
        <v>1.9264658763216147E-3</v>
      </c>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row>
    <row r="461" spans="1:37">
      <c r="A461" s="134">
        <v>44956</v>
      </c>
      <c r="B461" s="135">
        <v>1036.5</v>
      </c>
      <c r="C461" s="133">
        <f t="shared" si="43"/>
        <v>-1.2810133815896019E-2</v>
      </c>
      <c r="D461" s="133">
        <v>17648.95</v>
      </c>
      <c r="E461" s="133">
        <f t="shared" si="44"/>
        <v>2.5334647402490695E-3</v>
      </c>
      <c r="F461" s="135">
        <v>12508.05</v>
      </c>
      <c r="G461" s="67">
        <f t="shared" si="42"/>
        <v>-5.4325014690538298E-3</v>
      </c>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row>
    <row r="462" spans="1:37">
      <c r="A462" s="134">
        <v>44953</v>
      </c>
      <c r="B462" s="135">
        <v>1049.95</v>
      </c>
      <c r="C462" s="133">
        <f t="shared" si="43"/>
        <v>1.0538979788258018E-2</v>
      </c>
      <c r="D462" s="133">
        <v>17604.349999999999</v>
      </c>
      <c r="E462" s="133">
        <f t="shared" si="44"/>
        <v>-1.6074268036742945E-2</v>
      </c>
      <c r="F462" s="135">
        <v>12440.1</v>
      </c>
      <c r="G462" s="67">
        <f t="shared" si="42"/>
        <v>1.2359225408155927E-2</v>
      </c>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row>
    <row r="463" spans="1:37">
      <c r="A463" s="134">
        <v>44951</v>
      </c>
      <c r="B463" s="135">
        <v>1039</v>
      </c>
      <c r="C463" s="133">
        <f t="shared" si="43"/>
        <v>-2.1380804370349504E-2</v>
      </c>
      <c r="D463" s="133">
        <v>17891.95</v>
      </c>
      <c r="E463" s="133">
        <f t="shared" si="44"/>
        <v>-1.2492893924926696E-2</v>
      </c>
      <c r="F463" s="135">
        <v>12593.85</v>
      </c>
      <c r="G463" s="67">
        <f t="shared" si="42"/>
        <v>9.8937179655149698E-3</v>
      </c>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row>
    <row r="464" spans="1:37">
      <c r="A464" s="134">
        <v>44950</v>
      </c>
      <c r="B464" s="135">
        <v>1061.7</v>
      </c>
      <c r="C464" s="133">
        <f t="shared" si="43"/>
        <v>-1.9271445358401973E-3</v>
      </c>
      <c r="D464" s="133">
        <v>18118.3</v>
      </c>
      <c r="E464" s="133">
        <f t="shared" si="44"/>
        <v>-1.3798013637988937E-5</v>
      </c>
      <c r="F464" s="135">
        <v>12718.45</v>
      </c>
      <c r="G464" s="67">
        <f t="shared" si="42"/>
        <v>-8.8061045174530062E-3</v>
      </c>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row>
    <row r="465" spans="1:37">
      <c r="A465" s="134">
        <v>44949</v>
      </c>
      <c r="B465" s="135">
        <v>1063.75</v>
      </c>
      <c r="C465" s="133">
        <f t="shared" si="43"/>
        <v>8.2938388625592996E-3</v>
      </c>
      <c r="D465" s="133">
        <v>18118.55</v>
      </c>
      <c r="E465" s="133">
        <f t="shared" si="44"/>
        <v>5.0422545367809768E-3</v>
      </c>
      <c r="F465" s="135">
        <v>12606.45</v>
      </c>
      <c r="G465" s="67">
        <f t="shared" si="42"/>
        <v>7.3454461803281745E-3</v>
      </c>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row>
    <row r="466" spans="1:37">
      <c r="A466" s="134">
        <v>44946</v>
      </c>
      <c r="B466" s="135">
        <v>1055</v>
      </c>
      <c r="C466" s="133">
        <f t="shared" si="43"/>
        <v>-7.9458366636889766E-3</v>
      </c>
      <c r="D466" s="133">
        <v>18027.650000000001</v>
      </c>
      <c r="E466" s="133">
        <f t="shared" si="44"/>
        <v>-4.4290183539181793E-3</v>
      </c>
      <c r="F466" s="135">
        <v>12699.05</v>
      </c>
      <c r="G466" s="67">
        <f t="shared" si="42"/>
        <v>2.7915473992150552E-3</v>
      </c>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row>
    <row r="467" spans="1:37">
      <c r="A467" s="134">
        <v>44945</v>
      </c>
      <c r="B467" s="135">
        <v>1063.45</v>
      </c>
      <c r="C467" s="133">
        <f t="shared" si="43"/>
        <v>-1.4553990610328693E-3</v>
      </c>
      <c r="D467" s="133">
        <v>18107.849999999999</v>
      </c>
      <c r="E467" s="133">
        <f t="shared" si="44"/>
        <v>-3.1653670311885262E-3</v>
      </c>
      <c r="F467" s="135">
        <v>12734.5</v>
      </c>
      <c r="G467" s="67">
        <f t="shared" si="42"/>
        <v>-6.7925713612627669E-3</v>
      </c>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row>
    <row r="468" spans="1:37">
      <c r="A468" s="134">
        <v>44944</v>
      </c>
      <c r="B468" s="135">
        <v>1065</v>
      </c>
      <c r="C468" s="133">
        <f t="shared" si="43"/>
        <v>-3.6486107213024033E-3</v>
      </c>
      <c r="D468" s="133">
        <v>18165.349999999999</v>
      </c>
      <c r="E468" s="133">
        <f t="shared" si="44"/>
        <v>6.2066215041016726E-3</v>
      </c>
      <c r="F468" s="135">
        <v>12648</v>
      </c>
      <c r="G468" s="67">
        <f t="shared" si="42"/>
        <v>9.0132827324485021E-4</v>
      </c>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row>
    <row r="469" spans="1:37">
      <c r="A469" s="134">
        <v>44943</v>
      </c>
      <c r="B469" s="135">
        <v>1068.9000000000001</v>
      </c>
      <c r="C469" s="133">
        <f t="shared" si="43"/>
        <v>7.9207920792079278E-3</v>
      </c>
      <c r="D469" s="133">
        <v>18053.3</v>
      </c>
      <c r="E469" s="133">
        <f t="shared" si="44"/>
        <v>8.8545028318203212E-3</v>
      </c>
      <c r="F469" s="135">
        <v>12659.4</v>
      </c>
      <c r="G469" s="67">
        <f t="shared" si="42"/>
        <v>7.4253124160694739E-4</v>
      </c>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row>
    <row r="470" spans="1:37">
      <c r="A470" s="134">
        <v>44942</v>
      </c>
      <c r="B470" s="135">
        <v>1060.5</v>
      </c>
      <c r="C470" s="133">
        <f t="shared" si="43"/>
        <v>-7.8121345371192641E-3</v>
      </c>
      <c r="D470" s="133">
        <v>17894.849999999999</v>
      </c>
      <c r="E470" s="133">
        <f t="shared" si="44"/>
        <v>-3.4388469977613134E-3</v>
      </c>
      <c r="F470" s="135">
        <v>12668.8</v>
      </c>
      <c r="G470" s="67">
        <f t="shared" si="42"/>
        <v>2.0917529679231883E-4</v>
      </c>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row>
    <row r="471" spans="1:37">
      <c r="A471" s="134">
        <v>44939</v>
      </c>
      <c r="B471" s="135">
        <v>1068.8499999999999</v>
      </c>
      <c r="C471" s="133">
        <f t="shared" si="43"/>
        <v>7.3512087083549282E-3</v>
      </c>
      <c r="D471" s="133">
        <v>17956.599999999999</v>
      </c>
      <c r="E471" s="133">
        <f t="shared" si="44"/>
        <v>5.5100738036306662E-3</v>
      </c>
      <c r="F471" s="135">
        <v>12671.45</v>
      </c>
      <c r="G471" s="67">
        <f t="shared" si="42"/>
        <v>8.5230971988203841E-4</v>
      </c>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row>
    <row r="472" spans="1:37">
      <c r="A472" s="134">
        <v>44938</v>
      </c>
      <c r="B472" s="135">
        <v>1061.05</v>
      </c>
      <c r="C472" s="133">
        <f t="shared" si="43"/>
        <v>1.1872973488460836E-2</v>
      </c>
      <c r="D472" s="133">
        <v>17858.2</v>
      </c>
      <c r="E472" s="133">
        <f t="shared" si="44"/>
        <v>-2.0954754494096894E-3</v>
      </c>
      <c r="F472" s="135">
        <v>12682.25</v>
      </c>
      <c r="G472" s="67">
        <f t="shared" si="42"/>
        <v>6.6510280115910092E-3</v>
      </c>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row>
    <row r="473" spans="1:37">
      <c r="A473" s="134">
        <v>44937</v>
      </c>
      <c r="B473" s="135">
        <v>1048.5999999999999</v>
      </c>
      <c r="C473" s="133">
        <f t="shared" si="43"/>
        <v>-2.7272727272727337E-2</v>
      </c>
      <c r="D473" s="133">
        <v>17895.7</v>
      </c>
      <c r="E473" s="133">
        <f t="shared" si="44"/>
        <v>-1.0299121085846075E-3</v>
      </c>
      <c r="F473" s="135">
        <v>12766.6</v>
      </c>
      <c r="G473" s="67">
        <f t="shared" si="42"/>
        <v>3.1331756301589131E-4</v>
      </c>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row>
    <row r="474" spans="1:37">
      <c r="A474" s="134">
        <v>44936</v>
      </c>
      <c r="B474" s="135">
        <v>1078</v>
      </c>
      <c r="C474" s="133">
        <f t="shared" si="43"/>
        <v>-9.464302122576429E-3</v>
      </c>
      <c r="D474" s="133">
        <v>17914.150000000001</v>
      </c>
      <c r="E474" s="133">
        <f t="shared" si="44"/>
        <v>-1.0333569045146151E-2</v>
      </c>
      <c r="F474" s="135">
        <v>12770.6</v>
      </c>
      <c r="G474" s="67">
        <f t="shared" si="42"/>
        <v>-9.0559566504314626E-3</v>
      </c>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row>
    <row r="475" spans="1:37">
      <c r="A475" s="134">
        <v>44935</v>
      </c>
      <c r="B475" s="135">
        <v>1088.3</v>
      </c>
      <c r="C475" s="133">
        <f t="shared" si="43"/>
        <v>9.6015585138455872E-3</v>
      </c>
      <c r="D475" s="133">
        <v>18101.2</v>
      </c>
      <c r="E475" s="133">
        <f t="shared" si="44"/>
        <v>1.3536251116355702E-2</v>
      </c>
      <c r="F475" s="135">
        <v>12654.95</v>
      </c>
      <c r="G475" s="67">
        <f t="shared" si="42"/>
        <v>7.7637604257623227E-3</v>
      </c>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row>
    <row r="476" spans="1:37">
      <c r="A476" s="134">
        <v>44932</v>
      </c>
      <c r="B476" s="135">
        <v>1077.95</v>
      </c>
      <c r="C476" s="133">
        <f t="shared" si="43"/>
        <v>-1.1055045871559588E-2</v>
      </c>
      <c r="D476" s="133">
        <v>17859.45</v>
      </c>
      <c r="E476" s="133">
        <f t="shared" si="44"/>
        <v>-7.3754387330030591E-3</v>
      </c>
      <c r="F476" s="135">
        <v>12753.2</v>
      </c>
      <c r="G476" s="67">
        <f t="shared" si="42"/>
        <v>-1.0228805319449252E-2</v>
      </c>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row>
    <row r="477" spans="1:37">
      <c r="A477" s="134">
        <v>44931</v>
      </c>
      <c r="B477" s="135">
        <v>1090</v>
      </c>
      <c r="C477" s="133">
        <f t="shared" si="43"/>
        <v>2.3474178403755763E-2</v>
      </c>
      <c r="D477" s="133">
        <v>17992.150000000001</v>
      </c>
      <c r="E477" s="133">
        <f t="shared" si="44"/>
        <v>-2.8155041165662809E-3</v>
      </c>
      <c r="F477" s="135">
        <v>12622.75</v>
      </c>
      <c r="G477" s="67">
        <f t="shared" si="42"/>
        <v>1.5052187518567184E-3</v>
      </c>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row>
    <row r="478" spans="1:37">
      <c r="A478" s="134">
        <v>44930</v>
      </c>
      <c r="B478" s="135">
        <v>1065</v>
      </c>
      <c r="C478" s="133">
        <f t="shared" si="43"/>
        <v>-1.1050236790788426E-2</v>
      </c>
      <c r="D478" s="133">
        <v>18042.95</v>
      </c>
      <c r="E478" s="133">
        <f t="shared" si="44"/>
        <v>-1.0398984234240349E-2</v>
      </c>
      <c r="F478" s="135">
        <v>12641.75</v>
      </c>
      <c r="G478" s="67">
        <f t="shared" si="42"/>
        <v>-7.146953546779522E-3</v>
      </c>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row>
    <row r="479" spans="1:37">
      <c r="A479" s="134">
        <v>44929</v>
      </c>
      <c r="B479" s="135">
        <v>1076.9000000000001</v>
      </c>
      <c r="C479" s="133">
        <f t="shared" si="43"/>
        <v>2.233597021870759E-3</v>
      </c>
      <c r="D479" s="133">
        <v>18232.55</v>
      </c>
      <c r="E479" s="133">
        <f t="shared" si="44"/>
        <v>1.9288416783669327E-3</v>
      </c>
      <c r="F479" s="135">
        <v>12551.4</v>
      </c>
      <c r="G479" s="67">
        <f t="shared" si="42"/>
        <v>3.6808642860557406E-3</v>
      </c>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row>
    <row r="480" spans="1:37">
      <c r="A480" s="134">
        <v>44928</v>
      </c>
      <c r="B480" s="135">
        <v>1074.5</v>
      </c>
      <c r="C480" s="133">
        <f t="shared" si="43"/>
        <v>-2.3212627669452202E-3</v>
      </c>
      <c r="D480" s="133">
        <v>18197.45</v>
      </c>
      <c r="E480" s="133">
        <f t="shared" si="44"/>
        <v>5.0896698756719427E-3</v>
      </c>
      <c r="F480" s="135">
        <v>12597.6</v>
      </c>
      <c r="G480" s="67">
        <f t="shared" si="42"/>
        <v>2.9132533180922238E-3</v>
      </c>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row>
    <row r="481" spans="1:37">
      <c r="A481" s="134">
        <v>44925</v>
      </c>
      <c r="B481" s="135">
        <v>1077</v>
      </c>
      <c r="C481" s="133">
        <f t="shared" si="43"/>
        <v>-8.2872928176795924E-3</v>
      </c>
      <c r="D481" s="133">
        <v>18105.3</v>
      </c>
      <c r="E481" s="133">
        <f t="shared" si="44"/>
        <v>-4.7111208839536456E-3</v>
      </c>
      <c r="F481" s="135">
        <v>12634.3</v>
      </c>
      <c r="G481" s="67">
        <f t="shared" si="42"/>
        <v>-8.0336860767904472E-4</v>
      </c>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row>
    <row r="482" spans="1:37">
      <c r="A482" s="134">
        <v>44924</v>
      </c>
      <c r="B482" s="135">
        <v>1086</v>
      </c>
      <c r="C482" s="133">
        <f t="shared" si="43"/>
        <v>0</v>
      </c>
      <c r="D482" s="133">
        <v>18191</v>
      </c>
      <c r="E482" s="133">
        <f t="shared" si="44"/>
        <v>3.7798317009243299E-3</v>
      </c>
      <c r="F482" s="135">
        <v>12624.15</v>
      </c>
      <c r="G482" s="67">
        <f t="shared" si="42"/>
        <v>5.5924557296926913E-3</v>
      </c>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row>
    <row r="483" spans="1:37">
      <c r="A483" s="134">
        <v>44923</v>
      </c>
      <c r="B483" s="135">
        <v>1086</v>
      </c>
      <c r="C483" s="133">
        <f t="shared" si="43"/>
        <v>-1.0883920032788374E-2</v>
      </c>
      <c r="D483" s="133">
        <v>18122.5</v>
      </c>
      <c r="E483" s="133">
        <f t="shared" si="44"/>
        <v>-5.4047197542506087E-4</v>
      </c>
      <c r="F483" s="135">
        <v>12694.75</v>
      </c>
      <c r="G483" s="67">
        <f t="shared" si="42"/>
        <v>-1.3903385257685308E-3</v>
      </c>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row>
    <row r="484" spans="1:37">
      <c r="A484" s="134">
        <v>44922</v>
      </c>
      <c r="B484" s="135">
        <v>1097.95</v>
      </c>
      <c r="C484" s="133">
        <f t="shared" si="43"/>
        <v>0</v>
      </c>
      <c r="D484" s="133">
        <v>18132.3</v>
      </c>
      <c r="E484" s="133">
        <f t="shared" si="44"/>
        <v>6.5335894219133994E-3</v>
      </c>
      <c r="F484" s="135">
        <v>12677.1</v>
      </c>
      <c r="G484" s="67">
        <f t="shared" si="42"/>
        <v>8.4680250214954622E-3</v>
      </c>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row>
    <row r="485" spans="1:37">
      <c r="A485" s="134">
        <v>44921</v>
      </c>
      <c r="B485" s="135">
        <v>1097.95</v>
      </c>
      <c r="C485" s="133">
        <f t="shared" si="43"/>
        <v>-2.4217916814788465E-2</v>
      </c>
      <c r="D485" s="133">
        <v>18014.599999999999</v>
      </c>
      <c r="E485" s="133">
        <f t="shared" si="44"/>
        <v>1.1669699216029894E-2</v>
      </c>
      <c r="F485" s="135">
        <v>12784.45</v>
      </c>
      <c r="G485" s="67">
        <f t="shared" si="42"/>
        <v>8.4712287192643121E-3</v>
      </c>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row>
    <row r="486" spans="1:37">
      <c r="A486" s="134">
        <v>44918</v>
      </c>
      <c r="B486" s="135">
        <v>1125.2</v>
      </c>
      <c r="C486" s="133">
        <f t="shared" si="43"/>
        <v>2.8520499108735109E-3</v>
      </c>
      <c r="D486" s="133">
        <v>17806.8</v>
      </c>
      <c r="E486" s="133">
        <f t="shared" si="44"/>
        <v>-1.7683224519855267E-2</v>
      </c>
      <c r="F486" s="135">
        <v>12892.75</v>
      </c>
      <c r="G486" s="67">
        <f t="shared" si="42"/>
        <v>2.144616160244972E-3</v>
      </c>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row>
    <row r="487" spans="1:37">
      <c r="A487" s="134">
        <v>44917</v>
      </c>
      <c r="B487" s="135">
        <v>1122</v>
      </c>
      <c r="C487" s="133">
        <f t="shared" si="43"/>
        <v>-6.6401062416998613E-3</v>
      </c>
      <c r="D487" s="133">
        <v>18127.349999999999</v>
      </c>
      <c r="E487" s="133">
        <f t="shared" si="44"/>
        <v>-3.9425026512299732E-3</v>
      </c>
      <c r="F487" s="135">
        <v>12920.4</v>
      </c>
      <c r="G487" s="67">
        <f t="shared" si="42"/>
        <v>-2.3370019504040052E-2</v>
      </c>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row>
    <row r="488" spans="1:37">
      <c r="A488" s="134">
        <v>44916</v>
      </c>
      <c r="B488" s="135">
        <v>1129.5</v>
      </c>
      <c r="C488" s="133">
        <f t="shared" si="43"/>
        <v>3.2496914849855951E-2</v>
      </c>
      <c r="D488" s="133">
        <v>18199.099999999999</v>
      </c>
      <c r="E488" s="133">
        <f t="shared" si="44"/>
        <v>-1.0127656334136592E-2</v>
      </c>
      <c r="F488" s="135">
        <v>12618.45</v>
      </c>
      <c r="G488" s="67">
        <f t="shared" si="42"/>
        <v>2.218973011740788E-3</v>
      </c>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row>
    <row r="489" spans="1:37">
      <c r="A489" s="134">
        <v>44915</v>
      </c>
      <c r="B489" s="135">
        <v>1093.95</v>
      </c>
      <c r="C489" s="133">
        <f t="shared" si="43"/>
        <v>-2.734855736359898E-3</v>
      </c>
      <c r="D489" s="133">
        <v>18385.3</v>
      </c>
      <c r="E489" s="133">
        <f t="shared" si="44"/>
        <v>-1.9082052827157359E-3</v>
      </c>
      <c r="F489" s="135">
        <v>12646.45</v>
      </c>
      <c r="G489" s="67">
        <f t="shared" si="42"/>
        <v>-8.105041335710883E-4</v>
      </c>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row>
    <row r="490" spans="1:37">
      <c r="A490" s="134">
        <v>44914</v>
      </c>
      <c r="B490" s="135">
        <v>1096.95</v>
      </c>
      <c r="C490" s="133">
        <f t="shared" si="43"/>
        <v>6.0531022148853086E-3</v>
      </c>
      <c r="D490" s="133">
        <v>18420.45</v>
      </c>
      <c r="E490" s="133">
        <f t="shared" si="44"/>
        <v>8.2899994526246523E-3</v>
      </c>
      <c r="F490" s="135">
        <v>12636.2</v>
      </c>
      <c r="G490" s="67">
        <f t="shared" si="42"/>
        <v>1.4236875009892236E-2</v>
      </c>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row>
    <row r="491" spans="1:37">
      <c r="A491" s="134">
        <v>44911</v>
      </c>
      <c r="B491" s="135">
        <v>1090.3499999999999</v>
      </c>
      <c r="C491" s="133">
        <f t="shared" si="43"/>
        <v>-1.0706346686022883E-2</v>
      </c>
      <c r="D491" s="133">
        <v>18269</v>
      </c>
      <c r="E491" s="133">
        <f t="shared" si="44"/>
        <v>-7.9229319735649728E-3</v>
      </c>
      <c r="F491" s="135">
        <v>12816.1</v>
      </c>
      <c r="G491" s="67">
        <f t="shared" si="42"/>
        <v>5.2668128369783851E-3</v>
      </c>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row>
    <row r="492" spans="1:37">
      <c r="A492" s="134">
        <v>44910</v>
      </c>
      <c r="B492" s="135">
        <v>1102.1500000000001</v>
      </c>
      <c r="C492" s="133">
        <f t="shared" si="43"/>
        <v>-8.1443484521237508E-3</v>
      </c>
      <c r="D492" s="133">
        <v>18414.900000000001</v>
      </c>
      <c r="E492" s="133">
        <f t="shared" si="44"/>
        <v>-1.3150913972444056E-2</v>
      </c>
      <c r="F492" s="135">
        <v>12883.6</v>
      </c>
      <c r="G492" s="67">
        <f t="shared" si="42"/>
        <v>-6.6635101990126788E-3</v>
      </c>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row>
    <row r="493" spans="1:37">
      <c r="A493" s="134">
        <v>44909</v>
      </c>
      <c r="B493" s="135">
        <v>1111.2</v>
      </c>
      <c r="C493" s="133">
        <f t="shared" si="43"/>
        <v>-2.6990553306338594E-4</v>
      </c>
      <c r="D493" s="133">
        <v>18660.3</v>
      </c>
      <c r="E493" s="133">
        <f t="shared" si="44"/>
        <v>2.8106190885639482E-3</v>
      </c>
      <c r="F493" s="135">
        <v>12797.75</v>
      </c>
      <c r="G493" s="67">
        <f t="shared" si="42"/>
        <v>-3.1021077923854001E-3</v>
      </c>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row>
    <row r="494" spans="1:37">
      <c r="A494" s="134">
        <v>44908</v>
      </c>
      <c r="B494" s="135">
        <v>1111.5</v>
      </c>
      <c r="C494" s="133">
        <f t="shared" si="43"/>
        <v>1.4003557907220632E-2</v>
      </c>
      <c r="D494" s="133">
        <v>18608</v>
      </c>
      <c r="E494" s="133">
        <f t="shared" si="44"/>
        <v>5.9928151093546767E-3</v>
      </c>
      <c r="F494" s="135">
        <v>12758.05</v>
      </c>
      <c r="G494" s="67">
        <f t="shared" si="42"/>
        <v>1.3050583749085742E-3</v>
      </c>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row>
    <row r="495" spans="1:37">
      <c r="A495" s="134">
        <v>44907</v>
      </c>
      <c r="B495" s="135">
        <v>1096.1500000000001</v>
      </c>
      <c r="C495" s="133">
        <f t="shared" si="43"/>
        <v>-7.5599818922588158E-3</v>
      </c>
      <c r="D495" s="133">
        <v>18497.150000000001</v>
      </c>
      <c r="E495" s="133">
        <f t="shared" si="44"/>
        <v>2.9735194576385737E-5</v>
      </c>
      <c r="F495" s="135">
        <v>12774.7</v>
      </c>
      <c r="G495" s="67">
        <f t="shared" si="42"/>
        <v>-3.6008673393503887E-3</v>
      </c>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row>
    <row r="496" spans="1:37">
      <c r="A496" s="134">
        <v>44904</v>
      </c>
      <c r="B496" s="135">
        <v>1104.5</v>
      </c>
      <c r="C496" s="133">
        <f t="shared" si="43"/>
        <v>-3.2038265421234779E-3</v>
      </c>
      <c r="D496" s="133">
        <v>18496.599999999999</v>
      </c>
      <c r="E496" s="133">
        <f t="shared" si="44"/>
        <v>-6.058782278800745E-3</v>
      </c>
      <c r="F496" s="135">
        <v>12728.7</v>
      </c>
      <c r="G496" s="67">
        <f t="shared" si="42"/>
        <v>1.1085185447060386E-2</v>
      </c>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row>
    <row r="497" spans="1:37">
      <c r="A497" s="134">
        <v>44903</v>
      </c>
      <c r="B497" s="135">
        <v>1108.05</v>
      </c>
      <c r="C497" s="133">
        <f t="shared" si="43"/>
        <v>9.4850948509472843E-4</v>
      </c>
      <c r="D497" s="133">
        <v>18609.349999999999</v>
      </c>
      <c r="E497" s="133">
        <f t="shared" si="44"/>
        <v>2.6319334069664357E-3</v>
      </c>
      <c r="F497" s="135">
        <v>12869.8</v>
      </c>
      <c r="G497" s="67">
        <f t="shared" si="42"/>
        <v>6.6473449470854096E-3</v>
      </c>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row>
    <row r="498" spans="1:37">
      <c r="A498" s="134">
        <v>44902</v>
      </c>
      <c r="B498" s="135">
        <v>1107</v>
      </c>
      <c r="C498" s="133">
        <f t="shared" si="43"/>
        <v>-2.6128480043248192E-3</v>
      </c>
      <c r="D498" s="133">
        <v>18560.5</v>
      </c>
      <c r="E498" s="133">
        <f t="shared" si="44"/>
        <v>-4.4119027503989328E-3</v>
      </c>
      <c r="F498" s="135">
        <v>12955.35</v>
      </c>
      <c r="G498" s="67">
        <f t="shared" si="42"/>
        <v>7.5297078041116627E-3</v>
      </c>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row>
    <row r="499" spans="1:37">
      <c r="A499" s="134">
        <v>44901</v>
      </c>
      <c r="B499" s="135">
        <v>1109.9000000000001</v>
      </c>
      <c r="C499" s="133">
        <f t="shared" si="43"/>
        <v>-5.4659498207884072E-3</v>
      </c>
      <c r="D499" s="133">
        <v>18642.75</v>
      </c>
      <c r="E499" s="133">
        <f t="shared" si="44"/>
        <v>-3.1174720136034617E-3</v>
      </c>
      <c r="F499" s="135">
        <v>13052.9</v>
      </c>
      <c r="G499" s="67">
        <f t="shared" si="42"/>
        <v>2.6086157099189933E-3</v>
      </c>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row>
    <row r="500" spans="1:37">
      <c r="A500" s="134">
        <v>44900</v>
      </c>
      <c r="B500" s="135">
        <v>1116</v>
      </c>
      <c r="C500" s="133">
        <f t="shared" si="43"/>
        <v>-3.5714285714285587E-3</v>
      </c>
      <c r="D500" s="133">
        <v>18701.05</v>
      </c>
      <c r="E500" s="133">
        <f t="shared" si="44"/>
        <v>2.6476109990847263E-4</v>
      </c>
      <c r="F500" s="135">
        <v>13086.95</v>
      </c>
      <c r="G500" s="67">
        <f t="shared" si="42"/>
        <v>2.5750843397429612E-3</v>
      </c>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row>
    <row r="501" spans="1:37">
      <c r="A501" s="134">
        <v>44897</v>
      </c>
      <c r="B501" s="135">
        <v>1120</v>
      </c>
      <c r="C501" s="133">
        <f t="shared" si="43"/>
        <v>-3.6030425692806789E-3</v>
      </c>
      <c r="D501" s="133">
        <v>18696.099999999999</v>
      </c>
      <c r="E501" s="133">
        <f t="shared" si="44"/>
        <v>-6.18737541528247E-3</v>
      </c>
      <c r="F501" s="135">
        <v>13120.65</v>
      </c>
      <c r="G501" s="67">
        <f t="shared" si="42"/>
        <v>1.7948805889953512E-3</v>
      </c>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row>
    <row r="502" spans="1:37">
      <c r="A502" s="134">
        <v>44896</v>
      </c>
      <c r="B502" s="135">
        <v>1124.05</v>
      </c>
      <c r="C502" s="133">
        <f t="shared" si="43"/>
        <v>-1.6493131507568592E-2</v>
      </c>
      <c r="D502" s="133">
        <v>18812.5</v>
      </c>
      <c r="E502" s="133">
        <f t="shared" si="44"/>
        <v>2.8867144498316843E-3</v>
      </c>
      <c r="F502" s="135">
        <v>13144.2</v>
      </c>
      <c r="G502" s="67">
        <f t="shared" si="42"/>
        <v>-4.3251015657096437E-3</v>
      </c>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row>
    <row r="503" spans="1:37">
      <c r="A503" s="134">
        <v>44895</v>
      </c>
      <c r="B503" s="135">
        <v>1142.9000000000001</v>
      </c>
      <c r="C503" s="133">
        <f t="shared" si="43"/>
        <v>1.8536672310845992E-2</v>
      </c>
      <c r="D503" s="133">
        <v>18758.349999999999</v>
      </c>
      <c r="E503" s="133">
        <f t="shared" si="44"/>
        <v>7.5356978845797506E-3</v>
      </c>
      <c r="F503" s="135">
        <v>13087.35</v>
      </c>
      <c r="G503" s="67">
        <f t="shared" si="42"/>
        <v>-7.1366625023400188E-3</v>
      </c>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row>
    <row r="504" spans="1:37">
      <c r="A504" s="134">
        <v>44894</v>
      </c>
      <c r="B504" s="135">
        <v>1122.0999999999999</v>
      </c>
      <c r="C504" s="133">
        <f t="shared" si="43"/>
        <v>1.9164396003632955E-2</v>
      </c>
      <c r="D504" s="133">
        <v>18618.05</v>
      </c>
      <c r="E504" s="133">
        <f t="shared" si="44"/>
        <v>2.9790844567749719E-3</v>
      </c>
      <c r="F504" s="135">
        <v>12993.95</v>
      </c>
      <c r="G504" s="67">
        <f t="shared" si="42"/>
        <v>-1.9624517563943122E-3</v>
      </c>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row>
    <row r="505" spans="1:37">
      <c r="A505" s="134">
        <v>44893</v>
      </c>
      <c r="B505" s="135">
        <v>1101</v>
      </c>
      <c r="C505" s="133">
        <f t="shared" si="43"/>
        <v>-3.4395365677045708E-3</v>
      </c>
      <c r="D505" s="133">
        <v>18562.75</v>
      </c>
      <c r="E505" s="133">
        <f t="shared" si="44"/>
        <v>2.7008413120686026E-3</v>
      </c>
      <c r="F505" s="135">
        <v>12968.45</v>
      </c>
      <c r="G505" s="67">
        <f t="shared" si="42"/>
        <v>-6.1919504643963563E-3</v>
      </c>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row>
    <row r="506" spans="1:37">
      <c r="A506" s="134">
        <v>44890</v>
      </c>
      <c r="B506" s="135">
        <v>1104.8</v>
      </c>
      <c r="C506" s="133">
        <f t="shared" si="43"/>
        <v>7.018503326952974E-3</v>
      </c>
      <c r="D506" s="133">
        <v>18512.75</v>
      </c>
      <c r="E506" s="133">
        <f t="shared" si="44"/>
        <v>1.5499807943044619E-3</v>
      </c>
      <c r="F506" s="135">
        <v>12888.15</v>
      </c>
      <c r="G506" s="67">
        <f t="shared" si="42"/>
        <v>-8.6901533579286649E-4</v>
      </c>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row>
    <row r="507" spans="1:37">
      <c r="A507" s="134">
        <v>44889</v>
      </c>
      <c r="B507" s="135">
        <v>1097.0999999999999</v>
      </c>
      <c r="C507" s="133">
        <f t="shared" si="43"/>
        <v>-1.166614116481246E-2</v>
      </c>
      <c r="D507" s="133">
        <v>18484.099999999999</v>
      </c>
      <c r="E507" s="133">
        <f t="shared" si="44"/>
        <v>1.1870971273727493E-2</v>
      </c>
      <c r="F507" s="135">
        <v>12876.95</v>
      </c>
      <c r="G507" s="67">
        <f t="shared" si="42"/>
        <v>-3.1529205285413253E-3</v>
      </c>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row>
    <row r="508" spans="1:37">
      <c r="A508" s="134">
        <v>44888</v>
      </c>
      <c r="B508" s="135">
        <v>1110.05</v>
      </c>
      <c r="C508" s="133">
        <f t="shared" si="43"/>
        <v>5.5256125730331895E-3</v>
      </c>
      <c r="D508" s="133">
        <v>18267.25</v>
      </c>
      <c r="E508" s="133">
        <f t="shared" si="44"/>
        <v>1.2634152223720552E-3</v>
      </c>
      <c r="F508" s="135">
        <v>12836.35</v>
      </c>
      <c r="G508" s="67">
        <f t="shared" si="42"/>
        <v>-3.2524822087275362E-3</v>
      </c>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row>
    <row r="509" spans="1:37">
      <c r="A509" s="134">
        <v>44887</v>
      </c>
      <c r="B509" s="135">
        <v>1103.95</v>
      </c>
      <c r="C509" s="133">
        <f t="shared" si="43"/>
        <v>-1.8535262206147429E-3</v>
      </c>
      <c r="D509" s="133">
        <v>18244.2</v>
      </c>
      <c r="E509" s="133">
        <f t="shared" si="44"/>
        <v>4.6393299541023225E-3</v>
      </c>
      <c r="F509" s="135">
        <v>12794.6</v>
      </c>
      <c r="G509" s="67">
        <f t="shared" si="42"/>
        <v>5.2209525893736064E-3</v>
      </c>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row>
    <row r="510" spans="1:37">
      <c r="A510" s="134">
        <v>44886</v>
      </c>
      <c r="B510" s="135">
        <v>1106</v>
      </c>
      <c r="C510" s="133">
        <f t="shared" si="43"/>
        <v>1.8569681597897514E-3</v>
      </c>
      <c r="D510" s="133">
        <v>18159.95</v>
      </c>
      <c r="E510" s="133">
        <f t="shared" si="44"/>
        <v>-8.0676657025888776E-3</v>
      </c>
      <c r="F510" s="135">
        <v>12861.4</v>
      </c>
      <c r="G510" s="67">
        <f t="shared" si="42"/>
        <v>6.7527640847808712E-3</v>
      </c>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row>
    <row r="511" spans="1:37">
      <c r="A511" s="134">
        <v>44883</v>
      </c>
      <c r="B511" s="135">
        <v>1103.95</v>
      </c>
      <c r="C511" s="133">
        <f t="shared" si="43"/>
        <v>-1.4330357142857131E-2</v>
      </c>
      <c r="D511" s="133">
        <v>18307.650000000001</v>
      </c>
      <c r="E511" s="133">
        <f t="shared" si="44"/>
        <v>-1.9761337556354341E-3</v>
      </c>
      <c r="F511" s="135">
        <v>12948.25</v>
      </c>
      <c r="G511" s="67">
        <f t="shared" si="42"/>
        <v>3.8808333172435372E-3</v>
      </c>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row>
    <row r="512" spans="1:37">
      <c r="A512" s="134">
        <v>44882</v>
      </c>
      <c r="B512" s="135">
        <v>1120</v>
      </c>
      <c r="C512" s="133">
        <f t="shared" si="43"/>
        <v>-2.1827252884315529E-3</v>
      </c>
      <c r="D512" s="133">
        <v>18343.900000000001</v>
      </c>
      <c r="E512" s="133">
        <f t="shared" si="44"/>
        <v>-3.5714964706010655E-3</v>
      </c>
      <c r="F512" s="135">
        <v>12998.5</v>
      </c>
      <c r="G512" s="67">
        <f t="shared" si="42"/>
        <v>2.9541870215794575E-3</v>
      </c>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row>
    <row r="513" spans="1:37">
      <c r="A513" s="134">
        <v>44881</v>
      </c>
      <c r="B513" s="135">
        <v>1122.45</v>
      </c>
      <c r="C513" s="133">
        <f t="shared" si="43"/>
        <v>-3.5623636282666737E-4</v>
      </c>
      <c r="D513" s="133">
        <v>18409.650000000001</v>
      </c>
      <c r="E513" s="133">
        <f t="shared" si="44"/>
        <v>3.3961115880765114E-4</v>
      </c>
      <c r="F513" s="135">
        <v>13036.9</v>
      </c>
      <c r="G513" s="67">
        <f t="shared" si="42"/>
        <v>-1.3078262470371804E-3</v>
      </c>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row>
    <row r="514" spans="1:37">
      <c r="A514" s="134">
        <v>44880</v>
      </c>
      <c r="B514" s="135">
        <v>1122.8499999999999</v>
      </c>
      <c r="C514" s="133">
        <f t="shared" si="43"/>
        <v>-5.4472984942427471E-3</v>
      </c>
      <c r="D514" s="133">
        <v>18403.400000000001</v>
      </c>
      <c r="E514" s="133">
        <f t="shared" si="44"/>
        <v>4.0509243472828249E-3</v>
      </c>
      <c r="F514" s="135">
        <v>13019.85</v>
      </c>
      <c r="G514" s="67">
        <f t="shared" si="42"/>
        <v>-3.2258436157106551E-4</v>
      </c>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row>
    <row r="515" spans="1:37">
      <c r="A515" s="134">
        <v>44879</v>
      </c>
      <c r="B515" s="135">
        <v>1129</v>
      </c>
      <c r="C515" s="133">
        <f t="shared" si="43"/>
        <v>5.7906458797327698E-3</v>
      </c>
      <c r="D515" s="133">
        <v>18329.150000000001</v>
      </c>
      <c r="E515" s="133">
        <f t="shared" si="44"/>
        <v>-1.1199093173185348E-3</v>
      </c>
      <c r="F515" s="135">
        <v>13015.65</v>
      </c>
      <c r="G515" s="67">
        <f t="shared" si="42"/>
        <v>-2.5008355326087139E-3</v>
      </c>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row>
    <row r="516" spans="1:37">
      <c r="A516" s="134">
        <v>44876</v>
      </c>
      <c r="B516" s="135">
        <v>1122.5</v>
      </c>
      <c r="C516" s="133">
        <f t="shared" si="43"/>
        <v>-2.2222222222222365E-3</v>
      </c>
      <c r="D516" s="133">
        <v>18349.7</v>
      </c>
      <c r="E516" s="133">
        <f>D516/D517-1</f>
        <v>1.7833172474234882E-2</v>
      </c>
      <c r="F516" s="135">
        <v>12983.1</v>
      </c>
      <c r="G516" s="67">
        <f>M517/F516-1</f>
        <v>-1</v>
      </c>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row>
    <row r="517" spans="1:37">
      <c r="A517" s="134">
        <v>44875</v>
      </c>
      <c r="B517" s="135">
        <v>1125</v>
      </c>
      <c r="C517" s="133"/>
      <c r="D517" s="133">
        <v>18028.2</v>
      </c>
      <c r="E517" s="133"/>
      <c r="F517" s="133"/>
      <c r="G517" s="133"/>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row>
  </sheetData>
  <sortState xmlns:xlrd2="http://schemas.microsoft.com/office/spreadsheetml/2017/richdata2" ref="A9:B517">
    <sortCondition descending="1" ref="A9:A517"/>
  </sortState>
  <mergeCells count="8">
    <mergeCell ref="I17:J17"/>
    <mergeCell ref="I24:K25"/>
    <mergeCell ref="B7:C7"/>
    <mergeCell ref="D7:E7"/>
    <mergeCell ref="F7:G7"/>
    <mergeCell ref="AP3:AZ4"/>
    <mergeCell ref="O3:S3"/>
    <mergeCell ref="O4:R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E1356-A7E8-4E72-BF23-816498F26D46}">
  <dimension ref="A1:AX517"/>
  <sheetViews>
    <sheetView workbookViewId="0">
      <selection activeCell="L17" sqref="L17"/>
    </sheetView>
  </sheetViews>
  <sheetFormatPr defaultRowHeight="15"/>
  <cols>
    <col min="1" max="1" width="12.5703125" customWidth="1"/>
    <col min="9" max="9" width="17" customWidth="1"/>
    <col min="10" max="10" width="16.5703125" customWidth="1"/>
    <col min="11" max="12" width="21" customWidth="1"/>
    <col min="16" max="16" width="9.85546875" bestFit="1" customWidth="1"/>
    <col min="17" max="17" width="8.85546875" bestFit="1" customWidth="1"/>
    <col min="20" max="20" width="11" bestFit="1" customWidth="1"/>
    <col min="23" max="23" width="10.28515625" bestFit="1" customWidth="1"/>
    <col min="27" max="27" width="10.7109375" bestFit="1" customWidth="1"/>
    <col min="35" max="35" width="13.42578125" customWidth="1"/>
    <col min="40" max="40" width="14.85546875" customWidth="1"/>
    <col min="41" max="41" width="10.5703125" bestFit="1" customWidth="1"/>
    <col min="46" max="46" width="23" bestFit="1" customWidth="1"/>
    <col min="47" max="47" width="12.140625" bestFit="1" customWidth="1"/>
  </cols>
  <sheetData>
    <row r="1" spans="1:50">
      <c r="A1" s="1"/>
      <c r="B1" s="1"/>
      <c r="C1" s="1"/>
      <c r="D1" s="1"/>
      <c r="E1" s="1"/>
      <c r="F1" s="1"/>
      <c r="G1" s="1"/>
    </row>
    <row r="2" spans="1:50">
      <c r="A2" s="5" t="s">
        <v>139</v>
      </c>
      <c r="B2" s="5"/>
      <c r="C2" s="1"/>
      <c r="D2" s="1"/>
      <c r="E2" s="1"/>
      <c r="F2" s="1"/>
      <c r="G2" s="1"/>
      <c r="I2" s="1" t="s">
        <v>50</v>
      </c>
      <c r="J2" s="1"/>
      <c r="K2" s="1"/>
      <c r="L2" s="1"/>
      <c r="M2" s="1"/>
      <c r="N2" s="1"/>
      <c r="O2" s="1" t="s">
        <v>51</v>
      </c>
      <c r="P2" s="1"/>
      <c r="Q2" s="1"/>
      <c r="R2" s="1"/>
      <c r="S2" s="1"/>
      <c r="T2" s="1"/>
      <c r="U2" s="1"/>
    </row>
    <row r="3" spans="1:50">
      <c r="A3" s="5" t="s">
        <v>57</v>
      </c>
      <c r="B3" s="5"/>
      <c r="C3" s="5"/>
      <c r="D3" s="1"/>
      <c r="E3" s="1"/>
      <c r="F3" s="1"/>
      <c r="G3" s="1"/>
      <c r="I3" s="5" t="s">
        <v>53</v>
      </c>
      <c r="J3" s="1"/>
      <c r="K3" s="1"/>
      <c r="L3" s="1"/>
      <c r="M3" s="1"/>
      <c r="N3" s="1"/>
      <c r="O3" s="1" t="s">
        <v>54</v>
      </c>
      <c r="P3" s="1"/>
      <c r="Q3" s="1"/>
      <c r="R3" s="1"/>
      <c r="S3" s="1"/>
      <c r="T3" s="1"/>
      <c r="U3" s="1"/>
    </row>
    <row r="4" spans="1:50">
      <c r="A4" s="5" t="s">
        <v>61</v>
      </c>
      <c r="B4" s="1"/>
      <c r="C4" s="1"/>
      <c r="D4" s="1"/>
      <c r="E4" s="1"/>
      <c r="F4" s="1"/>
      <c r="G4" s="1"/>
      <c r="I4" s="1" t="s">
        <v>58</v>
      </c>
      <c r="J4" s="1"/>
      <c r="K4" s="1"/>
      <c r="L4" s="1"/>
      <c r="M4" s="1"/>
      <c r="N4" s="1"/>
      <c r="O4" s="5" t="s">
        <v>59</v>
      </c>
      <c r="P4" s="5"/>
      <c r="Q4" s="5"/>
      <c r="R4" s="5"/>
      <c r="S4" s="5"/>
      <c r="T4" s="1"/>
      <c r="U4" s="1"/>
    </row>
    <row r="5" spans="1:50">
      <c r="A5" s="5" t="s">
        <v>67</v>
      </c>
      <c r="B5" s="5"/>
      <c r="C5" s="5"/>
      <c r="D5" s="1"/>
      <c r="E5" s="1"/>
      <c r="F5" s="1"/>
      <c r="G5" s="1"/>
      <c r="I5" s="1"/>
      <c r="J5" s="1"/>
      <c r="K5" s="1"/>
      <c r="L5" s="1"/>
      <c r="M5" s="1"/>
      <c r="N5" s="1"/>
      <c r="O5" s="1" t="s">
        <v>62</v>
      </c>
      <c r="P5" s="1"/>
      <c r="Q5" s="1"/>
      <c r="R5" s="1"/>
      <c r="S5" s="1"/>
      <c r="T5" s="1"/>
      <c r="U5" s="1"/>
      <c r="W5" s="1" t="s">
        <v>63</v>
      </c>
      <c r="X5" s="1"/>
      <c r="Y5" s="1"/>
      <c r="Z5" s="1"/>
      <c r="AA5" s="1" t="s">
        <v>64</v>
      </c>
      <c r="AB5" s="1"/>
      <c r="AC5" s="1"/>
      <c r="AD5" s="1"/>
      <c r="AE5" s="1" t="s">
        <v>65</v>
      </c>
      <c r="AF5" s="1"/>
      <c r="AG5" s="1"/>
      <c r="AH5" s="1"/>
      <c r="AI5" s="1" t="s">
        <v>66</v>
      </c>
      <c r="AJ5" s="1"/>
      <c r="AK5" s="1"/>
    </row>
    <row r="6" spans="1:50">
      <c r="A6" s="1"/>
      <c r="B6" s="1"/>
      <c r="C6" s="1"/>
      <c r="D6" s="1"/>
      <c r="E6" s="1"/>
      <c r="F6" s="1"/>
      <c r="G6" s="1"/>
      <c r="I6" s="1"/>
      <c r="J6" s="1"/>
      <c r="K6" s="1"/>
      <c r="L6" s="1"/>
      <c r="M6" s="1"/>
      <c r="N6" s="1"/>
      <c r="O6" s="1"/>
      <c r="P6" s="1"/>
      <c r="Q6" s="1"/>
      <c r="R6" s="1"/>
      <c r="S6" s="1"/>
      <c r="T6" s="1"/>
      <c r="U6" s="1"/>
      <c r="W6" s="1"/>
      <c r="X6" s="1"/>
      <c r="Y6" s="1"/>
      <c r="Z6" s="1"/>
      <c r="AA6" s="1"/>
      <c r="AB6" s="1"/>
      <c r="AC6" s="1"/>
      <c r="AD6" s="1"/>
      <c r="AE6" s="1"/>
      <c r="AF6" s="1"/>
      <c r="AG6" s="1"/>
      <c r="AH6" s="1"/>
      <c r="AI6" s="1"/>
      <c r="AJ6" s="1"/>
      <c r="AK6" s="1"/>
      <c r="AN6" t="s">
        <v>56</v>
      </c>
    </row>
    <row r="7" spans="1:50">
      <c r="A7" s="155"/>
      <c r="B7" s="207" t="s">
        <v>140</v>
      </c>
      <c r="C7" s="207"/>
      <c r="D7" s="207" t="s">
        <v>70</v>
      </c>
      <c r="E7" s="207"/>
      <c r="F7" s="196" t="s">
        <v>71</v>
      </c>
      <c r="G7" s="196"/>
      <c r="I7" s="1"/>
      <c r="J7" s="1"/>
      <c r="K7" s="1"/>
      <c r="L7" s="1"/>
      <c r="M7" s="1"/>
      <c r="N7" s="1"/>
      <c r="O7" s="5"/>
      <c r="P7" s="1"/>
      <c r="Q7" s="1"/>
      <c r="R7" s="1"/>
      <c r="S7" s="1"/>
      <c r="T7" s="1"/>
      <c r="U7" s="1"/>
      <c r="W7" s="1"/>
      <c r="X7" s="1"/>
      <c r="Y7" s="1"/>
      <c r="Z7" s="1"/>
      <c r="AA7" s="1"/>
      <c r="AB7" s="1"/>
      <c r="AC7" s="1"/>
      <c r="AD7" s="1"/>
      <c r="AE7" s="1"/>
      <c r="AF7" s="1"/>
      <c r="AG7" s="1"/>
      <c r="AH7" s="1"/>
      <c r="AI7" s="1"/>
      <c r="AJ7" s="1"/>
      <c r="AK7" s="1"/>
      <c r="AN7" s="201" t="s">
        <v>141</v>
      </c>
      <c r="AO7" s="202"/>
      <c r="AP7" s="202"/>
      <c r="AQ7" s="202"/>
      <c r="AR7" s="202"/>
      <c r="AS7" s="202"/>
      <c r="AT7" s="202"/>
      <c r="AU7" s="202"/>
      <c r="AV7" s="202"/>
      <c r="AW7" s="202"/>
      <c r="AX7" s="202"/>
    </row>
    <row r="8" spans="1:50" ht="30">
      <c r="A8" s="133" t="s">
        <v>80</v>
      </c>
      <c r="B8" s="133" t="s">
        <v>91</v>
      </c>
      <c r="C8" s="133" t="s">
        <v>84</v>
      </c>
      <c r="D8" s="133" t="s">
        <v>91</v>
      </c>
      <c r="E8" s="133" t="s">
        <v>84</v>
      </c>
      <c r="F8" s="57" t="s">
        <v>91</v>
      </c>
      <c r="G8" s="155" t="str">
        <f>E8</f>
        <v>RETURNS</v>
      </c>
      <c r="I8" s="27" t="s">
        <v>72</v>
      </c>
      <c r="J8" s="27" t="s">
        <v>45</v>
      </c>
      <c r="K8" s="27" t="s">
        <v>73</v>
      </c>
      <c r="L8" s="5"/>
      <c r="M8" s="5"/>
      <c r="N8" s="5"/>
      <c r="O8" s="27" t="s">
        <v>74</v>
      </c>
      <c r="P8" s="27" t="s">
        <v>75</v>
      </c>
      <c r="Q8" s="27" t="s">
        <v>142</v>
      </c>
      <c r="R8" s="27" t="s">
        <v>77</v>
      </c>
      <c r="S8" s="27" t="s">
        <v>78</v>
      </c>
      <c r="T8" s="27" t="s">
        <v>79</v>
      </c>
      <c r="U8" s="5"/>
      <c r="W8" s="5" t="s">
        <v>80</v>
      </c>
      <c r="X8" s="5" t="s">
        <v>91</v>
      </c>
      <c r="Y8" s="5" t="s">
        <v>82</v>
      </c>
      <c r="Z8" s="5"/>
      <c r="AA8" s="5" t="s">
        <v>80</v>
      </c>
      <c r="AB8" s="5" t="s">
        <v>91</v>
      </c>
      <c r="AC8" s="5" t="s">
        <v>82</v>
      </c>
      <c r="AD8" s="5"/>
      <c r="AE8" s="5" t="s">
        <v>80</v>
      </c>
      <c r="AF8" s="5" t="s">
        <v>91</v>
      </c>
      <c r="AG8" s="5" t="s">
        <v>82</v>
      </c>
      <c r="AH8" s="5"/>
      <c r="AI8" s="5" t="s">
        <v>80</v>
      </c>
      <c r="AJ8" s="5" t="s">
        <v>83</v>
      </c>
      <c r="AK8" s="5" t="s">
        <v>84</v>
      </c>
      <c r="AN8" s="202"/>
      <c r="AO8" s="202"/>
      <c r="AP8" s="202"/>
      <c r="AQ8" s="202"/>
      <c r="AR8" s="202"/>
      <c r="AS8" s="202"/>
      <c r="AT8" s="202"/>
      <c r="AU8" s="202"/>
      <c r="AV8" s="202"/>
      <c r="AW8" s="202"/>
      <c r="AX8" s="202"/>
    </row>
    <row r="9" spans="1:50">
      <c r="A9" s="134">
        <v>45623</v>
      </c>
      <c r="B9" s="133">
        <v>950.95</v>
      </c>
      <c r="C9" s="133">
        <f t="shared" ref="C9:C72" si="0">B9/B10-1</f>
        <v>-2.1511017838404811E-3</v>
      </c>
      <c r="D9" s="133">
        <v>24274.9</v>
      </c>
      <c r="E9" s="133">
        <f t="shared" ref="E9:E72" si="1">D9/D10-1</f>
        <v>3.3230692926078387E-3</v>
      </c>
      <c r="F9" s="135">
        <v>21828.6</v>
      </c>
      <c r="G9" s="67">
        <f t="shared" ref="G9:G72" si="2">F10/F9-1</f>
        <v>6.0997956808956921E-3</v>
      </c>
      <c r="I9" s="28" t="s">
        <v>92</v>
      </c>
      <c r="J9" s="28">
        <f>_xlfn.STDEV.S(C9:C516)</f>
        <v>1.5595722659363109E-2</v>
      </c>
      <c r="K9" s="28">
        <f>_xlfn.STDEV.S(E9:E516)</f>
        <v>7.5563839934265874E-3</v>
      </c>
      <c r="L9" s="1"/>
      <c r="M9" s="1"/>
      <c r="N9" s="1"/>
      <c r="O9" s="28" t="s">
        <v>93</v>
      </c>
      <c r="P9" s="29">
        <v>45243</v>
      </c>
      <c r="Q9" s="133">
        <v>-4.9731290607203382E-3</v>
      </c>
      <c r="R9" s="133">
        <v>4.7990000000000003E-3</v>
      </c>
      <c r="S9" s="28">
        <f t="shared" ref="S9:S19" si="3">$J$14+($J$13*R9)</f>
        <v>3.981275051813905E-3</v>
      </c>
      <c r="T9" s="123">
        <f t="shared" ref="T9:T19" si="4">Q9-S9</f>
        <v>-8.9544041125342432E-3</v>
      </c>
      <c r="U9" s="1"/>
      <c r="W9" s="2">
        <v>45623</v>
      </c>
      <c r="X9" s="3">
        <f>B9</f>
        <v>950.95</v>
      </c>
      <c r="Y9" s="119">
        <f>X9/X10-1</f>
        <v>-2.1511017838404811E-3</v>
      </c>
      <c r="Z9" s="1"/>
      <c r="AA9" s="2">
        <v>45433</v>
      </c>
      <c r="AB9" s="3">
        <f>B139</f>
        <v>1088.3499999999999</v>
      </c>
      <c r="AC9" s="119">
        <f>AB9/AB10-1</f>
        <v>-1.4131074776937536E-2</v>
      </c>
      <c r="AD9" s="1"/>
      <c r="AE9" s="2">
        <v>45342</v>
      </c>
      <c r="AF9" s="3">
        <f>B198</f>
        <v>895.75</v>
      </c>
      <c r="AG9" s="1">
        <f>AF9/AF10-1</f>
        <v>-1.3002038455181442E-2</v>
      </c>
      <c r="AH9" s="1"/>
      <c r="AI9" s="2">
        <v>45280</v>
      </c>
      <c r="AJ9" s="3">
        <f>B240</f>
        <v>663.75</v>
      </c>
      <c r="AK9" s="1">
        <f>AJ9/AJ10-1</f>
        <v>-2.4757566852776969E-2</v>
      </c>
    </row>
    <row r="10" spans="1:50" ht="30">
      <c r="A10" s="134">
        <v>45622</v>
      </c>
      <c r="B10" s="133">
        <v>953</v>
      </c>
      <c r="C10" s="133">
        <f t="shared" si="0"/>
        <v>-1.1769585731321586E-2</v>
      </c>
      <c r="D10" s="133">
        <v>24194.5</v>
      </c>
      <c r="E10" s="133">
        <f t="shared" si="1"/>
        <v>-1.1312077087264338E-3</v>
      </c>
      <c r="F10" s="135">
        <v>21961.75</v>
      </c>
      <c r="G10" s="67">
        <f t="shared" si="2"/>
        <v>9.8034081983449095E-3</v>
      </c>
      <c r="I10" s="28" t="s">
        <v>96</v>
      </c>
      <c r="J10" s="28">
        <f>J9*SQRT(252)</f>
        <v>0.24757442203805813</v>
      </c>
      <c r="K10" s="28">
        <f>K9*SQRT(252)</f>
        <v>0.11995387714509528</v>
      </c>
      <c r="L10" s="23"/>
      <c r="M10" s="1"/>
      <c r="N10" s="1"/>
      <c r="O10" s="28" t="s">
        <v>97</v>
      </c>
      <c r="P10" s="29">
        <v>45244</v>
      </c>
      <c r="Q10" s="133">
        <v>9.0286174929454788E-4</v>
      </c>
      <c r="R10" s="133">
        <v>5.3499999999999997E-3</v>
      </c>
      <c r="S10" s="28">
        <f t="shared" si="3"/>
        <v>4.2846256856076464E-3</v>
      </c>
      <c r="T10" s="123">
        <f t="shared" si="4"/>
        <v>-3.3817639363130985E-3</v>
      </c>
      <c r="U10" s="1"/>
      <c r="W10" s="2">
        <v>45622</v>
      </c>
      <c r="X10" s="3">
        <f t="shared" ref="X10:X73" si="5">B10</f>
        <v>953</v>
      </c>
      <c r="Y10" s="119">
        <f t="shared" ref="Y10:Y73" si="6">X10/X11-1</f>
        <v>-1.1769585731321586E-2</v>
      </c>
      <c r="Z10" s="1"/>
      <c r="AA10" s="2">
        <v>45430</v>
      </c>
      <c r="AB10" s="3">
        <f t="shared" ref="AB10:AB73" si="7">B140</f>
        <v>1103.95</v>
      </c>
      <c r="AC10" s="119">
        <f>AB10/AB11-1</f>
        <v>4.9980977743960375E-2</v>
      </c>
      <c r="AD10" s="1"/>
      <c r="AE10" s="2">
        <v>45341</v>
      </c>
      <c r="AF10" s="3">
        <f>B199</f>
        <v>907.55</v>
      </c>
      <c r="AG10" s="1">
        <f>AF10/AF11-1</f>
        <v>3.253882473405767E-2</v>
      </c>
      <c r="AH10" s="1"/>
      <c r="AI10" s="2">
        <v>45279</v>
      </c>
      <c r="AJ10" s="3">
        <f t="shared" ref="AJ10:AJ30" si="8">B242</f>
        <v>680.6</v>
      </c>
      <c r="AK10" s="1">
        <f>AJ10/AJ11-1</f>
        <v>5.3723486607833992E-2</v>
      </c>
      <c r="AN10" s="4"/>
      <c r="AO10" s="4"/>
      <c r="AT10" t="s">
        <v>68</v>
      </c>
    </row>
    <row r="11" spans="1:50">
      <c r="A11" s="134">
        <v>45621</v>
      </c>
      <c r="B11" s="133">
        <v>964.35</v>
      </c>
      <c r="C11" s="133">
        <f t="shared" si="0"/>
        <v>1.6121384542437278E-2</v>
      </c>
      <c r="D11" s="133">
        <v>24221.9</v>
      </c>
      <c r="E11" s="133">
        <f t="shared" si="1"/>
        <v>1.3161279528176584E-2</v>
      </c>
      <c r="F11" s="135">
        <v>22177.05</v>
      </c>
      <c r="G11" s="67">
        <f t="shared" si="2"/>
        <v>-9.694706915482465E-3</v>
      </c>
      <c r="I11" s="23"/>
      <c r="J11" s="23"/>
      <c r="K11" s="23"/>
      <c r="L11" s="1"/>
      <c r="M11" s="1"/>
      <c r="N11" s="1"/>
      <c r="O11" s="28" t="s">
        <v>100</v>
      </c>
      <c r="P11" s="29">
        <v>45245</v>
      </c>
      <c r="Q11" s="133">
        <v>5.4767159034163626E-4</v>
      </c>
      <c r="R11" s="133">
        <v>-3.6999999999999999E-4</v>
      </c>
      <c r="S11" s="28">
        <f t="shared" si="3"/>
        <v>1.1355047685473892E-3</v>
      </c>
      <c r="T11" s="123">
        <f t="shared" si="4"/>
        <v>-5.8783317820575295E-4</v>
      </c>
      <c r="U11" s="1"/>
      <c r="W11" s="2">
        <v>45621</v>
      </c>
      <c r="X11" s="3">
        <f t="shared" si="5"/>
        <v>964.35</v>
      </c>
      <c r="Y11" s="119">
        <f t="shared" si="6"/>
        <v>1.6121384542437278E-2</v>
      </c>
      <c r="Z11" s="1"/>
      <c r="AA11" s="2">
        <v>45429</v>
      </c>
      <c r="AB11" s="3">
        <f t="shared" si="7"/>
        <v>1051.4000000000001</v>
      </c>
      <c r="AC11" s="1">
        <f t="shared" ref="AC11:AC73" si="9">AB11/AB12-1</f>
        <v>4.2021803766105092E-2</v>
      </c>
      <c r="AD11" s="1"/>
      <c r="AE11" s="2">
        <v>45338</v>
      </c>
      <c r="AF11" s="3">
        <f t="shared" ref="AF11:AF42" si="10">B201</f>
        <v>878.95</v>
      </c>
      <c r="AG11" s="1">
        <f t="shared" ref="AG11:AG71" si="11">AF11/AF12-1</f>
        <v>1.2848582622724258E-2</v>
      </c>
      <c r="AH11" s="1"/>
      <c r="AI11" s="2">
        <v>45278</v>
      </c>
      <c r="AJ11" s="3">
        <f t="shared" si="8"/>
        <v>645.9</v>
      </c>
      <c r="AK11" s="1">
        <f t="shared" ref="AK11:AK29" si="12">AJ11/AJ12-1</f>
        <v>3.2618825722274813E-3</v>
      </c>
      <c r="AN11" s="4" t="s">
        <v>85</v>
      </c>
      <c r="AO11" s="4" t="s">
        <v>86</v>
      </c>
      <c r="AP11" s="4"/>
      <c r="AQ11" s="4"/>
      <c r="AR11" s="4"/>
      <c r="AS11" s="4"/>
      <c r="AT11" s="4" t="s">
        <v>68</v>
      </c>
      <c r="AU11" s="4" t="s">
        <v>88</v>
      </c>
      <c r="AV11" s="4" t="s">
        <v>143</v>
      </c>
      <c r="AW11" s="4" t="s">
        <v>144</v>
      </c>
      <c r="AX11" s="4"/>
    </row>
    <row r="12" spans="1:50">
      <c r="A12" s="134">
        <v>45618</v>
      </c>
      <c r="B12" s="133">
        <v>949.05</v>
      </c>
      <c r="C12" s="133">
        <f t="shared" si="0"/>
        <v>5.296329643557085E-3</v>
      </c>
      <c r="D12" s="133">
        <v>23907.25</v>
      </c>
      <c r="E12" s="133">
        <f t="shared" si="1"/>
        <v>2.3869481239748191E-2</v>
      </c>
      <c r="F12" s="135">
        <v>21962.05</v>
      </c>
      <c r="G12" s="67">
        <f t="shared" si="2"/>
        <v>-1.0106069333236212E-2</v>
      </c>
      <c r="I12" s="23"/>
      <c r="J12" s="23"/>
      <c r="K12" s="23"/>
      <c r="L12" s="1"/>
      <c r="M12" s="1"/>
      <c r="N12" s="1"/>
      <c r="O12" s="28" t="s">
        <v>103</v>
      </c>
      <c r="P12" s="29">
        <v>45246</v>
      </c>
      <c r="Q12" s="133">
        <v>1.7226112855188047E-2</v>
      </c>
      <c r="R12" s="133">
        <v>-5.0000000000000001E-4</v>
      </c>
      <c r="S12" s="28">
        <f t="shared" si="3"/>
        <v>1.0639338386142015E-3</v>
      </c>
      <c r="T12" s="123">
        <f t="shared" si="4"/>
        <v>1.6162179016573845E-2</v>
      </c>
      <c r="U12" s="1"/>
      <c r="W12" s="2">
        <v>45618</v>
      </c>
      <c r="X12" s="3">
        <f t="shared" si="5"/>
        <v>949.05</v>
      </c>
      <c r="Y12" s="119">
        <f t="shared" si="6"/>
        <v>5.296329643557085E-3</v>
      </c>
      <c r="Z12" s="1"/>
      <c r="AA12" s="2">
        <v>45428</v>
      </c>
      <c r="AB12" s="3">
        <f t="shared" si="7"/>
        <v>1009</v>
      </c>
      <c r="AC12" s="1">
        <f t="shared" si="9"/>
        <v>1.1985356802567626E-2</v>
      </c>
      <c r="AD12" s="1"/>
      <c r="AE12" s="2">
        <v>45337</v>
      </c>
      <c r="AF12" s="3">
        <f t="shared" si="10"/>
        <v>867.8</v>
      </c>
      <c r="AG12" s="1">
        <f t="shared" si="11"/>
        <v>1.1657729074376233E-2</v>
      </c>
      <c r="AH12" s="1"/>
      <c r="AI12" s="2">
        <v>45275</v>
      </c>
      <c r="AJ12" s="3">
        <f t="shared" si="8"/>
        <v>643.79999999999995</v>
      </c>
      <c r="AK12" s="1">
        <f t="shared" si="12"/>
        <v>2.1793275217931729E-3</v>
      </c>
      <c r="AN12" s="4" t="s">
        <v>94</v>
      </c>
      <c r="AO12" s="85">
        <v>19547.400000000001</v>
      </c>
      <c r="AT12" s="4" t="s">
        <v>95</v>
      </c>
      <c r="AU12" s="32">
        <v>0</v>
      </c>
      <c r="AV12" s="16">
        <v>0.27500000000000002</v>
      </c>
      <c r="AW12" s="32">
        <v>1.5</v>
      </c>
    </row>
    <row r="13" spans="1:50">
      <c r="A13" s="134">
        <v>45617</v>
      </c>
      <c r="B13" s="133">
        <v>944.05</v>
      </c>
      <c r="C13" s="133">
        <f t="shared" si="0"/>
        <v>-3.7463064584213335E-3</v>
      </c>
      <c r="D13" s="133">
        <v>23349.9</v>
      </c>
      <c r="E13" s="133">
        <f t="shared" si="1"/>
        <v>-7.1688245423814356E-3</v>
      </c>
      <c r="F13" s="135">
        <v>21740.1</v>
      </c>
      <c r="G13" s="67">
        <f t="shared" si="2"/>
        <v>1.3224410191305935E-3</v>
      </c>
      <c r="I13" s="28" t="s">
        <v>106</v>
      </c>
      <c r="J13" s="28">
        <f>SLOPE(C10:C517,E10:E517)</f>
        <v>0.55054561487067433</v>
      </c>
      <c r="K13" s="23"/>
      <c r="L13" s="1"/>
      <c r="M13" s="1"/>
      <c r="N13" s="1"/>
      <c r="O13" s="28" t="s">
        <v>107</v>
      </c>
      <c r="P13" s="29">
        <v>45247</v>
      </c>
      <c r="Q13" s="133">
        <v>7.4384743214368498E-3</v>
      </c>
      <c r="R13" s="133">
        <v>1.438E-3</v>
      </c>
      <c r="S13" s="28">
        <f t="shared" si="3"/>
        <v>2.1308912402335685E-3</v>
      </c>
      <c r="T13" s="123">
        <f t="shared" si="4"/>
        <v>5.3075830812032813E-3</v>
      </c>
      <c r="U13" s="1"/>
      <c r="W13" s="2">
        <v>45617</v>
      </c>
      <c r="X13" s="3">
        <f t="shared" si="5"/>
        <v>944.05</v>
      </c>
      <c r="Y13" s="119">
        <f t="shared" si="6"/>
        <v>-3.7463064584213335E-3</v>
      </c>
      <c r="Z13" s="1"/>
      <c r="AA13" s="2">
        <v>45427</v>
      </c>
      <c r="AB13" s="3">
        <f t="shared" si="7"/>
        <v>997.05</v>
      </c>
      <c r="AC13" s="1">
        <f t="shared" si="9"/>
        <v>1.3622731662684906E-2</v>
      </c>
      <c r="AD13" s="1"/>
      <c r="AE13" s="2">
        <v>45336</v>
      </c>
      <c r="AF13" s="3">
        <f t="shared" si="10"/>
        <v>857.8</v>
      </c>
      <c r="AG13" s="1">
        <f t="shared" si="11"/>
        <v>1.3424385688436402E-3</v>
      </c>
      <c r="AH13" s="1"/>
      <c r="AI13" s="2">
        <v>45274</v>
      </c>
      <c r="AJ13" s="3">
        <f t="shared" si="8"/>
        <v>642.4</v>
      </c>
      <c r="AK13" s="1">
        <f t="shared" si="12"/>
        <v>1.1016682404784373E-2</v>
      </c>
      <c r="AN13" s="4" t="s">
        <v>98</v>
      </c>
      <c r="AO13" s="87">
        <v>0.24</v>
      </c>
      <c r="AT13" s="4" t="s">
        <v>99</v>
      </c>
      <c r="AU13" t="s">
        <v>145</v>
      </c>
      <c r="AV13" t="s">
        <v>146</v>
      </c>
      <c r="AW13" t="s">
        <v>147</v>
      </c>
    </row>
    <row r="14" spans="1:50">
      <c r="A14" s="134">
        <v>45615</v>
      </c>
      <c r="B14" s="133">
        <v>947.6</v>
      </c>
      <c r="C14" s="133">
        <f t="shared" si="0"/>
        <v>3.0697575950036082E-3</v>
      </c>
      <c r="D14" s="133">
        <v>23518.5</v>
      </c>
      <c r="E14" s="133">
        <f t="shared" si="1"/>
        <v>2.758614808687776E-3</v>
      </c>
      <c r="F14" s="135">
        <v>21768.85</v>
      </c>
      <c r="G14" s="67">
        <f t="shared" si="2"/>
        <v>-1.0322088672575558E-2</v>
      </c>
      <c r="I14" s="28" t="s">
        <v>110</v>
      </c>
      <c r="J14" s="28">
        <f>INTERCEPT(C10:C517,E10:E517)</f>
        <v>1.3392066460495386E-3</v>
      </c>
      <c r="K14" s="23"/>
      <c r="L14" s="1"/>
      <c r="M14" s="1"/>
      <c r="N14" s="1"/>
      <c r="O14" s="27" t="s">
        <v>111</v>
      </c>
      <c r="P14" s="30">
        <v>45250</v>
      </c>
      <c r="Q14" s="133">
        <v>-8.6403267614476587E-4</v>
      </c>
      <c r="R14" s="133">
        <v>4.5389999999999996E-3</v>
      </c>
      <c r="S14" s="28">
        <f t="shared" si="3"/>
        <v>3.8381331919475296E-3</v>
      </c>
      <c r="T14" s="123">
        <f t="shared" si="4"/>
        <v>-4.7021658680922954E-3</v>
      </c>
      <c r="U14" s="1"/>
      <c r="W14" s="2">
        <v>45615</v>
      </c>
      <c r="X14" s="3">
        <f t="shared" si="5"/>
        <v>947.6</v>
      </c>
      <c r="Y14" s="119">
        <f t="shared" si="6"/>
        <v>3.0697575950036082E-3</v>
      </c>
      <c r="Z14" s="1"/>
      <c r="AA14" s="2">
        <v>45426</v>
      </c>
      <c r="AB14" s="3">
        <f t="shared" si="7"/>
        <v>983.65</v>
      </c>
      <c r="AC14" s="1">
        <f t="shared" si="9"/>
        <v>-8.9168765743072864E-3</v>
      </c>
      <c r="AD14" s="1"/>
      <c r="AE14" s="2">
        <v>45335</v>
      </c>
      <c r="AF14" s="3">
        <f t="shared" si="10"/>
        <v>856.65</v>
      </c>
      <c r="AG14" s="1">
        <f t="shared" si="11"/>
        <v>6.409539780137874E-2</v>
      </c>
      <c r="AH14" s="1"/>
      <c r="AI14" s="2">
        <v>45273</v>
      </c>
      <c r="AJ14" s="3">
        <f t="shared" si="8"/>
        <v>635.4</v>
      </c>
      <c r="AK14" s="1">
        <f t="shared" si="12"/>
        <v>2.8409090909089496E-3</v>
      </c>
      <c r="AN14" s="4" t="s">
        <v>101</v>
      </c>
      <c r="AO14" s="85">
        <v>4691.38</v>
      </c>
      <c r="AT14" s="4" t="s">
        <v>102</v>
      </c>
      <c r="AU14" t="s">
        <v>148</v>
      </c>
      <c r="AV14" t="s">
        <v>149</v>
      </c>
      <c r="AW14" t="s">
        <v>150</v>
      </c>
    </row>
    <row r="15" spans="1:50">
      <c r="A15" s="134">
        <v>45614</v>
      </c>
      <c r="B15" s="133">
        <v>944.7</v>
      </c>
      <c r="C15" s="133">
        <f t="shared" si="0"/>
        <v>-1.3265092960100255E-2</v>
      </c>
      <c r="D15" s="133">
        <v>23453.8</v>
      </c>
      <c r="E15" s="133">
        <f t="shared" si="1"/>
        <v>-3.3527814487925856E-3</v>
      </c>
      <c r="F15" s="135">
        <v>21544.15</v>
      </c>
      <c r="G15" s="67">
        <f t="shared" si="2"/>
        <v>9.6476305632851034E-3</v>
      </c>
      <c r="I15" s="1"/>
      <c r="J15" s="1"/>
      <c r="K15" s="1"/>
      <c r="L15" s="1"/>
      <c r="M15" s="1"/>
      <c r="N15" s="1"/>
      <c r="O15" s="28" t="s">
        <v>114</v>
      </c>
      <c r="P15" s="29">
        <v>45251</v>
      </c>
      <c r="Q15" s="133">
        <v>4.7955974842766036E-3</v>
      </c>
      <c r="R15" s="133">
        <v>-1.92E-3</v>
      </c>
      <c r="S15" s="28">
        <f t="shared" si="3"/>
        <v>2.8215906549784384E-4</v>
      </c>
      <c r="T15" s="123">
        <f t="shared" si="4"/>
        <v>4.5134384187787598E-3</v>
      </c>
      <c r="U15" s="1"/>
      <c r="W15" s="2">
        <v>45614</v>
      </c>
      <c r="X15" s="3">
        <f t="shared" si="5"/>
        <v>944.7</v>
      </c>
      <c r="Y15" s="119">
        <f t="shared" si="6"/>
        <v>-1.3265092960100255E-2</v>
      </c>
      <c r="Z15" s="1"/>
      <c r="AA15" s="2">
        <v>45425</v>
      </c>
      <c r="AB15" s="3">
        <f t="shared" si="7"/>
        <v>992.5</v>
      </c>
      <c r="AC15" s="1">
        <f t="shared" si="9"/>
        <v>1.0538105177416934E-2</v>
      </c>
      <c r="AD15" s="1"/>
      <c r="AE15" s="2">
        <v>45334</v>
      </c>
      <c r="AF15" s="3">
        <f t="shared" si="10"/>
        <v>805.05</v>
      </c>
      <c r="AG15" s="1">
        <f t="shared" si="11"/>
        <v>3.7404151860855883E-3</v>
      </c>
      <c r="AH15" s="1"/>
      <c r="AI15" s="2">
        <v>45272</v>
      </c>
      <c r="AJ15" s="3">
        <f t="shared" si="8"/>
        <v>633.6</v>
      </c>
      <c r="AK15" s="1">
        <f t="shared" si="12"/>
        <v>-7.7519379844960268E-3</v>
      </c>
      <c r="AN15" s="4" t="s">
        <v>104</v>
      </c>
      <c r="AO15" s="87">
        <v>2.5000000000000001E-2</v>
      </c>
      <c r="AT15" s="4" t="s">
        <v>105</v>
      </c>
      <c r="AU15" s="16">
        <v>0.27539999999999998</v>
      </c>
      <c r="AV15" s="16">
        <v>0.27379999999999999</v>
      </c>
      <c r="AW15" s="16">
        <v>0.26640000000000003</v>
      </c>
    </row>
    <row r="16" spans="1:50">
      <c r="A16" s="134">
        <v>45610</v>
      </c>
      <c r="B16" s="133">
        <v>957.4</v>
      </c>
      <c r="C16" s="133">
        <f t="shared" si="0"/>
        <v>-6.5888456549935137E-3</v>
      </c>
      <c r="D16" s="133">
        <v>23532.7</v>
      </c>
      <c r="E16" s="133">
        <f t="shared" si="1"/>
        <v>-1.1184661520731165E-3</v>
      </c>
      <c r="F16" s="135">
        <v>21752</v>
      </c>
      <c r="G16" s="67">
        <f t="shared" si="2"/>
        <v>2.6342405296064797E-3</v>
      </c>
      <c r="I16" s="1"/>
      <c r="J16" s="1"/>
      <c r="K16" s="1"/>
      <c r="L16" s="1"/>
      <c r="M16" s="1"/>
      <c r="N16" s="1"/>
      <c r="O16" s="28" t="s">
        <v>117</v>
      </c>
      <c r="P16" s="29">
        <v>45252</v>
      </c>
      <c r="Q16" s="133">
        <v>4.6944683514591468E-3</v>
      </c>
      <c r="R16" s="133">
        <v>-1.6900000000000001E-3</v>
      </c>
      <c r="S16" s="28">
        <f t="shared" si="3"/>
        <v>4.0878455691809902E-4</v>
      </c>
      <c r="T16" s="123">
        <f t="shared" si="4"/>
        <v>4.2856837945410477E-3</v>
      </c>
      <c r="U16" s="1"/>
      <c r="W16" s="2">
        <v>45610</v>
      </c>
      <c r="X16" s="3">
        <f t="shared" si="5"/>
        <v>957.4</v>
      </c>
      <c r="Y16" s="119">
        <f t="shared" si="6"/>
        <v>-6.5888456549935137E-3</v>
      </c>
      <c r="Z16" s="1"/>
      <c r="AA16" s="2">
        <v>45422</v>
      </c>
      <c r="AB16" s="3">
        <f t="shared" si="7"/>
        <v>982.15</v>
      </c>
      <c r="AC16" s="1">
        <f t="shared" si="9"/>
        <v>1.4408180128072656E-2</v>
      </c>
      <c r="AD16" s="1"/>
      <c r="AE16" s="2">
        <v>45331</v>
      </c>
      <c r="AF16" s="3">
        <f t="shared" si="10"/>
        <v>802.05</v>
      </c>
      <c r="AG16" s="1">
        <f>AF16/AF17-1</f>
        <v>1.3201111672561883E-2</v>
      </c>
      <c r="AH16" s="1"/>
      <c r="AI16" s="2">
        <v>45271</v>
      </c>
      <c r="AJ16" s="3">
        <f t="shared" si="8"/>
        <v>638.54999999999995</v>
      </c>
      <c r="AK16" s="1">
        <f>AJ16/AJ17-1</f>
        <v>-2.9485523216050025E-2</v>
      </c>
      <c r="AN16" s="4" t="s">
        <v>108</v>
      </c>
      <c r="AO16" s="4" t="s">
        <v>151</v>
      </c>
      <c r="AT16" s="4" t="s">
        <v>109</v>
      </c>
      <c r="AU16" t="s">
        <v>152</v>
      </c>
      <c r="AV16" t="s">
        <v>153</v>
      </c>
      <c r="AW16" t="s">
        <v>154</v>
      </c>
    </row>
    <row r="17" spans="1:49">
      <c r="A17" s="134">
        <v>45609</v>
      </c>
      <c r="B17" s="133">
        <v>963.75</v>
      </c>
      <c r="C17" s="133">
        <f t="shared" si="0"/>
        <v>1.4740721242432198E-2</v>
      </c>
      <c r="D17" s="133">
        <v>23559.05</v>
      </c>
      <c r="E17" s="133">
        <f t="shared" si="1"/>
        <v>-1.3582627300494754E-2</v>
      </c>
      <c r="F17" s="135">
        <v>21809.3</v>
      </c>
      <c r="G17" s="67">
        <f t="shared" si="2"/>
        <v>1.5695139229594757E-2</v>
      </c>
      <c r="I17" s="205" t="s">
        <v>121</v>
      </c>
      <c r="J17" s="206"/>
      <c r="K17" s="1"/>
      <c r="L17" s="1"/>
      <c r="M17" s="1"/>
      <c r="N17" s="1"/>
      <c r="O17" s="28" t="s">
        <v>119</v>
      </c>
      <c r="P17" s="29">
        <v>45253</v>
      </c>
      <c r="Q17" s="133">
        <v>-1.6275990966435505E-2</v>
      </c>
      <c r="R17" s="133">
        <v>4.5620000000000001E-3</v>
      </c>
      <c r="S17" s="28">
        <f t="shared" si="3"/>
        <v>3.8507957410895549E-3</v>
      </c>
      <c r="T17" s="123">
        <f t="shared" si="4"/>
        <v>-2.012678670752506E-2</v>
      </c>
      <c r="U17" s="1"/>
      <c r="W17" s="2">
        <v>45609</v>
      </c>
      <c r="X17" s="3">
        <f t="shared" si="5"/>
        <v>963.75</v>
      </c>
      <c r="Y17" s="119">
        <f t="shared" si="6"/>
        <v>1.4740721242432198E-2</v>
      </c>
      <c r="Z17" s="1"/>
      <c r="AA17" s="2">
        <v>45421</v>
      </c>
      <c r="AB17" s="3">
        <f t="shared" si="7"/>
        <v>968.2</v>
      </c>
      <c r="AC17" s="1">
        <f>AB17/AB18-1</f>
        <v>-3.7191726332537756E-2</v>
      </c>
      <c r="AD17" s="1"/>
      <c r="AE17" s="2">
        <v>45330</v>
      </c>
      <c r="AF17" s="3">
        <f t="shared" si="10"/>
        <v>791.6</v>
      </c>
      <c r="AG17" s="1">
        <f t="shared" si="11"/>
        <v>-7.2736393278153288E-3</v>
      </c>
      <c r="AH17" s="1"/>
      <c r="AI17" s="2">
        <v>45268</v>
      </c>
      <c r="AJ17" s="3">
        <f t="shared" si="8"/>
        <v>657.95</v>
      </c>
      <c r="AK17" s="1">
        <f t="shared" si="12"/>
        <v>3.5407978597844059E-2</v>
      </c>
      <c r="AN17" s="4" t="s">
        <v>112</v>
      </c>
      <c r="AO17" s="85">
        <v>5384.3</v>
      </c>
      <c r="AT17" s="4" t="s">
        <v>113</v>
      </c>
      <c r="AU17" s="16">
        <v>0.19750000000000001</v>
      </c>
      <c r="AV17" s="16">
        <v>0.19620000000000001</v>
      </c>
      <c r="AW17" s="16">
        <v>0.19070000000000001</v>
      </c>
    </row>
    <row r="18" spans="1:49">
      <c r="A18" s="134">
        <v>45608</v>
      </c>
      <c r="B18" s="133">
        <v>949.75</v>
      </c>
      <c r="C18" s="133">
        <f t="shared" si="0"/>
        <v>-1.8599845001291637E-2</v>
      </c>
      <c r="D18" s="133">
        <v>23883.45</v>
      </c>
      <c r="E18" s="133">
        <f t="shared" si="1"/>
        <v>-1.0680866399075395E-2</v>
      </c>
      <c r="F18" s="135">
        <v>22151.599999999999</v>
      </c>
      <c r="G18" s="67">
        <f t="shared" si="2"/>
        <v>8.6968887123277661E-3</v>
      </c>
      <c r="I18" s="98" t="s">
        <v>72</v>
      </c>
      <c r="J18" s="98" t="s">
        <v>140</v>
      </c>
      <c r="K18" s="1"/>
      <c r="L18" s="1"/>
      <c r="M18" s="1"/>
      <c r="N18" s="1"/>
      <c r="O18" s="28" t="s">
        <v>122</v>
      </c>
      <c r="P18" s="29">
        <v>45254</v>
      </c>
      <c r="Q18" s="133">
        <v>1.3141228625712431E-2</v>
      </c>
      <c r="R18" s="133">
        <v>1.1927E-2</v>
      </c>
      <c r="S18" s="28">
        <f t="shared" si="3"/>
        <v>7.9055641946120716E-3</v>
      </c>
      <c r="T18" s="123">
        <f t="shared" si="4"/>
        <v>5.2356644311003595E-3</v>
      </c>
      <c r="U18" s="1"/>
      <c r="W18" s="2">
        <v>45608</v>
      </c>
      <c r="X18" s="3">
        <f t="shared" si="5"/>
        <v>949.75</v>
      </c>
      <c r="Y18" s="119">
        <f t="shared" si="6"/>
        <v>-1.8599845001291637E-2</v>
      </c>
      <c r="Z18" s="1"/>
      <c r="AA18" s="2">
        <v>45420</v>
      </c>
      <c r="AB18" s="3">
        <f t="shared" si="7"/>
        <v>1005.6</v>
      </c>
      <c r="AC18" s="1">
        <f t="shared" si="9"/>
        <v>2.5233216088086818E-2</v>
      </c>
      <c r="AD18" s="1"/>
      <c r="AE18" s="2">
        <v>45329</v>
      </c>
      <c r="AF18" s="3">
        <f t="shared" si="10"/>
        <v>797.4</v>
      </c>
      <c r="AG18" s="1">
        <f t="shared" si="11"/>
        <v>4.7969509791036868E-2</v>
      </c>
      <c r="AH18" s="1"/>
      <c r="AI18" s="2">
        <v>45267</v>
      </c>
      <c r="AJ18" s="3">
        <f t="shared" si="8"/>
        <v>635.45000000000005</v>
      </c>
      <c r="AK18" s="1">
        <f t="shared" si="12"/>
        <v>2.2080277580633911E-3</v>
      </c>
      <c r="AN18" s="4" t="s">
        <v>115</v>
      </c>
      <c r="AO18" s="85">
        <v>3859.5</v>
      </c>
      <c r="AT18" s="4" t="s">
        <v>116</v>
      </c>
      <c r="AU18" t="s">
        <v>155</v>
      </c>
      <c r="AV18" t="s">
        <v>156</v>
      </c>
      <c r="AW18" t="s">
        <v>157</v>
      </c>
    </row>
    <row r="19" spans="1:49">
      <c r="A19" s="134">
        <v>45607</v>
      </c>
      <c r="B19" s="133">
        <v>967.75</v>
      </c>
      <c r="C19" s="133">
        <f t="shared" si="0"/>
        <v>-2.6794455608800671E-3</v>
      </c>
      <c r="D19" s="133">
        <v>24141.3</v>
      </c>
      <c r="E19" s="133">
        <f t="shared" si="1"/>
        <v>-2.8573558277644739E-4</v>
      </c>
      <c r="F19" s="135">
        <v>22344.25</v>
      </c>
      <c r="G19" s="67">
        <f t="shared" si="2"/>
        <v>8.8613401658144131E-3</v>
      </c>
      <c r="I19" s="97" t="s">
        <v>92</v>
      </c>
      <c r="J19" s="97">
        <f>_xlfn.STDEV.S(Q9:Q19)</f>
        <v>1.0486770905747738E-2</v>
      </c>
      <c r="K19" s="1"/>
      <c r="L19" s="1"/>
      <c r="M19" s="1"/>
      <c r="N19" s="1"/>
      <c r="O19" s="28" t="s">
        <v>124</v>
      </c>
      <c r="P19" s="29">
        <v>45258</v>
      </c>
      <c r="Q19" s="133">
        <v>-1.5783716205657217E-2</v>
      </c>
      <c r="R19" s="133">
        <v>-4.1999999999999997E-3</v>
      </c>
      <c r="S19" s="28">
        <f t="shared" si="3"/>
        <v>-9.7308493640729343E-4</v>
      </c>
      <c r="T19" s="123">
        <f t="shared" si="4"/>
        <v>-1.4810631269249924E-2</v>
      </c>
      <c r="U19" s="1"/>
      <c r="W19" s="2">
        <v>45607</v>
      </c>
      <c r="X19" s="3">
        <f t="shared" si="5"/>
        <v>967.75</v>
      </c>
      <c r="Y19" s="119">
        <f t="shared" si="6"/>
        <v>-2.6794455608800671E-3</v>
      </c>
      <c r="Z19" s="1"/>
      <c r="AA19" s="2">
        <v>45419</v>
      </c>
      <c r="AB19" s="3">
        <f t="shared" si="7"/>
        <v>980.85</v>
      </c>
      <c r="AC19" s="1">
        <f t="shared" si="9"/>
        <v>-3.9088905216752345E-2</v>
      </c>
      <c r="AD19" s="1"/>
      <c r="AE19" s="2">
        <v>45328</v>
      </c>
      <c r="AF19" s="3">
        <f t="shared" si="10"/>
        <v>760.9</v>
      </c>
      <c r="AG19" s="1">
        <f t="shared" si="11"/>
        <v>-3.2845037114892506E-4</v>
      </c>
      <c r="AH19" s="1"/>
      <c r="AI19" s="2">
        <v>45266</v>
      </c>
      <c r="AJ19" s="3">
        <f t="shared" si="8"/>
        <v>634.04999999999995</v>
      </c>
      <c r="AK19" s="1">
        <f t="shared" si="12"/>
        <v>1.0262077676033154E-3</v>
      </c>
      <c r="AN19" s="4" t="s">
        <v>118</v>
      </c>
      <c r="AO19" s="85">
        <v>3196.3</v>
      </c>
    </row>
    <row r="20" spans="1:49">
      <c r="A20" s="134">
        <v>45604</v>
      </c>
      <c r="B20" s="133">
        <v>970.35</v>
      </c>
      <c r="C20" s="133">
        <f t="shared" si="0"/>
        <v>-2.9797071667094777E-3</v>
      </c>
      <c r="D20" s="133">
        <v>24148.2</v>
      </c>
      <c r="E20" s="133">
        <f t="shared" si="1"/>
        <v>-2.1136931363857636E-3</v>
      </c>
      <c r="F20" s="135">
        <v>22542.25</v>
      </c>
      <c r="G20" s="67">
        <f t="shared" si="2"/>
        <v>-6.7872550433067946E-4</v>
      </c>
      <c r="I20" s="97" t="s">
        <v>96</v>
      </c>
      <c r="J20" s="97">
        <f>J19*SQRT(252)</f>
        <v>0.16647232723629651</v>
      </c>
      <c r="K20" s="1"/>
      <c r="L20" s="1"/>
      <c r="M20" s="1"/>
      <c r="N20" s="1"/>
      <c r="O20" s="23" t="s">
        <v>125</v>
      </c>
      <c r="P20" s="1"/>
      <c r="Q20" s="1"/>
      <c r="R20" s="1"/>
      <c r="S20" s="23"/>
      <c r="T20" s="38"/>
      <c r="U20" s="1"/>
      <c r="W20" s="2">
        <v>45604</v>
      </c>
      <c r="X20" s="3">
        <f t="shared" si="5"/>
        <v>970.35</v>
      </c>
      <c r="Y20" s="119">
        <f t="shared" si="6"/>
        <v>-2.9797071667094777E-3</v>
      </c>
      <c r="Z20" s="1"/>
      <c r="AA20" s="2">
        <v>45418</v>
      </c>
      <c r="AB20" s="3">
        <f t="shared" si="7"/>
        <v>1020.75</v>
      </c>
      <c r="AC20" s="1">
        <f t="shared" si="9"/>
        <v>2.3410868257469408E-2</v>
      </c>
      <c r="AD20" s="1"/>
      <c r="AE20" s="2">
        <v>45327</v>
      </c>
      <c r="AF20" s="3">
        <f t="shared" si="10"/>
        <v>761.15</v>
      </c>
      <c r="AG20" s="1">
        <f t="shared" si="11"/>
        <v>2.1065104338096052E-3</v>
      </c>
      <c r="AH20" s="1"/>
      <c r="AI20" s="2">
        <v>45265</v>
      </c>
      <c r="AJ20" s="3">
        <f t="shared" si="8"/>
        <v>633.4</v>
      </c>
      <c r="AK20" s="1">
        <f t="shared" si="12"/>
        <v>-9.8483664217603462E-3</v>
      </c>
      <c r="AN20" s="4" t="s">
        <v>120</v>
      </c>
      <c r="AO20" s="87">
        <v>0.25</v>
      </c>
      <c r="AT20" s="4"/>
      <c r="AU20" s="4"/>
      <c r="AV20" s="4"/>
      <c r="AW20" s="4"/>
    </row>
    <row r="21" spans="1:49">
      <c r="A21" s="134">
        <v>45603</v>
      </c>
      <c r="B21" s="133">
        <v>973.25</v>
      </c>
      <c r="C21" s="133">
        <f t="shared" si="0"/>
        <v>-2.1957592201788834E-2</v>
      </c>
      <c r="D21" s="133">
        <v>24199.35</v>
      </c>
      <c r="E21" s="133">
        <f t="shared" si="1"/>
        <v>-1.1627978214388546E-2</v>
      </c>
      <c r="F21" s="135">
        <v>22526.95</v>
      </c>
      <c r="G21" s="67">
        <f t="shared" si="2"/>
        <v>1.7463527019858427E-2</v>
      </c>
      <c r="I21" s="97" t="s">
        <v>128</v>
      </c>
      <c r="J21" s="97">
        <f>J20/J10</f>
        <v>0.67241327220267422</v>
      </c>
      <c r="W21" s="2">
        <v>45603</v>
      </c>
      <c r="X21" s="3">
        <f t="shared" si="5"/>
        <v>973.25</v>
      </c>
      <c r="Y21" s="119">
        <f t="shared" si="6"/>
        <v>-2.1957592201788834E-2</v>
      </c>
      <c r="Z21" s="1"/>
      <c r="AA21" s="2">
        <v>45415</v>
      </c>
      <c r="AB21" s="3">
        <f t="shared" si="7"/>
        <v>997.4</v>
      </c>
      <c r="AC21" s="1">
        <f t="shared" si="9"/>
        <v>9.5141700404857144E-3</v>
      </c>
      <c r="AD21" s="1"/>
      <c r="AE21" s="2">
        <v>45324</v>
      </c>
      <c r="AF21" s="3">
        <f t="shared" si="10"/>
        <v>759.55</v>
      </c>
      <c r="AG21" s="1">
        <f t="shared" si="11"/>
        <v>-1.6430073606730211E-3</v>
      </c>
      <c r="AH21" s="1"/>
      <c r="AI21" s="2">
        <v>45264</v>
      </c>
      <c r="AJ21" s="3">
        <f t="shared" si="8"/>
        <v>639.70000000000005</v>
      </c>
      <c r="AK21" s="1">
        <f t="shared" si="12"/>
        <v>3.3722845267039059E-3</v>
      </c>
      <c r="AU21" s="35"/>
      <c r="AV21" s="35"/>
      <c r="AW21" s="35"/>
    </row>
    <row r="22" spans="1:49">
      <c r="A22" s="134">
        <v>45602</v>
      </c>
      <c r="B22" s="133">
        <v>995.1</v>
      </c>
      <c r="C22" s="133">
        <f t="shared" si="0"/>
        <v>6.7277049926652843E-3</v>
      </c>
      <c r="D22" s="133">
        <v>24484.05</v>
      </c>
      <c r="E22" s="133">
        <f t="shared" si="1"/>
        <v>1.1181871120417242E-2</v>
      </c>
      <c r="F22" s="135">
        <v>22920.35</v>
      </c>
      <c r="G22" s="67">
        <f t="shared" si="2"/>
        <v>-1.1304364898441666E-2</v>
      </c>
      <c r="W22" s="2">
        <v>45602</v>
      </c>
      <c r="X22" s="3">
        <f t="shared" si="5"/>
        <v>995.1</v>
      </c>
      <c r="Y22" s="119">
        <f t="shared" si="6"/>
        <v>6.7277049926652843E-3</v>
      </c>
      <c r="Z22" s="1"/>
      <c r="AA22" s="2">
        <v>45414</v>
      </c>
      <c r="AB22" s="3">
        <f t="shared" si="7"/>
        <v>988</v>
      </c>
      <c r="AC22" s="1">
        <f t="shared" si="9"/>
        <v>3.6128152692569859E-2</v>
      </c>
      <c r="AD22" s="1"/>
      <c r="AE22" s="2">
        <v>45323</v>
      </c>
      <c r="AF22" s="3">
        <f t="shared" si="10"/>
        <v>760.8</v>
      </c>
      <c r="AG22" s="1">
        <f t="shared" si="11"/>
        <v>6.4823389337214099E-3</v>
      </c>
      <c r="AH22" s="1"/>
      <c r="AI22" s="2">
        <v>45261</v>
      </c>
      <c r="AJ22" s="3">
        <f t="shared" si="8"/>
        <v>637.54999999999995</v>
      </c>
      <c r="AK22" s="1">
        <f t="shared" si="12"/>
        <v>3.9366978978032652E-3</v>
      </c>
    </row>
    <row r="23" spans="1:49">
      <c r="A23" s="134">
        <v>45601</v>
      </c>
      <c r="B23" s="133">
        <v>988.45</v>
      </c>
      <c r="C23" s="133">
        <f t="shared" si="0"/>
        <v>-1.5929115436308372E-2</v>
      </c>
      <c r="D23" s="133">
        <v>24213.3</v>
      </c>
      <c r="E23" s="133">
        <f t="shared" si="1"/>
        <v>9.0830098331551312E-3</v>
      </c>
      <c r="F23" s="135">
        <v>22661.25</v>
      </c>
      <c r="G23" s="67">
        <f t="shared" si="2"/>
        <v>-1.0127420155552347E-3</v>
      </c>
      <c r="W23" s="2">
        <v>45601</v>
      </c>
      <c r="X23" s="3">
        <f t="shared" si="5"/>
        <v>988.45</v>
      </c>
      <c r="Y23" s="119">
        <f t="shared" si="6"/>
        <v>-1.5929115436308372E-2</v>
      </c>
      <c r="Z23" s="1"/>
      <c r="AA23" s="2">
        <v>45412</v>
      </c>
      <c r="AB23" s="3">
        <f t="shared" si="7"/>
        <v>953.55</v>
      </c>
      <c r="AC23" s="1">
        <f t="shared" si="9"/>
        <v>-9.9158965839477586E-3</v>
      </c>
      <c r="AD23" s="1"/>
      <c r="AE23" s="2">
        <v>45322</v>
      </c>
      <c r="AF23" s="3">
        <f t="shared" si="10"/>
        <v>755.9</v>
      </c>
      <c r="AG23" s="1">
        <f t="shared" si="11"/>
        <v>9.8864395457580745E-3</v>
      </c>
      <c r="AH23" s="1"/>
      <c r="AI23" s="2">
        <v>45260</v>
      </c>
      <c r="AJ23" s="3">
        <f t="shared" si="8"/>
        <v>635.04999999999995</v>
      </c>
      <c r="AK23" s="1">
        <f t="shared" si="12"/>
        <v>8.3359796760875682E-3</v>
      </c>
      <c r="AN23" s="4" t="s">
        <v>158</v>
      </c>
      <c r="AO23" s="86">
        <f>AO14</f>
        <v>4691.38</v>
      </c>
    </row>
    <row r="24" spans="1:49" ht="14.45" customHeight="1">
      <c r="A24" s="134">
        <v>45600</v>
      </c>
      <c r="B24" s="135">
        <v>1004.45</v>
      </c>
      <c r="C24" s="133">
        <f t="shared" si="0"/>
        <v>4.4820717131477394E-4</v>
      </c>
      <c r="D24" s="133">
        <v>23995.35</v>
      </c>
      <c r="E24" s="133">
        <f t="shared" si="1"/>
        <v>-1.2713773460306443E-2</v>
      </c>
      <c r="F24" s="135">
        <v>22638.3</v>
      </c>
      <c r="G24" s="67">
        <f t="shared" si="2"/>
        <v>7.4585989230639971E-3</v>
      </c>
      <c r="I24" s="202" t="s">
        <v>129</v>
      </c>
      <c r="J24" s="202"/>
      <c r="K24" s="202"/>
      <c r="L24" s="115"/>
      <c r="W24" s="2">
        <v>45600</v>
      </c>
      <c r="X24" s="3">
        <f t="shared" si="5"/>
        <v>1004.45</v>
      </c>
      <c r="Y24" s="119">
        <f t="shared" si="6"/>
        <v>4.4820717131477394E-4</v>
      </c>
      <c r="Z24" s="1"/>
      <c r="AA24" s="2">
        <v>45411</v>
      </c>
      <c r="AB24" s="3">
        <f t="shared" si="7"/>
        <v>963.1</v>
      </c>
      <c r="AC24" s="1">
        <f t="shared" si="9"/>
        <v>1.6571669833227887E-2</v>
      </c>
      <c r="AD24" s="1"/>
      <c r="AE24" s="2">
        <v>45321</v>
      </c>
      <c r="AF24" s="3">
        <f t="shared" si="10"/>
        <v>748.5</v>
      </c>
      <c r="AG24" s="1">
        <f t="shared" si="11"/>
        <v>1.6293279022403295E-2</v>
      </c>
      <c r="AH24" s="1"/>
      <c r="AI24" s="2">
        <v>45259</v>
      </c>
      <c r="AJ24" s="3">
        <f t="shared" si="8"/>
        <v>629.79999999999995</v>
      </c>
      <c r="AK24" s="1">
        <f t="shared" si="12"/>
        <v>-1.5783716205657217E-2</v>
      </c>
      <c r="AN24" s="4" t="s">
        <v>108</v>
      </c>
      <c r="AO24" t="str">
        <f>AO16</f>
        <v>₹117.28 Cr</v>
      </c>
    </row>
    <row r="25" spans="1:49" ht="15" customHeight="1">
      <c r="A25" s="134">
        <v>45597</v>
      </c>
      <c r="B25" s="135">
        <v>1004</v>
      </c>
      <c r="C25" s="133">
        <f t="shared" si="0"/>
        <v>2.7465667915105296E-3</v>
      </c>
      <c r="D25" s="133">
        <v>24304.35</v>
      </c>
      <c r="E25" s="133">
        <f t="shared" si="1"/>
        <v>4.0900048956118429E-3</v>
      </c>
      <c r="F25" s="135">
        <v>22807.15</v>
      </c>
      <c r="G25" s="67">
        <f t="shared" si="2"/>
        <v>-3.1393663829106799E-3</v>
      </c>
      <c r="I25" s="202"/>
      <c r="J25" s="202"/>
      <c r="K25" s="202"/>
      <c r="L25" s="115"/>
      <c r="W25" s="2">
        <v>45597</v>
      </c>
      <c r="X25" s="3">
        <f t="shared" si="5"/>
        <v>1004</v>
      </c>
      <c r="Y25" s="119">
        <f t="shared" si="6"/>
        <v>2.7465667915105296E-3</v>
      </c>
      <c r="Z25" s="1"/>
      <c r="AA25" s="2">
        <v>45408</v>
      </c>
      <c r="AB25" s="3">
        <f t="shared" si="7"/>
        <v>947.4</v>
      </c>
      <c r="AC25" s="1">
        <f t="shared" si="9"/>
        <v>-4.0473061760841755E-3</v>
      </c>
      <c r="AD25" s="1"/>
      <c r="AE25" s="2">
        <v>45320</v>
      </c>
      <c r="AF25" s="3">
        <f t="shared" si="10"/>
        <v>736.5</v>
      </c>
      <c r="AG25" s="1">
        <f t="shared" si="11"/>
        <v>-2.1132376395534225E-2</v>
      </c>
      <c r="AH25" s="1"/>
      <c r="AI25" s="2">
        <v>45258</v>
      </c>
      <c r="AJ25" s="3">
        <f t="shared" si="8"/>
        <v>639.9</v>
      </c>
      <c r="AK25" s="1">
        <f t="shared" si="12"/>
        <v>1.3141228625712431E-2</v>
      </c>
    </row>
    <row r="26" spans="1:49">
      <c r="A26" s="134">
        <v>45596</v>
      </c>
      <c r="B26" s="135">
        <v>1001.25</v>
      </c>
      <c r="C26" s="133">
        <f t="shared" si="0"/>
        <v>1.6136398234130045E-2</v>
      </c>
      <c r="D26" s="133">
        <v>24205.35</v>
      </c>
      <c r="E26" s="133">
        <f t="shared" si="1"/>
        <v>-5.5667735514577377E-3</v>
      </c>
      <c r="F26" s="135">
        <v>22735.55</v>
      </c>
      <c r="G26" s="67">
        <f t="shared" si="2"/>
        <v>-1.5860623560899012E-2</v>
      </c>
      <c r="I26" s="139" t="s">
        <v>130</v>
      </c>
      <c r="J26" s="139" t="s">
        <v>91</v>
      </c>
      <c r="K26" s="139" t="s">
        <v>131</v>
      </c>
      <c r="W26" s="2">
        <v>45596</v>
      </c>
      <c r="X26" s="3">
        <f t="shared" si="5"/>
        <v>1001.25</v>
      </c>
      <c r="Y26" s="119">
        <f t="shared" si="6"/>
        <v>1.6136398234130045E-2</v>
      </c>
      <c r="Z26" s="1"/>
      <c r="AA26" s="2">
        <v>45407</v>
      </c>
      <c r="AB26" s="3">
        <f t="shared" si="7"/>
        <v>951.25</v>
      </c>
      <c r="AC26" s="1">
        <f t="shared" si="9"/>
        <v>1.901446170326726E-2</v>
      </c>
      <c r="AD26" s="1"/>
      <c r="AE26" s="2">
        <v>45316</v>
      </c>
      <c r="AF26" s="3">
        <f t="shared" si="10"/>
        <v>752.4</v>
      </c>
      <c r="AG26" s="1">
        <f t="shared" si="11"/>
        <v>3.1886443118699814E-2</v>
      </c>
      <c r="AH26" s="1"/>
      <c r="AI26" s="2">
        <v>45254</v>
      </c>
      <c r="AJ26" s="3">
        <f t="shared" si="8"/>
        <v>631.6</v>
      </c>
      <c r="AK26" s="1">
        <f t="shared" si="12"/>
        <v>-1.6275990966435505E-2</v>
      </c>
    </row>
    <row r="27" spans="1:49">
      <c r="A27" s="134">
        <v>45595</v>
      </c>
      <c r="B27" s="133">
        <v>985.35</v>
      </c>
      <c r="C27" s="133">
        <f t="shared" si="0"/>
        <v>-1.681301137497504E-2</v>
      </c>
      <c r="D27" s="133">
        <v>24340.85</v>
      </c>
      <c r="E27" s="133">
        <f t="shared" si="1"/>
        <v>-5.1498251716097787E-3</v>
      </c>
      <c r="F27" s="135">
        <v>22374.95</v>
      </c>
      <c r="G27" s="67">
        <f t="shared" si="2"/>
        <v>1.012069300713514E-2</v>
      </c>
      <c r="I27" s="154" t="s">
        <v>132</v>
      </c>
      <c r="J27" s="140">
        <f>B262</f>
        <v>636.54999999999995</v>
      </c>
      <c r="K27" s="154" t="s">
        <v>133</v>
      </c>
      <c r="W27" s="2">
        <v>45595</v>
      </c>
      <c r="X27" s="3">
        <f t="shared" si="5"/>
        <v>985.35</v>
      </c>
      <c r="Y27" s="119">
        <f t="shared" si="6"/>
        <v>-1.681301137497504E-2</v>
      </c>
      <c r="Z27" s="1"/>
      <c r="AA27" s="2">
        <v>45406</v>
      </c>
      <c r="AB27" s="3">
        <f t="shared" si="7"/>
        <v>933.5</v>
      </c>
      <c r="AC27" s="1">
        <f t="shared" si="9"/>
        <v>-2.7046745531294047E-2</v>
      </c>
      <c r="AD27" s="1"/>
      <c r="AE27" s="2">
        <v>45315</v>
      </c>
      <c r="AF27" s="3">
        <f t="shared" si="10"/>
        <v>729.15</v>
      </c>
      <c r="AG27" s="1">
        <f t="shared" si="11"/>
        <v>3.6092362344582574E-2</v>
      </c>
      <c r="AH27" s="1"/>
      <c r="AI27" s="2">
        <v>45253</v>
      </c>
      <c r="AJ27" s="3">
        <f t="shared" si="8"/>
        <v>642.04999999999995</v>
      </c>
      <c r="AK27" s="1">
        <f t="shared" si="12"/>
        <v>4.6944683514591468E-3</v>
      </c>
    </row>
    <row r="28" spans="1:49">
      <c r="A28" s="134">
        <v>45594</v>
      </c>
      <c r="B28" s="135">
        <v>1002.2</v>
      </c>
      <c r="C28" s="133">
        <f t="shared" si="0"/>
        <v>-4.0743317102255316E-3</v>
      </c>
      <c r="D28" s="133">
        <v>24466.85</v>
      </c>
      <c r="E28" s="133">
        <f t="shared" si="1"/>
        <v>5.2466910307056303E-3</v>
      </c>
      <c r="F28" s="135">
        <v>22601.4</v>
      </c>
      <c r="G28" s="67">
        <f t="shared" si="2"/>
        <v>1.1320095215340498E-2</v>
      </c>
      <c r="I28" s="154" t="s">
        <v>134</v>
      </c>
      <c r="J28" s="140">
        <f>B260</f>
        <v>639.04999999999995</v>
      </c>
      <c r="K28" s="154" t="s">
        <v>133</v>
      </c>
      <c r="W28" s="2">
        <v>45594</v>
      </c>
      <c r="X28" s="3">
        <f t="shared" si="5"/>
        <v>1002.2</v>
      </c>
      <c r="Y28" s="119">
        <f t="shared" si="6"/>
        <v>-4.0743317102255316E-3</v>
      </c>
      <c r="Z28" s="1"/>
      <c r="AA28" s="2">
        <v>45405</v>
      </c>
      <c r="AB28" s="3">
        <f t="shared" si="7"/>
        <v>959.45</v>
      </c>
      <c r="AC28" s="1">
        <f t="shared" si="9"/>
        <v>-2.604980723143191E-4</v>
      </c>
      <c r="AD28" s="1"/>
      <c r="AE28" s="2">
        <v>45314</v>
      </c>
      <c r="AF28" s="3">
        <f t="shared" si="10"/>
        <v>703.75</v>
      </c>
      <c r="AG28" s="1">
        <f t="shared" si="11"/>
        <v>-2.3315522864478466E-2</v>
      </c>
      <c r="AH28" s="1"/>
      <c r="AI28" s="2">
        <v>45252</v>
      </c>
      <c r="AJ28" s="3">
        <f t="shared" si="8"/>
        <v>639.04999999999995</v>
      </c>
      <c r="AK28" s="1">
        <f t="shared" si="12"/>
        <v>4.7955974842766036E-3</v>
      </c>
    </row>
    <row r="29" spans="1:49">
      <c r="A29" s="134">
        <v>45593</v>
      </c>
      <c r="B29" s="135">
        <v>1006.3</v>
      </c>
      <c r="C29" s="133">
        <f t="shared" si="0"/>
        <v>1.5848980415909431E-2</v>
      </c>
      <c r="D29" s="133">
        <v>24339.15</v>
      </c>
      <c r="E29" s="133">
        <f t="shared" si="1"/>
        <v>6.5485840005294893E-3</v>
      </c>
      <c r="F29" s="135">
        <v>22857.25</v>
      </c>
      <c r="G29" s="67">
        <f t="shared" si="2"/>
        <v>-1.2368067024685847E-2</v>
      </c>
      <c r="I29" s="154" t="s">
        <v>135</v>
      </c>
      <c r="J29" s="68">
        <f>AJ9</f>
        <v>663.75</v>
      </c>
      <c r="K29" s="154">
        <f>J29/$J$28-1</f>
        <v>3.8651122760347434E-2</v>
      </c>
      <c r="W29" s="2">
        <v>45593</v>
      </c>
      <c r="X29" s="3">
        <f t="shared" si="5"/>
        <v>1006.3</v>
      </c>
      <c r="Y29" s="119">
        <f t="shared" si="6"/>
        <v>1.5848980415909431E-2</v>
      </c>
      <c r="Z29" s="1"/>
      <c r="AA29" s="2">
        <v>45404</v>
      </c>
      <c r="AB29" s="3">
        <f t="shared" si="7"/>
        <v>959.7</v>
      </c>
      <c r="AC29" s="1">
        <f t="shared" si="9"/>
        <v>4.0720056389958348E-2</v>
      </c>
      <c r="AD29" s="1"/>
      <c r="AE29" s="2">
        <v>45311</v>
      </c>
      <c r="AF29" s="3">
        <f t="shared" si="10"/>
        <v>720.55</v>
      </c>
      <c r="AG29" s="1">
        <f t="shared" si="11"/>
        <v>1.6433911694174075E-2</v>
      </c>
      <c r="AH29" s="1"/>
      <c r="AI29" s="2">
        <v>45251</v>
      </c>
      <c r="AJ29" s="3">
        <f t="shared" si="8"/>
        <v>636</v>
      </c>
      <c r="AK29" s="1">
        <f t="shared" si="12"/>
        <v>-8.6403267614476587E-4</v>
      </c>
    </row>
    <row r="30" spans="1:49">
      <c r="A30" s="134">
        <v>45590</v>
      </c>
      <c r="B30" s="133">
        <v>990.6</v>
      </c>
      <c r="C30" s="133">
        <f t="shared" si="0"/>
        <v>-1.5014417818434933E-2</v>
      </c>
      <c r="D30" s="133">
        <v>24180.799999999999</v>
      </c>
      <c r="E30" s="133">
        <f t="shared" si="1"/>
        <v>-8.9592367025419506E-3</v>
      </c>
      <c r="F30" s="135">
        <v>22574.55</v>
      </c>
      <c r="G30" s="67">
        <f t="shared" si="2"/>
        <v>-1.6611626809837077E-4</v>
      </c>
      <c r="I30" s="154" t="s">
        <v>136</v>
      </c>
      <c r="J30" s="68">
        <f>AF9</f>
        <v>895.75</v>
      </c>
      <c r="K30" s="154">
        <f>J30/$J$28-1</f>
        <v>0.40169000860652537</v>
      </c>
      <c r="W30" s="2">
        <v>45590</v>
      </c>
      <c r="X30" s="3">
        <f t="shared" si="5"/>
        <v>990.6</v>
      </c>
      <c r="Y30" s="119">
        <f t="shared" si="6"/>
        <v>-1.5014417818434933E-2</v>
      </c>
      <c r="Z30" s="1"/>
      <c r="AA30" s="2">
        <v>45401</v>
      </c>
      <c r="AB30" s="3">
        <f t="shared" si="7"/>
        <v>922.15</v>
      </c>
      <c r="AC30" s="1">
        <f t="shared" si="9"/>
        <v>-1.5848452508004263E-2</v>
      </c>
      <c r="AD30" s="1"/>
      <c r="AE30" s="2">
        <v>45310</v>
      </c>
      <c r="AF30" s="3">
        <f t="shared" si="10"/>
        <v>708.9</v>
      </c>
      <c r="AG30" s="1">
        <f t="shared" si="11"/>
        <v>-1.1272368606454197E-3</v>
      </c>
      <c r="AH30" s="1"/>
      <c r="AI30" s="2">
        <v>45250</v>
      </c>
      <c r="AJ30" s="3">
        <f t="shared" si="8"/>
        <v>636.54999999999995</v>
      </c>
      <c r="AK30" s="1"/>
    </row>
    <row r="31" spans="1:49">
      <c r="A31" s="134">
        <v>45589</v>
      </c>
      <c r="B31" s="135">
        <v>1005.7</v>
      </c>
      <c r="C31" s="133">
        <f t="shared" si="0"/>
        <v>4.6953046953046584E-3</v>
      </c>
      <c r="D31" s="133">
        <v>24399.4</v>
      </c>
      <c r="E31" s="133">
        <f t="shared" si="1"/>
        <v>-1.4773587608192251E-3</v>
      </c>
      <c r="F31" s="135">
        <v>22570.799999999999</v>
      </c>
      <c r="G31" s="67">
        <f t="shared" si="2"/>
        <v>-4.3950591029117136E-3</v>
      </c>
      <c r="I31" s="154" t="s">
        <v>137</v>
      </c>
      <c r="J31" s="68">
        <f>AB9</f>
        <v>1088.3499999999999</v>
      </c>
      <c r="K31" s="154">
        <f>J31/$J$28-1</f>
        <v>0.70307487677020575</v>
      </c>
      <c r="W31" s="2">
        <v>45589</v>
      </c>
      <c r="X31" s="3">
        <f t="shared" si="5"/>
        <v>1005.7</v>
      </c>
      <c r="Y31" s="119">
        <f t="shared" si="6"/>
        <v>4.6953046953046584E-3</v>
      </c>
      <c r="Z31" s="1"/>
      <c r="AA31" s="2">
        <v>45400</v>
      </c>
      <c r="AB31" s="3">
        <f t="shared" si="7"/>
        <v>937</v>
      </c>
      <c r="AC31" s="1">
        <f t="shared" si="9"/>
        <v>-8.3081970683177575E-3</v>
      </c>
      <c r="AD31" s="1"/>
      <c r="AE31" s="2">
        <v>45309</v>
      </c>
      <c r="AF31" s="3">
        <f t="shared" si="10"/>
        <v>709.7</v>
      </c>
      <c r="AG31" s="1">
        <f t="shared" si="11"/>
        <v>4.0319728372355534E-3</v>
      </c>
      <c r="AH31" s="1"/>
      <c r="AI31" s="1"/>
      <c r="AJ31" s="1"/>
      <c r="AK31" s="1"/>
    </row>
    <row r="32" spans="1:49">
      <c r="A32" s="134">
        <v>45588</v>
      </c>
      <c r="B32" s="135">
        <v>1001</v>
      </c>
      <c r="C32" s="133">
        <f t="shared" si="0"/>
        <v>1.2952843553936333E-2</v>
      </c>
      <c r="D32" s="133">
        <v>24435.5</v>
      </c>
      <c r="E32" s="133">
        <f t="shared" si="1"/>
        <v>-1.4955806816742134E-3</v>
      </c>
      <c r="F32" s="135">
        <v>22471.599999999999</v>
      </c>
      <c r="G32" s="67">
        <f t="shared" si="2"/>
        <v>1.5868918991082115E-2</v>
      </c>
      <c r="I32" s="154" t="s">
        <v>138</v>
      </c>
      <c r="J32" s="68">
        <f>X9</f>
        <v>950.95</v>
      </c>
      <c r="K32" s="154">
        <f>J32/$J$28-1</f>
        <v>0.48806822627337465</v>
      </c>
      <c r="W32" s="2">
        <v>45588</v>
      </c>
      <c r="X32" s="3">
        <f t="shared" si="5"/>
        <v>1001</v>
      </c>
      <c r="Y32" s="119">
        <f t="shared" si="6"/>
        <v>1.2952843553936333E-2</v>
      </c>
      <c r="Z32" s="1"/>
      <c r="AA32" s="2">
        <v>45398</v>
      </c>
      <c r="AB32" s="3">
        <f t="shared" si="7"/>
        <v>944.85</v>
      </c>
      <c r="AC32" s="1">
        <f t="shared" si="9"/>
        <v>1.0372667486499454E-2</v>
      </c>
      <c r="AD32" s="1"/>
      <c r="AE32" s="2">
        <v>45308</v>
      </c>
      <c r="AF32" s="3">
        <f t="shared" si="10"/>
        <v>706.85</v>
      </c>
      <c r="AG32" s="1">
        <f t="shared" si="11"/>
        <v>-1.3949919787961229E-2</v>
      </c>
      <c r="AH32" s="1"/>
      <c r="AI32" s="1"/>
      <c r="AJ32" s="1"/>
      <c r="AK32" s="1"/>
    </row>
    <row r="33" spans="1:37">
      <c r="A33" s="134">
        <v>45587</v>
      </c>
      <c r="B33" s="133">
        <v>988.2</v>
      </c>
      <c r="C33" s="133">
        <f t="shared" si="0"/>
        <v>-1.7400815352490828E-2</v>
      </c>
      <c r="D33" s="133">
        <v>24472.1</v>
      </c>
      <c r="E33" s="133">
        <f t="shared" si="1"/>
        <v>-1.2469180141317371E-2</v>
      </c>
      <c r="F33" s="135">
        <v>22828.2</v>
      </c>
      <c r="G33" s="67">
        <f t="shared" si="2"/>
        <v>1.2900710524701875E-2</v>
      </c>
      <c r="W33" s="2">
        <v>45587</v>
      </c>
      <c r="X33" s="3">
        <f t="shared" si="5"/>
        <v>988.2</v>
      </c>
      <c r="Y33" s="119">
        <f t="shared" si="6"/>
        <v>-1.7400815352490828E-2</v>
      </c>
      <c r="Z33" s="1"/>
      <c r="AA33" s="2">
        <v>45397</v>
      </c>
      <c r="AB33" s="3">
        <f t="shared" si="7"/>
        <v>935.15</v>
      </c>
      <c r="AC33" s="1">
        <f t="shared" si="9"/>
        <v>-2.806215247102839E-2</v>
      </c>
      <c r="AD33" s="1"/>
      <c r="AE33" s="2">
        <v>45307</v>
      </c>
      <c r="AF33" s="3">
        <f t="shared" si="10"/>
        <v>716.85</v>
      </c>
      <c r="AG33" s="1">
        <f t="shared" si="11"/>
        <v>1.8325165139569499E-2</v>
      </c>
      <c r="AH33" s="1"/>
      <c r="AI33" s="1"/>
      <c r="AJ33" s="1"/>
      <c r="AK33" s="1"/>
    </row>
    <row r="34" spans="1:37">
      <c r="A34" s="134">
        <v>45586</v>
      </c>
      <c r="B34" s="135">
        <v>1005.7</v>
      </c>
      <c r="C34" s="133">
        <f t="shared" si="0"/>
        <v>-1.6382219179421953E-2</v>
      </c>
      <c r="D34" s="133">
        <v>24781.1</v>
      </c>
      <c r="E34" s="133">
        <f t="shared" si="1"/>
        <v>-2.9351353199982277E-3</v>
      </c>
      <c r="F34" s="135">
        <v>23122.7</v>
      </c>
      <c r="G34" s="67">
        <f t="shared" si="2"/>
        <v>1.0098301668922671E-2</v>
      </c>
      <c r="W34" s="2">
        <v>45586</v>
      </c>
      <c r="X34" s="3">
        <f t="shared" si="5"/>
        <v>1005.7</v>
      </c>
      <c r="Y34" s="119">
        <f t="shared" si="6"/>
        <v>-1.6382219179421953E-2</v>
      </c>
      <c r="Z34" s="1"/>
      <c r="AA34" s="2">
        <v>45394</v>
      </c>
      <c r="AB34" s="3">
        <f t="shared" si="7"/>
        <v>962.15</v>
      </c>
      <c r="AC34" s="1">
        <f t="shared" si="9"/>
        <v>-3.223697445182061E-2</v>
      </c>
      <c r="AD34" s="1"/>
      <c r="AE34" s="2">
        <v>45306</v>
      </c>
      <c r="AF34" s="3">
        <f t="shared" si="10"/>
        <v>703.95</v>
      </c>
      <c r="AG34" s="1">
        <f t="shared" si="11"/>
        <v>-4.2598509052171885E-4</v>
      </c>
      <c r="AH34" s="1"/>
      <c r="AI34" s="1"/>
      <c r="AJ34" s="1"/>
      <c r="AK34" s="1"/>
    </row>
    <row r="35" spans="1:37">
      <c r="A35" s="134">
        <v>45583</v>
      </c>
      <c r="B35" s="135">
        <v>1022.45</v>
      </c>
      <c r="C35" s="133">
        <f t="shared" si="0"/>
        <v>1.5673213498554883E-3</v>
      </c>
      <c r="D35" s="133">
        <v>24854.05</v>
      </c>
      <c r="E35" s="133">
        <f t="shared" si="1"/>
        <v>4.2101265260194864E-3</v>
      </c>
      <c r="F35" s="135">
        <v>23356.2</v>
      </c>
      <c r="G35" s="67">
        <f t="shared" si="2"/>
        <v>-4.3757118024336794E-3</v>
      </c>
      <c r="W35" s="2">
        <v>45583</v>
      </c>
      <c r="X35" s="3">
        <f t="shared" si="5"/>
        <v>1022.45</v>
      </c>
      <c r="Y35" s="119">
        <f t="shared" si="6"/>
        <v>1.5673213498554883E-3</v>
      </c>
      <c r="Z35" s="1"/>
      <c r="AA35" s="2">
        <v>45392</v>
      </c>
      <c r="AB35" s="3">
        <f t="shared" si="7"/>
        <v>994.2</v>
      </c>
      <c r="AC35" s="1">
        <f t="shared" si="9"/>
        <v>5.1053935196887501E-3</v>
      </c>
      <c r="AD35" s="1"/>
      <c r="AE35" s="2">
        <v>45303</v>
      </c>
      <c r="AF35" s="3">
        <f t="shared" si="10"/>
        <v>704.25</v>
      </c>
      <c r="AG35" s="1">
        <f t="shared" si="11"/>
        <v>-3.7487622011599386E-3</v>
      </c>
      <c r="AH35" s="1"/>
      <c r="AI35" s="1"/>
      <c r="AJ35" s="1"/>
      <c r="AK35" s="1"/>
    </row>
    <row r="36" spans="1:37">
      <c r="A36" s="134">
        <v>45582</v>
      </c>
      <c r="B36" s="135">
        <v>1020.85</v>
      </c>
      <c r="C36" s="133">
        <f t="shared" si="0"/>
        <v>7.3522203705511657E-4</v>
      </c>
      <c r="D36" s="133">
        <v>24749.85</v>
      </c>
      <c r="E36" s="133">
        <f t="shared" si="1"/>
        <v>-8.8681806714108191E-3</v>
      </c>
      <c r="F36" s="135">
        <v>23254</v>
      </c>
      <c r="G36" s="67">
        <f t="shared" si="2"/>
        <v>9.1747656317191506E-3</v>
      </c>
      <c r="W36" s="2">
        <v>45582</v>
      </c>
      <c r="X36" s="3">
        <f t="shared" si="5"/>
        <v>1020.85</v>
      </c>
      <c r="Y36" s="119">
        <f t="shared" si="6"/>
        <v>7.3522203705511657E-4</v>
      </c>
      <c r="Z36" s="1"/>
      <c r="AA36" s="2">
        <v>45391</v>
      </c>
      <c r="AB36" s="3">
        <f t="shared" si="7"/>
        <v>989.15</v>
      </c>
      <c r="AC36" s="1">
        <f t="shared" si="9"/>
        <v>-1.1492529855593903E-2</v>
      </c>
      <c r="AD36" s="1"/>
      <c r="AE36" s="2">
        <v>45302</v>
      </c>
      <c r="AF36" s="3">
        <f t="shared" si="10"/>
        <v>706.9</v>
      </c>
      <c r="AG36" s="1">
        <f t="shared" si="11"/>
        <v>-8.5553997194951492E-3</v>
      </c>
      <c r="AH36" s="1"/>
      <c r="AI36" s="1"/>
      <c r="AJ36" s="1"/>
      <c r="AK36" s="1"/>
    </row>
    <row r="37" spans="1:37">
      <c r="A37" s="134">
        <v>45581</v>
      </c>
      <c r="B37" s="135">
        <v>1020.1</v>
      </c>
      <c r="C37" s="133">
        <f t="shared" si="0"/>
        <v>-3.5958985021027345E-2</v>
      </c>
      <c r="D37" s="133">
        <v>24971.3</v>
      </c>
      <c r="E37" s="133">
        <f t="shared" si="1"/>
        <v>-3.4341221238478603E-3</v>
      </c>
      <c r="F37" s="135">
        <v>23467.35</v>
      </c>
      <c r="G37" s="67">
        <f t="shared" si="2"/>
        <v>3.7648051441685482E-3</v>
      </c>
      <c r="W37" s="2">
        <v>45581</v>
      </c>
      <c r="X37" s="3">
        <f t="shared" si="5"/>
        <v>1020.1</v>
      </c>
      <c r="Y37" s="119">
        <f t="shared" si="6"/>
        <v>-3.5958985021027345E-2</v>
      </c>
      <c r="Z37" s="1"/>
      <c r="AA37" s="2">
        <v>45390</v>
      </c>
      <c r="AB37" s="3">
        <f t="shared" si="7"/>
        <v>1000.65</v>
      </c>
      <c r="AC37" s="1">
        <f t="shared" si="9"/>
        <v>-5.8122205663189153E-3</v>
      </c>
      <c r="AD37" s="1"/>
      <c r="AE37" s="2">
        <v>45301</v>
      </c>
      <c r="AF37" s="3">
        <f t="shared" si="10"/>
        <v>713</v>
      </c>
      <c r="AG37" s="1">
        <f t="shared" si="11"/>
        <v>3.2362459546924072E-3</v>
      </c>
      <c r="AH37" s="1"/>
      <c r="AI37" s="1"/>
      <c r="AJ37" s="1"/>
      <c r="AK37" s="1"/>
    </row>
    <row r="38" spans="1:37">
      <c r="A38" s="134">
        <v>45580</v>
      </c>
      <c r="B38" s="135">
        <v>1058.1500000000001</v>
      </c>
      <c r="C38" s="133">
        <f t="shared" si="0"/>
        <v>-3.9534993175505129E-3</v>
      </c>
      <c r="D38" s="133">
        <v>25057.35</v>
      </c>
      <c r="E38" s="133">
        <f t="shared" si="1"/>
        <v>-2.809620362982379E-3</v>
      </c>
      <c r="F38" s="135">
        <v>23555.7</v>
      </c>
      <c r="G38" s="67">
        <f t="shared" si="2"/>
        <v>5.2768544343830825E-3</v>
      </c>
      <c r="W38" s="2">
        <v>45580</v>
      </c>
      <c r="X38" s="3">
        <f t="shared" si="5"/>
        <v>1058.1500000000001</v>
      </c>
      <c r="Y38" s="119">
        <f t="shared" si="6"/>
        <v>-3.9534993175505129E-3</v>
      </c>
      <c r="Z38" s="1"/>
      <c r="AA38" s="2">
        <v>45387</v>
      </c>
      <c r="AB38" s="3">
        <f t="shared" si="7"/>
        <v>1006.5</v>
      </c>
      <c r="AC38" s="1">
        <f t="shared" si="9"/>
        <v>2.3698128559804577E-2</v>
      </c>
      <c r="AD38" s="1"/>
      <c r="AE38" s="2">
        <v>45300</v>
      </c>
      <c r="AF38" s="3">
        <f t="shared" si="10"/>
        <v>710.7</v>
      </c>
      <c r="AG38" s="1">
        <f t="shared" si="11"/>
        <v>-4.9702485124255569E-3</v>
      </c>
      <c r="AH38" s="1"/>
      <c r="AI38" s="1"/>
      <c r="AJ38" s="1"/>
      <c r="AK38" s="1"/>
    </row>
    <row r="39" spans="1:37">
      <c r="A39" s="134">
        <v>45579</v>
      </c>
      <c r="B39" s="135">
        <v>1062.3499999999999</v>
      </c>
      <c r="C39" s="133">
        <f t="shared" si="0"/>
        <v>-1.9259676813230264E-3</v>
      </c>
      <c r="D39" s="133">
        <v>25127.95</v>
      </c>
      <c r="E39" s="133">
        <f t="shared" si="1"/>
        <v>6.5573770491802463E-3</v>
      </c>
      <c r="F39" s="135">
        <v>23680</v>
      </c>
      <c r="G39" s="67">
        <f t="shared" si="2"/>
        <v>-4.1279560810810745E-3</v>
      </c>
      <c r="W39" s="2">
        <v>45579</v>
      </c>
      <c r="X39" s="3">
        <f t="shared" si="5"/>
        <v>1062.3499999999999</v>
      </c>
      <c r="Y39" s="119">
        <f t="shared" si="6"/>
        <v>-1.9259676813230264E-3</v>
      </c>
      <c r="Z39" s="1"/>
      <c r="AA39" s="2">
        <v>45386</v>
      </c>
      <c r="AB39" s="3">
        <f t="shared" si="7"/>
        <v>983.2</v>
      </c>
      <c r="AC39" s="1">
        <f t="shared" si="9"/>
        <v>-4.5560392831831553E-3</v>
      </c>
      <c r="AD39" s="1"/>
      <c r="AE39" s="2">
        <v>45299</v>
      </c>
      <c r="AF39" s="3">
        <f t="shared" si="10"/>
        <v>714.25</v>
      </c>
      <c r="AG39" s="1">
        <f t="shared" si="11"/>
        <v>7.1917083832757633E-3</v>
      </c>
      <c r="AH39" s="1"/>
      <c r="AI39" s="1"/>
      <c r="AJ39" s="1"/>
      <c r="AK39" s="1"/>
    </row>
    <row r="40" spans="1:37">
      <c r="A40" s="134">
        <v>45576</v>
      </c>
      <c r="B40" s="135">
        <v>1064.4000000000001</v>
      </c>
      <c r="C40" s="133">
        <f t="shared" si="0"/>
        <v>7.0009460737938678E-3</v>
      </c>
      <c r="D40" s="133">
        <v>24964.25</v>
      </c>
      <c r="E40" s="133">
        <f t="shared" si="1"/>
        <v>-1.3680848212589414E-3</v>
      </c>
      <c r="F40" s="135">
        <v>23582.25</v>
      </c>
      <c r="G40" s="67">
        <f t="shared" si="2"/>
        <v>-1.1750363090883953E-2</v>
      </c>
      <c r="W40" s="2">
        <v>45576</v>
      </c>
      <c r="X40" s="3">
        <f t="shared" si="5"/>
        <v>1064.4000000000001</v>
      </c>
      <c r="Y40" s="119">
        <f t="shared" si="6"/>
        <v>7.0009460737938678E-3</v>
      </c>
      <c r="Z40" s="1"/>
      <c r="AA40" s="2">
        <v>45385</v>
      </c>
      <c r="AB40" s="3">
        <f t="shared" si="7"/>
        <v>987.7</v>
      </c>
      <c r="AC40" s="1">
        <f t="shared" si="9"/>
        <v>-5.2872752908000864E-3</v>
      </c>
      <c r="AD40" s="1"/>
      <c r="AE40" s="2">
        <v>45296</v>
      </c>
      <c r="AF40" s="3">
        <f t="shared" si="10"/>
        <v>709.15</v>
      </c>
      <c r="AG40" s="1">
        <f t="shared" si="11"/>
        <v>-1.7595720720721131E-3</v>
      </c>
      <c r="AH40" s="1"/>
      <c r="AI40" s="1"/>
      <c r="AJ40" s="1"/>
      <c r="AK40" s="1"/>
    </row>
    <row r="41" spans="1:37">
      <c r="A41" s="134">
        <v>45575</v>
      </c>
      <c r="B41" s="135">
        <v>1057</v>
      </c>
      <c r="C41" s="133">
        <f t="shared" si="0"/>
        <v>-7.837799784108479E-3</v>
      </c>
      <c r="D41" s="133">
        <v>24998.45</v>
      </c>
      <c r="E41" s="133">
        <f t="shared" si="1"/>
        <v>6.6047686429593355E-4</v>
      </c>
      <c r="F41" s="135">
        <v>23305.15</v>
      </c>
      <c r="G41" s="67">
        <f t="shared" si="2"/>
        <v>2.0538378856175488E-2</v>
      </c>
      <c r="W41" s="2">
        <v>45575</v>
      </c>
      <c r="X41" s="3">
        <f t="shared" si="5"/>
        <v>1057</v>
      </c>
      <c r="Y41" s="119">
        <f t="shared" si="6"/>
        <v>-7.837799784108479E-3</v>
      </c>
      <c r="Z41" s="1"/>
      <c r="AA41" s="2">
        <v>45384</v>
      </c>
      <c r="AB41" s="3">
        <f t="shared" si="7"/>
        <v>992.95</v>
      </c>
      <c r="AC41" s="1">
        <f t="shared" si="9"/>
        <v>-6.8513702740546911E-3</v>
      </c>
      <c r="AD41" s="1"/>
      <c r="AE41" s="2">
        <v>45295</v>
      </c>
      <c r="AF41" s="3">
        <f t="shared" si="10"/>
        <v>710.4</v>
      </c>
      <c r="AG41" s="1">
        <f t="shared" si="11"/>
        <v>-2.5974025974025983E-3</v>
      </c>
      <c r="AH41" s="1"/>
      <c r="AI41" s="1"/>
      <c r="AJ41" s="1"/>
      <c r="AK41" s="1"/>
    </row>
    <row r="42" spans="1:37">
      <c r="A42" s="134">
        <v>45574</v>
      </c>
      <c r="B42" s="135">
        <v>1065.3499999999999</v>
      </c>
      <c r="C42" s="133">
        <f t="shared" si="0"/>
        <v>1.0145545915706489E-2</v>
      </c>
      <c r="D42" s="133">
        <v>24981.95</v>
      </c>
      <c r="E42" s="133">
        <f t="shared" si="1"/>
        <v>-1.2473438971101203E-3</v>
      </c>
      <c r="F42" s="135">
        <v>23783.8</v>
      </c>
      <c r="G42" s="67">
        <f t="shared" si="2"/>
        <v>-2.0007315904102763E-2</v>
      </c>
      <c r="W42" s="2">
        <v>45574</v>
      </c>
      <c r="X42" s="3">
        <f t="shared" si="5"/>
        <v>1065.3499999999999</v>
      </c>
      <c r="Y42" s="119">
        <f t="shared" si="6"/>
        <v>1.0145545915706489E-2</v>
      </c>
      <c r="Z42" s="1"/>
      <c r="AA42" s="2">
        <v>45383</v>
      </c>
      <c r="AB42" s="3">
        <f t="shared" si="7"/>
        <v>999.8</v>
      </c>
      <c r="AC42" s="1">
        <f t="shared" si="9"/>
        <v>-7.4949123939048734E-3</v>
      </c>
      <c r="AD42" s="1"/>
      <c r="AE42" s="2">
        <v>45294</v>
      </c>
      <c r="AF42" s="3">
        <f t="shared" si="10"/>
        <v>712.25</v>
      </c>
      <c r="AG42" s="1">
        <f t="shared" si="11"/>
        <v>1.8737037831652703E-2</v>
      </c>
      <c r="AH42" s="1"/>
      <c r="AI42" s="1"/>
      <c r="AJ42" s="1"/>
      <c r="AK42" s="1"/>
    </row>
    <row r="43" spans="1:37">
      <c r="A43" s="134">
        <v>45573</v>
      </c>
      <c r="B43" s="135">
        <v>1054.6500000000001</v>
      </c>
      <c r="C43" s="133">
        <f t="shared" si="0"/>
        <v>3.807166991862232E-3</v>
      </c>
      <c r="D43" s="133">
        <v>25013.15</v>
      </c>
      <c r="E43" s="133">
        <f t="shared" si="1"/>
        <v>8.7676315497615676E-3</v>
      </c>
      <c r="F43" s="135">
        <v>23307.95</v>
      </c>
      <c r="G43" s="67">
        <f t="shared" si="2"/>
        <v>-1.4164694878786022E-2</v>
      </c>
      <c r="W43" s="2">
        <v>45573</v>
      </c>
      <c r="X43" s="3">
        <f t="shared" si="5"/>
        <v>1054.6500000000001</v>
      </c>
      <c r="Y43" s="119">
        <f t="shared" si="6"/>
        <v>3.807166991862232E-3</v>
      </c>
      <c r="Z43" s="1"/>
      <c r="AA43" s="2">
        <v>45379</v>
      </c>
      <c r="AB43" s="3">
        <f t="shared" si="7"/>
        <v>1007.35</v>
      </c>
      <c r="AC43" s="1">
        <f t="shared" si="9"/>
        <v>7.6522956887066229E-3</v>
      </c>
      <c r="AD43" s="1"/>
      <c r="AE43" s="2">
        <v>45293</v>
      </c>
      <c r="AF43" s="3">
        <f t="shared" ref="AF43:AF72" si="13">B233</f>
        <v>699.15</v>
      </c>
      <c r="AG43" s="1">
        <f t="shared" si="11"/>
        <v>1.4437028438769595E-2</v>
      </c>
      <c r="AH43" s="1"/>
      <c r="AI43" s="1"/>
      <c r="AJ43" s="1"/>
      <c r="AK43" s="1"/>
    </row>
    <row r="44" spans="1:37">
      <c r="A44" s="134">
        <v>45572</v>
      </c>
      <c r="B44" s="135">
        <v>1050.6500000000001</v>
      </c>
      <c r="C44" s="133">
        <f t="shared" si="0"/>
        <v>-6.3365962074997118E-3</v>
      </c>
      <c r="D44" s="133">
        <v>24795.75</v>
      </c>
      <c r="E44" s="133">
        <f t="shared" si="1"/>
        <v>-8.7488906478615514E-3</v>
      </c>
      <c r="F44" s="135">
        <v>22977.8</v>
      </c>
      <c r="G44" s="67">
        <f t="shared" si="2"/>
        <v>5.0875192577184425E-3</v>
      </c>
      <c r="W44" s="2">
        <v>45572</v>
      </c>
      <c r="X44" s="3">
        <f t="shared" si="5"/>
        <v>1050.6500000000001</v>
      </c>
      <c r="Y44" s="119">
        <f t="shared" si="6"/>
        <v>-6.3365962074997118E-3</v>
      </c>
      <c r="Z44" s="1"/>
      <c r="AA44" s="2">
        <v>45378</v>
      </c>
      <c r="AB44" s="3">
        <f t="shared" si="7"/>
        <v>999.7</v>
      </c>
      <c r="AC44" s="1">
        <f t="shared" si="9"/>
        <v>-1.7059141635121122E-2</v>
      </c>
      <c r="AD44" s="1"/>
      <c r="AE44" s="2">
        <v>45292</v>
      </c>
      <c r="AF44" s="3">
        <f t="shared" si="13"/>
        <v>689.2</v>
      </c>
      <c r="AG44" s="1">
        <f t="shared" si="11"/>
        <v>4.0792540792542464E-3</v>
      </c>
      <c r="AH44" s="1"/>
      <c r="AI44" s="1"/>
      <c r="AJ44" s="1"/>
      <c r="AK44" s="1"/>
    </row>
    <row r="45" spans="1:37">
      <c r="A45" s="134">
        <v>45569</v>
      </c>
      <c r="B45" s="135">
        <v>1057.3499999999999</v>
      </c>
      <c r="C45" s="133">
        <f t="shared" si="0"/>
        <v>-1.0944296337870085E-2</v>
      </c>
      <c r="D45" s="133">
        <v>25014.6</v>
      </c>
      <c r="E45" s="133">
        <f t="shared" si="1"/>
        <v>-9.3266957358584257E-3</v>
      </c>
      <c r="F45" s="135">
        <v>23094.7</v>
      </c>
      <c r="G45" s="67">
        <f t="shared" si="2"/>
        <v>3.6393631439246565E-3</v>
      </c>
      <c r="W45" s="2">
        <v>45569</v>
      </c>
      <c r="X45" s="3">
        <f t="shared" si="5"/>
        <v>1057.3499999999999</v>
      </c>
      <c r="Y45" s="119">
        <f t="shared" si="6"/>
        <v>-1.0944296337870085E-2</v>
      </c>
      <c r="Z45" s="1"/>
      <c r="AA45" s="2">
        <v>45377</v>
      </c>
      <c r="AB45" s="3">
        <f t="shared" si="7"/>
        <v>1017.05</v>
      </c>
      <c r="AC45" s="1">
        <f t="shared" si="9"/>
        <v>1.7304326081520438E-2</v>
      </c>
      <c r="AD45" s="1"/>
      <c r="AE45" s="2">
        <v>45289</v>
      </c>
      <c r="AF45" s="3">
        <f t="shared" si="13"/>
        <v>686.4</v>
      </c>
      <c r="AG45" s="1">
        <f t="shared" si="11"/>
        <v>-3.2672620344151859E-3</v>
      </c>
      <c r="AH45" s="1"/>
      <c r="AI45" s="1"/>
      <c r="AJ45" s="1"/>
      <c r="AK45" s="1"/>
    </row>
    <row r="46" spans="1:37">
      <c r="A46" s="134">
        <v>45568</v>
      </c>
      <c r="B46" s="135">
        <v>1069.05</v>
      </c>
      <c r="C46" s="133">
        <f t="shared" si="0"/>
        <v>-1.0459573286434876E-2</v>
      </c>
      <c r="D46" s="133">
        <v>25250.1</v>
      </c>
      <c r="E46" s="133">
        <f t="shared" si="1"/>
        <v>-2.1196345297303298E-2</v>
      </c>
      <c r="F46" s="135">
        <v>23178.75</v>
      </c>
      <c r="G46" s="67">
        <f t="shared" si="2"/>
        <v>5.0822412770317182E-3</v>
      </c>
      <c r="W46" s="2">
        <v>45568</v>
      </c>
      <c r="X46" s="3">
        <f t="shared" si="5"/>
        <v>1069.05</v>
      </c>
      <c r="Y46" s="119">
        <f t="shared" si="6"/>
        <v>-1.0459573286434876E-2</v>
      </c>
      <c r="Z46" s="1"/>
      <c r="AA46" s="2">
        <v>45373</v>
      </c>
      <c r="AB46" s="3">
        <f t="shared" si="7"/>
        <v>999.75</v>
      </c>
      <c r="AC46" s="1">
        <f t="shared" si="9"/>
        <v>6.6455218244978465E-3</v>
      </c>
      <c r="AD46" s="1"/>
      <c r="AE46" s="2">
        <v>45288</v>
      </c>
      <c r="AF46" s="3">
        <f t="shared" si="13"/>
        <v>688.65</v>
      </c>
      <c r="AG46" s="1">
        <f t="shared" si="11"/>
        <v>1.8411712511091194E-2</v>
      </c>
      <c r="AH46" s="1"/>
      <c r="AI46" s="1"/>
      <c r="AJ46" s="1"/>
      <c r="AK46" s="1"/>
    </row>
    <row r="47" spans="1:37">
      <c r="A47" s="134">
        <v>45566</v>
      </c>
      <c r="B47" s="135">
        <v>1080.3499999999999</v>
      </c>
      <c r="C47" s="133">
        <f t="shared" si="0"/>
        <v>1.1043002199241814E-2</v>
      </c>
      <c r="D47" s="133">
        <v>25796.9</v>
      </c>
      <c r="E47" s="133">
        <f t="shared" si="1"/>
        <v>-5.4047038357885047E-4</v>
      </c>
      <c r="F47" s="135">
        <v>23296.55</v>
      </c>
      <c r="G47" s="67">
        <f t="shared" si="2"/>
        <v>-6.5889584509293275E-4</v>
      </c>
      <c r="W47" s="2">
        <v>45566</v>
      </c>
      <c r="X47" s="3">
        <f t="shared" si="5"/>
        <v>1080.3499999999999</v>
      </c>
      <c r="Y47" s="119">
        <f t="shared" si="6"/>
        <v>1.1043002199241814E-2</v>
      </c>
      <c r="Z47" s="1"/>
      <c r="AA47" s="2">
        <v>45372</v>
      </c>
      <c r="AB47" s="3">
        <f t="shared" si="7"/>
        <v>993.15</v>
      </c>
      <c r="AC47" s="1">
        <f t="shared" si="9"/>
        <v>2.2390364422482989E-2</v>
      </c>
      <c r="AD47" s="1"/>
      <c r="AE47" s="2">
        <v>45287</v>
      </c>
      <c r="AF47" s="3">
        <f t="shared" si="13"/>
        <v>676.2</v>
      </c>
      <c r="AG47" s="1">
        <f t="shared" si="11"/>
        <v>-5.5151114052504058E-3</v>
      </c>
      <c r="AH47" s="1"/>
      <c r="AI47" s="1"/>
      <c r="AJ47" s="1"/>
      <c r="AK47" s="1"/>
    </row>
    <row r="48" spans="1:37">
      <c r="A48" s="134">
        <v>45565</v>
      </c>
      <c r="B48" s="135">
        <v>1068.55</v>
      </c>
      <c r="C48" s="133">
        <f t="shared" si="0"/>
        <v>-6.8776430131513022E-3</v>
      </c>
      <c r="D48" s="133">
        <v>25810.85</v>
      </c>
      <c r="E48" s="133">
        <f t="shared" si="1"/>
        <v>-1.4060915353747983E-2</v>
      </c>
      <c r="F48" s="135">
        <v>23281.200000000001</v>
      </c>
      <c r="G48" s="67">
        <f t="shared" si="2"/>
        <v>1.021854543580214E-2</v>
      </c>
      <c r="W48" s="2">
        <v>45565</v>
      </c>
      <c r="X48" s="3">
        <f t="shared" si="5"/>
        <v>1068.55</v>
      </c>
      <c r="Y48" s="119">
        <f t="shared" si="6"/>
        <v>-6.8776430131513022E-3</v>
      </c>
      <c r="Z48" s="1"/>
      <c r="AA48" s="2">
        <v>45371</v>
      </c>
      <c r="AB48" s="3">
        <f t="shared" si="7"/>
        <v>971.4</v>
      </c>
      <c r="AC48" s="1">
        <f t="shared" si="9"/>
        <v>1.5981852863844459E-3</v>
      </c>
      <c r="AD48" s="1"/>
      <c r="AE48" s="2">
        <v>45286</v>
      </c>
      <c r="AF48" s="3">
        <f t="shared" si="13"/>
        <v>679.95</v>
      </c>
      <c r="AG48" s="1">
        <f t="shared" si="11"/>
        <v>1.2659170452006929E-2</v>
      </c>
      <c r="AH48" s="1"/>
      <c r="AI48" s="1"/>
      <c r="AJ48" s="1"/>
      <c r="AK48" s="1"/>
    </row>
    <row r="49" spans="1:37">
      <c r="A49" s="134">
        <v>45562</v>
      </c>
      <c r="B49" s="135">
        <v>1075.95</v>
      </c>
      <c r="C49" s="133">
        <f t="shared" si="0"/>
        <v>7.4438202247191221E-3</v>
      </c>
      <c r="D49" s="133">
        <v>26178.95</v>
      </c>
      <c r="E49" s="133">
        <f t="shared" si="1"/>
        <v>-1.4151636116043198E-3</v>
      </c>
      <c r="F49" s="135">
        <v>23519.1</v>
      </c>
      <c r="G49" s="67">
        <f t="shared" si="2"/>
        <v>-1.1403497582815558E-2</v>
      </c>
      <c r="W49" s="2">
        <v>45562</v>
      </c>
      <c r="X49" s="3">
        <f t="shared" si="5"/>
        <v>1075.95</v>
      </c>
      <c r="Y49" s="119">
        <f t="shared" si="6"/>
        <v>7.4438202247191221E-3</v>
      </c>
      <c r="Z49" s="1"/>
      <c r="AA49" s="2">
        <v>45370</v>
      </c>
      <c r="AB49" s="3">
        <f t="shared" si="7"/>
        <v>969.85</v>
      </c>
      <c r="AC49" s="1">
        <f t="shared" si="9"/>
        <v>-2.1588902900378293E-2</v>
      </c>
      <c r="AD49" s="1"/>
      <c r="AE49" s="2">
        <v>45282</v>
      </c>
      <c r="AF49" s="3">
        <f t="shared" si="13"/>
        <v>671.45</v>
      </c>
      <c r="AG49" s="1">
        <f t="shared" si="11"/>
        <v>1.1600753295668564E-2</v>
      </c>
      <c r="AH49" s="1"/>
      <c r="AI49" s="1"/>
      <c r="AJ49" s="1"/>
      <c r="AK49" s="1"/>
    </row>
    <row r="50" spans="1:37">
      <c r="A50" s="134">
        <v>45561</v>
      </c>
      <c r="B50" s="135">
        <v>1068</v>
      </c>
      <c r="C50" s="133">
        <f t="shared" si="0"/>
        <v>4.2785274342940216E-3</v>
      </c>
      <c r="D50" s="133">
        <v>26216.05</v>
      </c>
      <c r="E50" s="133">
        <f t="shared" si="1"/>
        <v>8.1486993422204002E-3</v>
      </c>
      <c r="F50" s="135">
        <v>23250.9</v>
      </c>
      <c r="G50" s="67">
        <f t="shared" si="2"/>
        <v>-8.1717266858571946E-5</v>
      </c>
      <c r="W50" s="2">
        <v>45561</v>
      </c>
      <c r="X50" s="3">
        <f t="shared" si="5"/>
        <v>1068</v>
      </c>
      <c r="Y50" s="119">
        <f t="shared" si="6"/>
        <v>4.2785274342940216E-3</v>
      </c>
      <c r="Z50" s="1"/>
      <c r="AA50" s="2">
        <v>45369</v>
      </c>
      <c r="AB50" s="3">
        <f t="shared" si="7"/>
        <v>991.25</v>
      </c>
      <c r="AC50" s="1">
        <f t="shared" si="9"/>
        <v>7.4702713690415479E-3</v>
      </c>
      <c r="AD50" s="1"/>
      <c r="AE50" s="2">
        <v>45281</v>
      </c>
      <c r="AF50" s="3">
        <f t="shared" si="13"/>
        <v>663.75</v>
      </c>
      <c r="AG50" s="1">
        <f t="shared" si="11"/>
        <v>-3.2222789239629734E-2</v>
      </c>
      <c r="AH50" s="1"/>
      <c r="AI50" s="1"/>
      <c r="AJ50" s="1"/>
      <c r="AK50" s="1"/>
    </row>
    <row r="51" spans="1:37">
      <c r="A51" s="134">
        <v>45560</v>
      </c>
      <c r="B51" s="135">
        <v>1063.45</v>
      </c>
      <c r="C51" s="133">
        <f t="shared" si="0"/>
        <v>1.1316627835100679E-2</v>
      </c>
      <c r="D51" s="133">
        <v>26004.15</v>
      </c>
      <c r="E51" s="133">
        <f t="shared" si="1"/>
        <v>2.4575565527131804E-3</v>
      </c>
      <c r="F51" s="135">
        <v>23249</v>
      </c>
      <c r="G51" s="67">
        <f t="shared" si="2"/>
        <v>-2.6065637231708072E-3</v>
      </c>
      <c r="W51" s="2">
        <v>45560</v>
      </c>
      <c r="X51" s="3">
        <f t="shared" si="5"/>
        <v>1063.45</v>
      </c>
      <c r="Y51" s="119">
        <f t="shared" si="6"/>
        <v>1.1316627835100679E-2</v>
      </c>
      <c r="Z51" s="1"/>
      <c r="AA51" s="2">
        <v>45366</v>
      </c>
      <c r="AB51" s="3">
        <f t="shared" si="7"/>
        <v>983.9</v>
      </c>
      <c r="AC51" s="1">
        <f t="shared" si="9"/>
        <v>-1.1453833015171333E-2</v>
      </c>
      <c r="AD51" s="1"/>
      <c r="AE51" s="2">
        <v>45280</v>
      </c>
      <c r="AF51" s="3">
        <f t="shared" si="13"/>
        <v>685.85</v>
      </c>
      <c r="AG51" s="1">
        <f t="shared" si="11"/>
        <v>7.7137819570967103E-3</v>
      </c>
      <c r="AH51" s="1"/>
      <c r="AI51" s="1"/>
      <c r="AJ51" s="1"/>
      <c r="AK51" s="1"/>
    </row>
    <row r="52" spans="1:37">
      <c r="A52" s="134">
        <v>45559</v>
      </c>
      <c r="B52" s="135">
        <v>1051.55</v>
      </c>
      <c r="C52" s="133">
        <f t="shared" si="0"/>
        <v>-3.5062781331438586E-3</v>
      </c>
      <c r="D52" s="133">
        <v>25940.400000000001</v>
      </c>
      <c r="E52" s="133">
        <f t="shared" si="1"/>
        <v>5.2045082607143911E-5</v>
      </c>
      <c r="F52" s="135">
        <v>23188.400000000001</v>
      </c>
      <c r="G52" s="67">
        <f t="shared" si="2"/>
        <v>-2.3352193338048721E-3</v>
      </c>
      <c r="W52" s="2">
        <v>45559</v>
      </c>
      <c r="X52" s="3">
        <f t="shared" si="5"/>
        <v>1051.55</v>
      </c>
      <c r="Y52" s="119">
        <f t="shared" si="6"/>
        <v>-3.5062781331438586E-3</v>
      </c>
      <c r="Z52" s="1"/>
      <c r="AA52" s="2">
        <v>45365</v>
      </c>
      <c r="AB52" s="3">
        <f t="shared" si="7"/>
        <v>995.3</v>
      </c>
      <c r="AC52" s="1">
        <f t="shared" si="9"/>
        <v>2.7512517421153238E-2</v>
      </c>
      <c r="AD52" s="1"/>
      <c r="AE52" s="2">
        <v>45279</v>
      </c>
      <c r="AF52" s="3">
        <f t="shared" si="13"/>
        <v>680.6</v>
      </c>
      <c r="AG52" s="1">
        <f t="shared" si="11"/>
        <v>5.3723486607833992E-2</v>
      </c>
      <c r="AH52" s="1"/>
      <c r="AI52" s="1"/>
      <c r="AJ52" s="1"/>
      <c r="AK52" s="1"/>
    </row>
    <row r="53" spans="1:37">
      <c r="A53" s="134">
        <v>45558</v>
      </c>
      <c r="B53" s="135">
        <v>1055.25</v>
      </c>
      <c r="C53" s="133">
        <f t="shared" si="0"/>
        <v>6.1634743030536399E-4</v>
      </c>
      <c r="D53" s="133">
        <v>25939.05</v>
      </c>
      <c r="E53" s="133">
        <f t="shared" si="1"/>
        <v>5.7423243424534753E-3</v>
      </c>
      <c r="F53" s="135">
        <v>23134.25</v>
      </c>
      <c r="G53" s="67">
        <f t="shared" si="2"/>
        <v>-5.5761479192106833E-3</v>
      </c>
      <c r="W53" s="2">
        <v>45558</v>
      </c>
      <c r="X53" s="3">
        <f t="shared" si="5"/>
        <v>1055.25</v>
      </c>
      <c r="Y53" s="119">
        <f t="shared" si="6"/>
        <v>6.1634743030536399E-4</v>
      </c>
      <c r="Z53" s="1"/>
      <c r="AA53" s="2">
        <v>45364</v>
      </c>
      <c r="AB53" s="3">
        <f t="shared" si="7"/>
        <v>968.65</v>
      </c>
      <c r="AC53" s="1">
        <f t="shared" si="9"/>
        <v>-1.9287232965475409E-2</v>
      </c>
      <c r="AD53" s="1"/>
      <c r="AE53" s="2">
        <v>45278</v>
      </c>
      <c r="AF53" s="3">
        <f t="shared" si="13"/>
        <v>645.9</v>
      </c>
      <c r="AG53" s="1">
        <f t="shared" si="11"/>
        <v>3.2618825722274813E-3</v>
      </c>
      <c r="AH53" s="1"/>
      <c r="AI53" s="1"/>
      <c r="AJ53" s="1"/>
      <c r="AK53" s="1"/>
    </row>
    <row r="54" spans="1:37">
      <c r="A54" s="134">
        <v>45555</v>
      </c>
      <c r="B54" s="135">
        <v>1054.5999999999999</v>
      </c>
      <c r="C54" s="133">
        <f t="shared" si="0"/>
        <v>1.4225425577296669E-4</v>
      </c>
      <c r="D54" s="133">
        <v>25790.95</v>
      </c>
      <c r="E54" s="133">
        <f t="shared" si="1"/>
        <v>1.4760503308965278E-2</v>
      </c>
      <c r="F54" s="135">
        <v>23005.25</v>
      </c>
      <c r="G54" s="67">
        <f t="shared" si="2"/>
        <v>-3.2644722400321236E-3</v>
      </c>
      <c r="W54" s="2">
        <v>45555</v>
      </c>
      <c r="X54" s="3">
        <f t="shared" si="5"/>
        <v>1054.5999999999999</v>
      </c>
      <c r="Y54" s="119">
        <f t="shared" si="6"/>
        <v>1.4225425577296669E-4</v>
      </c>
      <c r="Z54" s="1"/>
      <c r="AA54" s="2">
        <v>45363</v>
      </c>
      <c r="AB54" s="3">
        <f t="shared" si="7"/>
        <v>987.7</v>
      </c>
      <c r="AC54" s="1">
        <f t="shared" si="9"/>
        <v>-6.7876715772537954E-3</v>
      </c>
      <c r="AD54" s="1"/>
      <c r="AE54" s="2">
        <v>45275</v>
      </c>
      <c r="AF54" s="3">
        <f t="shared" si="13"/>
        <v>643.79999999999995</v>
      </c>
      <c r="AG54" s="1">
        <f t="shared" si="11"/>
        <v>2.1793275217931729E-3</v>
      </c>
      <c r="AH54" s="1"/>
      <c r="AI54" s="1"/>
      <c r="AJ54" s="1"/>
      <c r="AK54" s="1"/>
    </row>
    <row r="55" spans="1:37">
      <c r="A55" s="134">
        <v>45554</v>
      </c>
      <c r="B55" s="135">
        <v>1054.45</v>
      </c>
      <c r="C55" s="133">
        <f t="shared" si="0"/>
        <v>-2.361220426871613E-2</v>
      </c>
      <c r="D55" s="133">
        <v>25415.8</v>
      </c>
      <c r="E55" s="133">
        <f t="shared" si="1"/>
        <v>1.5072376963103373E-3</v>
      </c>
      <c r="F55" s="135">
        <v>22930.15</v>
      </c>
      <c r="G55" s="67">
        <f t="shared" si="2"/>
        <v>4.1451974801733904E-3</v>
      </c>
      <c r="W55" s="2">
        <v>45554</v>
      </c>
      <c r="X55" s="3">
        <f t="shared" si="5"/>
        <v>1054.45</v>
      </c>
      <c r="Y55" s="119">
        <f t="shared" si="6"/>
        <v>-2.361220426871613E-2</v>
      </c>
      <c r="Z55" s="1"/>
      <c r="AA55" s="2">
        <v>45362</v>
      </c>
      <c r="AB55" s="3">
        <f t="shared" si="7"/>
        <v>994.45</v>
      </c>
      <c r="AC55" s="1">
        <f t="shared" si="9"/>
        <v>1.812132070642436E-2</v>
      </c>
      <c r="AD55" s="1"/>
      <c r="AE55" s="2">
        <v>45274</v>
      </c>
      <c r="AF55" s="3">
        <f t="shared" si="13"/>
        <v>642.4</v>
      </c>
      <c r="AG55" s="1">
        <f t="shared" si="11"/>
        <v>1.1016682404784373E-2</v>
      </c>
      <c r="AH55" s="1"/>
      <c r="AI55" s="1"/>
      <c r="AJ55" s="1"/>
      <c r="AK55" s="1"/>
    </row>
    <row r="56" spans="1:37">
      <c r="A56" s="134">
        <v>45553</v>
      </c>
      <c r="B56" s="135">
        <v>1079.95</v>
      </c>
      <c r="C56" s="133">
        <f t="shared" si="0"/>
        <v>-2.7904046086682621E-2</v>
      </c>
      <c r="D56" s="133">
        <v>25377.55</v>
      </c>
      <c r="E56" s="133">
        <f t="shared" si="1"/>
        <v>-1.6129952337957665E-3</v>
      </c>
      <c r="F56" s="135">
        <v>23025.200000000001</v>
      </c>
      <c r="G56" s="67">
        <f t="shared" si="2"/>
        <v>1.5567725796084231E-2</v>
      </c>
      <c r="W56" s="2">
        <v>45553</v>
      </c>
      <c r="X56" s="3">
        <f t="shared" si="5"/>
        <v>1079.95</v>
      </c>
      <c r="Y56" s="119">
        <f t="shared" si="6"/>
        <v>-2.7904046086682621E-2</v>
      </c>
      <c r="Z56" s="1"/>
      <c r="AA56" s="2">
        <v>45358</v>
      </c>
      <c r="AB56" s="3">
        <f t="shared" si="7"/>
        <v>976.75</v>
      </c>
      <c r="AC56" s="1">
        <f t="shared" si="9"/>
        <v>1.5490980922181263E-2</v>
      </c>
      <c r="AD56" s="1"/>
      <c r="AE56" s="2">
        <v>45273</v>
      </c>
      <c r="AF56" s="3">
        <f t="shared" si="13"/>
        <v>635.4</v>
      </c>
      <c r="AG56" s="1">
        <f t="shared" si="11"/>
        <v>2.8409090909089496E-3</v>
      </c>
      <c r="AH56" s="1"/>
      <c r="AI56" s="1"/>
      <c r="AJ56" s="1"/>
      <c r="AK56" s="1"/>
    </row>
    <row r="57" spans="1:37">
      <c r="A57" s="134">
        <v>45552</v>
      </c>
      <c r="B57" s="135">
        <v>1110.95</v>
      </c>
      <c r="C57" s="133">
        <f t="shared" si="0"/>
        <v>-4.3912712282115907E-3</v>
      </c>
      <c r="D57" s="133">
        <v>25418.55</v>
      </c>
      <c r="E57" s="133">
        <f t="shared" si="1"/>
        <v>1.3709558280394774E-3</v>
      </c>
      <c r="F57" s="135">
        <v>23383.65</v>
      </c>
      <c r="G57" s="67">
        <f t="shared" si="2"/>
        <v>2.7839965103821918E-3</v>
      </c>
      <c r="W57" s="2">
        <v>45552</v>
      </c>
      <c r="X57" s="3">
        <f t="shared" si="5"/>
        <v>1110.95</v>
      </c>
      <c r="Y57" s="119">
        <f t="shared" si="6"/>
        <v>-4.3912712282115907E-3</v>
      </c>
      <c r="Z57" s="1"/>
      <c r="AA57" s="2">
        <v>45357</v>
      </c>
      <c r="AB57" s="3">
        <f t="shared" si="7"/>
        <v>961.85</v>
      </c>
      <c r="AC57" s="1">
        <f t="shared" si="9"/>
        <v>8.4927916120576263E-3</v>
      </c>
      <c r="AD57" s="1"/>
      <c r="AE57" s="2">
        <v>45272</v>
      </c>
      <c r="AF57" s="3">
        <f t="shared" si="13"/>
        <v>633.6</v>
      </c>
      <c r="AG57" s="1">
        <f t="shared" si="11"/>
        <v>-7.7519379844960268E-3</v>
      </c>
      <c r="AH57" s="1"/>
      <c r="AI57" s="1"/>
      <c r="AJ57" s="1"/>
      <c r="AK57" s="1"/>
    </row>
    <row r="58" spans="1:37">
      <c r="A58" s="134">
        <v>45551</v>
      </c>
      <c r="B58" s="135">
        <v>1115.8499999999999</v>
      </c>
      <c r="C58" s="133">
        <f t="shared" si="0"/>
        <v>-2.41383934558137E-3</v>
      </c>
      <c r="D58" s="133">
        <v>25383.75</v>
      </c>
      <c r="E58" s="133">
        <f t="shared" si="1"/>
        <v>1.0746751326089488E-3</v>
      </c>
      <c r="F58" s="135">
        <v>23448.75</v>
      </c>
      <c r="G58" s="67">
        <f t="shared" si="2"/>
        <v>3.7955114878207574E-4</v>
      </c>
      <c r="W58" s="2">
        <v>45551</v>
      </c>
      <c r="X58" s="3">
        <f t="shared" si="5"/>
        <v>1115.8499999999999</v>
      </c>
      <c r="Y58" s="119">
        <f t="shared" si="6"/>
        <v>-2.41383934558137E-3</v>
      </c>
      <c r="Z58" s="1"/>
      <c r="AA58" s="2">
        <v>45356</v>
      </c>
      <c r="AB58" s="3">
        <f t="shared" si="7"/>
        <v>953.75</v>
      </c>
      <c r="AC58" s="1">
        <f t="shared" si="9"/>
        <v>7.9260237780713894E-3</v>
      </c>
      <c r="AD58" s="1"/>
      <c r="AE58" s="2">
        <v>45271</v>
      </c>
      <c r="AF58" s="3">
        <f t="shared" si="13"/>
        <v>638.54999999999995</v>
      </c>
      <c r="AG58" s="1">
        <f t="shared" si="11"/>
        <v>-2.9485523216050025E-2</v>
      </c>
      <c r="AH58" s="1"/>
      <c r="AI58" s="1"/>
      <c r="AJ58" s="1"/>
      <c r="AK58" s="1"/>
    </row>
    <row r="59" spans="1:37">
      <c r="A59" s="134">
        <v>45548</v>
      </c>
      <c r="B59" s="135">
        <v>1118.55</v>
      </c>
      <c r="C59" s="133">
        <f t="shared" si="0"/>
        <v>-1.3838050174090899E-3</v>
      </c>
      <c r="D59" s="133">
        <v>25356.5</v>
      </c>
      <c r="E59" s="133">
        <f t="shared" si="1"/>
        <v>-1.276148238009589E-3</v>
      </c>
      <c r="F59" s="135">
        <v>23457.65</v>
      </c>
      <c r="G59" s="67">
        <f t="shared" si="2"/>
        <v>-1.1957719549913204E-3</v>
      </c>
      <c r="W59" s="2">
        <v>45548</v>
      </c>
      <c r="X59" s="3">
        <f t="shared" si="5"/>
        <v>1118.55</v>
      </c>
      <c r="Y59" s="119">
        <f t="shared" si="6"/>
        <v>-1.3838050174090899E-3</v>
      </c>
      <c r="Z59" s="1"/>
      <c r="AA59" s="2">
        <v>45355</v>
      </c>
      <c r="AB59" s="3">
        <f t="shared" si="7"/>
        <v>946.25</v>
      </c>
      <c r="AC59" s="1">
        <f t="shared" si="9"/>
        <v>2.2586048522180713E-2</v>
      </c>
      <c r="AD59" s="1"/>
      <c r="AE59" s="2">
        <v>45268</v>
      </c>
      <c r="AF59" s="3">
        <f t="shared" si="13"/>
        <v>657.95</v>
      </c>
      <c r="AG59" s="1">
        <f t="shared" si="11"/>
        <v>3.5407978597844059E-2</v>
      </c>
      <c r="AH59" s="1"/>
      <c r="AI59" s="1"/>
      <c r="AJ59" s="1"/>
      <c r="AK59" s="1"/>
    </row>
    <row r="60" spans="1:37">
      <c r="A60" s="134">
        <v>45547</v>
      </c>
      <c r="B60" s="135">
        <v>1120.0999999999999</v>
      </c>
      <c r="C60" s="133">
        <f t="shared" si="0"/>
        <v>6.7409671040805641E-3</v>
      </c>
      <c r="D60" s="133">
        <v>25388.9</v>
      </c>
      <c r="E60" s="133">
        <f t="shared" si="1"/>
        <v>1.8879585206944993E-2</v>
      </c>
      <c r="F60" s="135">
        <v>23429.599999999999</v>
      </c>
      <c r="G60" s="67">
        <f t="shared" si="2"/>
        <v>-8.928876293235799E-3</v>
      </c>
      <c r="W60" s="2">
        <v>45547</v>
      </c>
      <c r="X60" s="3">
        <f t="shared" si="5"/>
        <v>1120.0999999999999</v>
      </c>
      <c r="Y60" s="119">
        <f t="shared" si="6"/>
        <v>6.7409671040805641E-3</v>
      </c>
      <c r="Z60" s="1"/>
      <c r="AA60" s="2">
        <v>45352</v>
      </c>
      <c r="AB60" s="3">
        <f t="shared" si="7"/>
        <v>925.35</v>
      </c>
      <c r="AC60" s="1">
        <f t="shared" si="9"/>
        <v>-1.7570867395689471E-2</v>
      </c>
      <c r="AD60" s="1"/>
      <c r="AE60" s="2">
        <v>45267</v>
      </c>
      <c r="AF60" s="3">
        <f t="shared" si="13"/>
        <v>635.45000000000005</v>
      </c>
      <c r="AG60" s="1">
        <f t="shared" si="11"/>
        <v>2.2080277580633911E-3</v>
      </c>
      <c r="AH60" s="1"/>
      <c r="AI60" s="1"/>
      <c r="AJ60" s="1"/>
      <c r="AK60" s="1"/>
    </row>
    <row r="61" spans="1:37">
      <c r="A61" s="134">
        <v>45546</v>
      </c>
      <c r="B61" s="135">
        <v>1112.5999999999999</v>
      </c>
      <c r="C61" s="133">
        <f t="shared" si="0"/>
        <v>-5.3898670499474832E-4</v>
      </c>
      <c r="D61" s="133">
        <v>24918.45</v>
      </c>
      <c r="E61" s="133">
        <f t="shared" si="1"/>
        <v>-4.8979477738596566E-3</v>
      </c>
      <c r="F61" s="135">
        <v>23220.400000000001</v>
      </c>
      <c r="G61" s="67">
        <f t="shared" si="2"/>
        <v>1.5697404006820292E-3</v>
      </c>
      <c r="W61" s="2">
        <v>45546</v>
      </c>
      <c r="X61" s="3">
        <f t="shared" si="5"/>
        <v>1112.5999999999999</v>
      </c>
      <c r="Y61" s="119">
        <f t="shared" si="6"/>
        <v>-5.3898670499474832E-4</v>
      </c>
      <c r="Z61" s="1"/>
      <c r="AA61" s="2">
        <v>45351</v>
      </c>
      <c r="AB61" s="3">
        <f t="shared" si="7"/>
        <v>941.9</v>
      </c>
      <c r="AC61" s="1">
        <f t="shared" si="9"/>
        <v>9.9721209521765886E-3</v>
      </c>
      <c r="AD61" s="1"/>
      <c r="AE61" s="2">
        <v>45266</v>
      </c>
      <c r="AF61" s="3">
        <f t="shared" si="13"/>
        <v>634.04999999999995</v>
      </c>
      <c r="AG61" s="1">
        <f t="shared" si="11"/>
        <v>1.0262077676033154E-3</v>
      </c>
      <c r="AH61" s="1"/>
      <c r="AI61" s="1"/>
      <c r="AJ61" s="1"/>
      <c r="AK61" s="1"/>
    </row>
    <row r="62" spans="1:37">
      <c r="A62" s="134">
        <v>45545</v>
      </c>
      <c r="B62" s="135">
        <v>1113.2</v>
      </c>
      <c r="C62" s="133">
        <f t="shared" si="0"/>
        <v>8.1963501335868827E-3</v>
      </c>
      <c r="D62" s="133">
        <v>25041.1</v>
      </c>
      <c r="E62" s="133">
        <f t="shared" si="1"/>
        <v>4.1986814455974297E-3</v>
      </c>
      <c r="F62" s="135">
        <v>23256.85</v>
      </c>
      <c r="G62" s="67">
        <f t="shared" si="2"/>
        <v>-1.0639875993524339E-2</v>
      </c>
      <c r="W62" s="2">
        <v>45545</v>
      </c>
      <c r="X62" s="3">
        <f t="shared" si="5"/>
        <v>1113.2</v>
      </c>
      <c r="Y62" s="119">
        <f t="shared" si="6"/>
        <v>8.1963501335868827E-3</v>
      </c>
      <c r="Z62" s="1"/>
      <c r="AA62" s="2">
        <v>45350</v>
      </c>
      <c r="AB62" s="3">
        <f t="shared" si="7"/>
        <v>932.6</v>
      </c>
      <c r="AC62" s="1">
        <f t="shared" si="9"/>
        <v>-1.0871294479503635E-2</v>
      </c>
      <c r="AD62" s="1"/>
      <c r="AE62" s="2">
        <v>45265</v>
      </c>
      <c r="AF62" s="3">
        <f t="shared" si="13"/>
        <v>633.4</v>
      </c>
      <c r="AG62" s="1">
        <f t="shared" si="11"/>
        <v>-9.8483664217603462E-3</v>
      </c>
      <c r="AH62" s="1"/>
      <c r="AI62" s="1"/>
      <c r="AJ62" s="1"/>
      <c r="AK62" s="1"/>
    </row>
    <row r="63" spans="1:37">
      <c r="A63" s="134">
        <v>45544</v>
      </c>
      <c r="B63" s="135">
        <v>1104.1500000000001</v>
      </c>
      <c r="C63" s="133">
        <f t="shared" si="0"/>
        <v>3.7727272727272609E-3</v>
      </c>
      <c r="D63" s="133">
        <v>24936.400000000001</v>
      </c>
      <c r="E63" s="133">
        <f t="shared" si="1"/>
        <v>3.3900487482974029E-3</v>
      </c>
      <c r="F63" s="135">
        <v>23009.4</v>
      </c>
      <c r="G63" s="67">
        <f t="shared" si="2"/>
        <v>1.4776569575911669E-3</v>
      </c>
      <c r="W63" s="2">
        <v>45544</v>
      </c>
      <c r="X63" s="3">
        <f t="shared" si="5"/>
        <v>1104.1500000000001</v>
      </c>
      <c r="Y63" s="119">
        <f t="shared" si="6"/>
        <v>3.7727272727272609E-3</v>
      </c>
      <c r="Z63" s="1"/>
      <c r="AA63" s="2">
        <v>45349</v>
      </c>
      <c r="AB63" s="3">
        <f t="shared" si="7"/>
        <v>942.85</v>
      </c>
      <c r="AC63" s="1">
        <f t="shared" si="9"/>
        <v>3.1828550209556106E-4</v>
      </c>
      <c r="AD63" s="1"/>
      <c r="AE63" s="2">
        <v>45264</v>
      </c>
      <c r="AF63" s="3">
        <f t="shared" si="13"/>
        <v>639.70000000000005</v>
      </c>
      <c r="AG63" s="1">
        <f t="shared" si="11"/>
        <v>3.3722845267039059E-3</v>
      </c>
      <c r="AH63" s="1"/>
      <c r="AI63" s="1"/>
      <c r="AJ63" s="1"/>
      <c r="AK63" s="1"/>
    </row>
    <row r="64" spans="1:37">
      <c r="A64" s="134">
        <v>45541</v>
      </c>
      <c r="B64" s="135">
        <v>1100</v>
      </c>
      <c r="C64" s="133">
        <f t="shared" si="0"/>
        <v>-1.3585616284804813E-2</v>
      </c>
      <c r="D64" s="133">
        <v>24852.15</v>
      </c>
      <c r="E64" s="133">
        <f t="shared" si="1"/>
        <v>-1.16503811875871E-2</v>
      </c>
      <c r="F64" s="135">
        <v>23043.4</v>
      </c>
      <c r="G64" s="67">
        <f t="shared" si="2"/>
        <v>4.9168091514273371E-3</v>
      </c>
      <c r="W64" s="2">
        <v>45541</v>
      </c>
      <c r="X64" s="3">
        <f t="shared" si="5"/>
        <v>1100</v>
      </c>
      <c r="Y64" s="119">
        <f t="shared" si="6"/>
        <v>-1.3585616284804813E-2</v>
      </c>
      <c r="Z64" s="1"/>
      <c r="AA64" s="2">
        <v>45348</v>
      </c>
      <c r="AB64" s="3">
        <f t="shared" si="7"/>
        <v>942.55</v>
      </c>
      <c r="AC64" s="1">
        <f t="shared" si="9"/>
        <v>2.0904413755754137E-2</v>
      </c>
      <c r="AD64" s="1"/>
      <c r="AE64" s="2">
        <v>45261</v>
      </c>
      <c r="AF64" s="3">
        <f t="shared" si="13"/>
        <v>637.54999999999995</v>
      </c>
      <c r="AG64" s="1">
        <f t="shared" si="11"/>
        <v>3.9366978978032652E-3</v>
      </c>
      <c r="AH64" s="1"/>
      <c r="AI64" s="1"/>
      <c r="AJ64" s="1"/>
      <c r="AK64" s="1"/>
    </row>
    <row r="65" spans="1:37">
      <c r="A65" s="134">
        <v>45540</v>
      </c>
      <c r="B65" s="135">
        <v>1115.1500000000001</v>
      </c>
      <c r="C65" s="133">
        <f t="shared" si="0"/>
        <v>-1.1304193634187443E-2</v>
      </c>
      <c r="D65" s="133">
        <v>25145.1</v>
      </c>
      <c r="E65" s="133">
        <f t="shared" si="1"/>
        <v>-2.127093858016571E-3</v>
      </c>
      <c r="F65" s="135">
        <v>23156.7</v>
      </c>
      <c r="G65" s="67">
        <f t="shared" si="2"/>
        <v>1.1961980765826663E-3</v>
      </c>
      <c r="W65" s="2">
        <v>45540</v>
      </c>
      <c r="X65" s="3">
        <f t="shared" si="5"/>
        <v>1115.1500000000001</v>
      </c>
      <c r="Y65" s="119">
        <f t="shared" si="6"/>
        <v>-1.1304193634187443E-2</v>
      </c>
      <c r="Z65" s="1"/>
      <c r="AA65" s="2">
        <v>45345</v>
      </c>
      <c r="AB65" s="3">
        <f t="shared" si="7"/>
        <v>923.25</v>
      </c>
      <c r="AC65" s="1">
        <f t="shared" si="9"/>
        <v>2.0955435143204637E-2</v>
      </c>
      <c r="AD65" s="1"/>
      <c r="AE65" s="2">
        <v>45260</v>
      </c>
      <c r="AF65" s="3">
        <f t="shared" si="13"/>
        <v>635.04999999999995</v>
      </c>
      <c r="AG65" s="1">
        <f t="shared" si="11"/>
        <v>8.3359796760875682E-3</v>
      </c>
      <c r="AH65" s="1"/>
      <c r="AI65" s="1"/>
      <c r="AJ65" s="1"/>
      <c r="AK65" s="1"/>
    </row>
    <row r="66" spans="1:37">
      <c r="A66" s="134">
        <v>45539</v>
      </c>
      <c r="B66" s="135">
        <v>1127.9000000000001</v>
      </c>
      <c r="C66" s="133">
        <f t="shared" si="0"/>
        <v>1.247755834829456E-2</v>
      </c>
      <c r="D66" s="133">
        <v>25198.7</v>
      </c>
      <c r="E66" s="133">
        <f t="shared" si="1"/>
        <v>-3.2100665154262131E-3</v>
      </c>
      <c r="F66" s="135">
        <v>23184.400000000001</v>
      </c>
      <c r="G66" s="67">
        <f t="shared" si="2"/>
        <v>-7.336829937371725E-3</v>
      </c>
      <c r="W66" s="2">
        <v>45539</v>
      </c>
      <c r="X66" s="3">
        <f t="shared" si="5"/>
        <v>1127.9000000000001</v>
      </c>
      <c r="Y66" s="119">
        <f t="shared" si="6"/>
        <v>1.247755834829456E-2</v>
      </c>
      <c r="Z66" s="1"/>
      <c r="AA66" s="2">
        <v>45344</v>
      </c>
      <c r="AB66" s="3">
        <f t="shared" si="7"/>
        <v>904.3</v>
      </c>
      <c r="AC66" s="1">
        <f t="shared" si="9"/>
        <v>1.1747594540165496E-2</v>
      </c>
      <c r="AD66" s="1"/>
      <c r="AE66" s="2">
        <v>45259</v>
      </c>
      <c r="AF66" s="3">
        <f t="shared" si="13"/>
        <v>629.79999999999995</v>
      </c>
      <c r="AG66" s="1">
        <f t="shared" si="11"/>
        <v>-1.5783716205657217E-2</v>
      </c>
      <c r="AH66" s="1"/>
      <c r="AI66" s="1"/>
      <c r="AJ66" s="1"/>
      <c r="AK66" s="1"/>
    </row>
    <row r="67" spans="1:37">
      <c r="A67" s="134">
        <v>45538</v>
      </c>
      <c r="B67" s="135">
        <v>1114</v>
      </c>
      <c r="C67" s="133">
        <f t="shared" si="0"/>
        <v>2.2041293688992436E-3</v>
      </c>
      <c r="D67" s="133">
        <v>25279.85</v>
      </c>
      <c r="E67" s="133">
        <f t="shared" si="1"/>
        <v>4.5492845755390476E-5</v>
      </c>
      <c r="F67" s="135">
        <v>23014.3</v>
      </c>
      <c r="G67" s="67">
        <f t="shared" si="2"/>
        <v>-1.1666659424791614E-3</v>
      </c>
      <c r="W67" s="2">
        <v>45538</v>
      </c>
      <c r="X67" s="3">
        <f t="shared" si="5"/>
        <v>1114</v>
      </c>
      <c r="Y67" s="119">
        <f t="shared" si="6"/>
        <v>2.2041293688992436E-3</v>
      </c>
      <c r="Z67" s="1"/>
      <c r="AA67" s="2">
        <v>45343</v>
      </c>
      <c r="AB67" s="3">
        <f t="shared" si="7"/>
        <v>893.8</v>
      </c>
      <c r="AC67" s="1">
        <f t="shared" si="9"/>
        <v>-2.17694669271562E-3</v>
      </c>
      <c r="AD67" s="1"/>
      <c r="AE67" s="2">
        <v>45258</v>
      </c>
      <c r="AF67" s="3">
        <f t="shared" si="13"/>
        <v>639.9</v>
      </c>
      <c r="AG67" s="1">
        <f t="shared" si="11"/>
        <v>1.3141228625712431E-2</v>
      </c>
      <c r="AH67" s="1"/>
      <c r="AI67" s="1"/>
      <c r="AJ67" s="1"/>
      <c r="AK67" s="1"/>
    </row>
    <row r="68" spans="1:37">
      <c r="A68" s="134">
        <v>45537</v>
      </c>
      <c r="B68" s="135">
        <v>1111.55</v>
      </c>
      <c r="C68" s="133">
        <f t="shared" si="0"/>
        <v>-1.4495965954428702E-2</v>
      </c>
      <c r="D68" s="133">
        <v>25278.7</v>
      </c>
      <c r="E68" s="133">
        <f t="shared" si="1"/>
        <v>1.6959965763059248E-3</v>
      </c>
      <c r="F68" s="135">
        <v>22987.45</v>
      </c>
      <c r="G68" s="67">
        <f t="shared" si="2"/>
        <v>1.0011984800401885E-2</v>
      </c>
      <c r="W68" s="2">
        <v>45537</v>
      </c>
      <c r="X68" s="3">
        <f t="shared" si="5"/>
        <v>1111.55</v>
      </c>
      <c r="Y68" s="119">
        <f t="shared" si="6"/>
        <v>-1.4495965954428702E-2</v>
      </c>
      <c r="Z68" s="1"/>
      <c r="AA68" s="2">
        <v>45342</v>
      </c>
      <c r="AB68" s="3">
        <f t="shared" si="7"/>
        <v>895.75</v>
      </c>
      <c r="AC68" s="1">
        <f t="shared" si="9"/>
        <v>-1.3002038455181442E-2</v>
      </c>
      <c r="AD68" s="1"/>
      <c r="AE68" s="2">
        <v>45254</v>
      </c>
      <c r="AF68" s="3">
        <f t="shared" si="13"/>
        <v>631.6</v>
      </c>
      <c r="AG68" s="1">
        <f t="shared" si="11"/>
        <v>-1.6275990966435505E-2</v>
      </c>
      <c r="AH68" s="1"/>
      <c r="AI68" s="1"/>
      <c r="AJ68" s="1"/>
      <c r="AK68" s="1"/>
    </row>
    <row r="69" spans="1:37">
      <c r="A69" s="134">
        <v>45534</v>
      </c>
      <c r="B69" s="135">
        <v>1127.9000000000001</v>
      </c>
      <c r="C69" s="133">
        <f t="shared" si="0"/>
        <v>-3.6659158164390471E-3</v>
      </c>
      <c r="D69" s="133">
        <v>25235.9</v>
      </c>
      <c r="E69" s="133">
        <f t="shared" si="1"/>
        <v>3.3377133780880808E-3</v>
      </c>
      <c r="F69" s="135">
        <v>23217.599999999999</v>
      </c>
      <c r="G69" s="67">
        <f t="shared" si="2"/>
        <v>-1.4624681276273144E-2</v>
      </c>
      <c r="W69" s="2">
        <v>45534</v>
      </c>
      <c r="X69" s="3">
        <f t="shared" si="5"/>
        <v>1127.9000000000001</v>
      </c>
      <c r="Y69" s="119">
        <f t="shared" si="6"/>
        <v>-3.6659158164390471E-3</v>
      </c>
      <c r="Z69" s="1"/>
      <c r="AA69" s="2">
        <v>45341</v>
      </c>
      <c r="AB69" s="3">
        <f t="shared" si="7"/>
        <v>907.55</v>
      </c>
      <c r="AC69" s="1">
        <f t="shared" si="9"/>
        <v>1.7546810180513406E-2</v>
      </c>
      <c r="AD69" s="1"/>
      <c r="AE69" s="2">
        <v>45253</v>
      </c>
      <c r="AF69" s="3">
        <f t="shared" si="13"/>
        <v>642.04999999999995</v>
      </c>
      <c r="AG69" s="1">
        <f t="shared" si="11"/>
        <v>4.6944683514591468E-3</v>
      </c>
      <c r="AH69" s="1"/>
      <c r="AI69" s="1"/>
      <c r="AJ69" s="1"/>
      <c r="AK69" s="1"/>
    </row>
    <row r="70" spans="1:37">
      <c r="A70" s="134">
        <v>45533</v>
      </c>
      <c r="B70" s="135">
        <v>1132.05</v>
      </c>
      <c r="C70" s="133">
        <f t="shared" si="0"/>
        <v>-5.4906439427215847E-3</v>
      </c>
      <c r="D70" s="133">
        <v>25151.95</v>
      </c>
      <c r="E70" s="133">
        <f t="shared" si="1"/>
        <v>3.975674936682605E-3</v>
      </c>
      <c r="F70" s="135">
        <v>22878.05</v>
      </c>
      <c r="G70" s="67">
        <f t="shared" si="2"/>
        <v>4.8539976090620218E-3</v>
      </c>
      <c r="W70" s="2">
        <v>45533</v>
      </c>
      <c r="X70" s="3">
        <f t="shared" si="5"/>
        <v>1132.05</v>
      </c>
      <c r="Y70" s="119">
        <f t="shared" si="6"/>
        <v>-5.4906439427215847E-3</v>
      </c>
      <c r="Z70" s="1"/>
      <c r="AA70" s="2">
        <v>45338</v>
      </c>
      <c r="AB70" s="3">
        <f t="shared" si="7"/>
        <v>891.9</v>
      </c>
      <c r="AC70" s="1">
        <f t="shared" si="9"/>
        <v>1.473348882188974E-2</v>
      </c>
      <c r="AD70" s="1"/>
      <c r="AE70" s="2">
        <v>45252</v>
      </c>
      <c r="AF70" s="3">
        <f t="shared" si="13"/>
        <v>639.04999999999995</v>
      </c>
      <c r="AG70" s="1">
        <f t="shared" si="11"/>
        <v>4.7955974842766036E-3</v>
      </c>
      <c r="AH70" s="1"/>
      <c r="AI70" s="1"/>
      <c r="AJ70" s="1"/>
      <c r="AK70" s="1"/>
    </row>
    <row r="71" spans="1:37">
      <c r="A71" s="134">
        <v>45532</v>
      </c>
      <c r="B71" s="135">
        <v>1138.3</v>
      </c>
      <c r="C71" s="133">
        <f t="shared" si="0"/>
        <v>2.1584025129010476E-2</v>
      </c>
      <c r="D71" s="133">
        <v>25052.35</v>
      </c>
      <c r="E71" s="133">
        <f t="shared" si="1"/>
        <v>1.3830180571794415E-3</v>
      </c>
      <c r="F71" s="135">
        <v>22989.1</v>
      </c>
      <c r="G71" s="67">
        <f t="shared" si="2"/>
        <v>-1.1314057531612742E-2</v>
      </c>
      <c r="W71" s="2">
        <v>45532</v>
      </c>
      <c r="X71" s="3">
        <f t="shared" si="5"/>
        <v>1138.3</v>
      </c>
      <c r="Y71" s="119">
        <f t="shared" si="6"/>
        <v>2.1584025129010476E-2</v>
      </c>
      <c r="Z71" s="1"/>
      <c r="AA71" s="2">
        <v>45337</v>
      </c>
      <c r="AB71" s="3">
        <f t="shared" si="7"/>
        <v>878.95</v>
      </c>
      <c r="AC71" s="1">
        <f t="shared" si="9"/>
        <v>1.2848582622724258E-2</v>
      </c>
      <c r="AD71" s="1"/>
      <c r="AE71" s="2">
        <v>45251</v>
      </c>
      <c r="AF71" s="3">
        <f t="shared" si="13"/>
        <v>636</v>
      </c>
      <c r="AG71" s="1">
        <f t="shared" si="11"/>
        <v>-8.6403267614476587E-4</v>
      </c>
      <c r="AH71" s="1"/>
      <c r="AI71" s="1"/>
      <c r="AJ71" s="1"/>
      <c r="AK71" s="1"/>
    </row>
    <row r="72" spans="1:37">
      <c r="A72" s="134">
        <v>45531</v>
      </c>
      <c r="B72" s="135">
        <v>1114.25</v>
      </c>
      <c r="C72" s="133">
        <f t="shared" si="0"/>
        <v>5.2325319139339133E-3</v>
      </c>
      <c r="D72" s="133">
        <v>25017.75</v>
      </c>
      <c r="E72" s="133">
        <f t="shared" si="1"/>
        <v>2.8587878739427808E-4</v>
      </c>
      <c r="F72" s="135">
        <v>22729</v>
      </c>
      <c r="G72" s="67">
        <f t="shared" si="2"/>
        <v>-7.6576180210303768E-3</v>
      </c>
      <c r="W72" s="2">
        <v>45531</v>
      </c>
      <c r="X72" s="3">
        <f t="shared" si="5"/>
        <v>1114.25</v>
      </c>
      <c r="Y72" s="119">
        <f t="shared" si="6"/>
        <v>5.2325319139339133E-3</v>
      </c>
      <c r="Z72" s="1"/>
      <c r="AA72" s="2">
        <v>45336</v>
      </c>
      <c r="AB72" s="3">
        <f t="shared" si="7"/>
        <v>867.8</v>
      </c>
      <c r="AC72" s="1">
        <f t="shared" si="9"/>
        <v>1.1657729074376233E-2</v>
      </c>
      <c r="AD72" s="1"/>
      <c r="AE72" s="2">
        <v>45250</v>
      </c>
      <c r="AF72" s="3">
        <f t="shared" si="13"/>
        <v>636.54999999999995</v>
      </c>
      <c r="AG72" s="1"/>
      <c r="AH72" s="1"/>
      <c r="AI72" s="1"/>
      <c r="AJ72" s="1"/>
      <c r="AK72" s="1"/>
    </row>
    <row r="73" spans="1:37">
      <c r="A73" s="134">
        <v>45530</v>
      </c>
      <c r="B73" s="135">
        <v>1108.45</v>
      </c>
      <c r="C73" s="133">
        <f t="shared" ref="C73:C136" si="14">B73/B74-1</f>
        <v>-5.9599558836005762E-2</v>
      </c>
      <c r="D73" s="133">
        <v>25010.6</v>
      </c>
      <c r="E73" s="133">
        <f t="shared" ref="E73:E136" si="15">D73/D74-1</f>
        <v>7.5514187361394036E-3</v>
      </c>
      <c r="F73" s="135">
        <v>22554.95</v>
      </c>
      <c r="G73" s="67">
        <f t="shared" ref="G73:G136" si="16">F74/F73-1</f>
        <v>-1.2015100898029596E-3</v>
      </c>
      <c r="W73" s="2">
        <v>45530</v>
      </c>
      <c r="X73" s="3">
        <f t="shared" si="5"/>
        <v>1108.45</v>
      </c>
      <c r="Y73" s="119">
        <f t="shared" si="6"/>
        <v>-5.9599558836005762E-2</v>
      </c>
      <c r="Z73" s="1"/>
      <c r="AA73" s="2">
        <v>45335</v>
      </c>
      <c r="AB73" s="3">
        <f t="shared" si="7"/>
        <v>857.8</v>
      </c>
      <c r="AC73" s="1">
        <f t="shared" si="9"/>
        <v>1.3424385688436402E-3</v>
      </c>
      <c r="AD73" s="1"/>
      <c r="AE73" s="1"/>
      <c r="AF73" s="1"/>
      <c r="AG73" s="1"/>
      <c r="AH73" s="1"/>
      <c r="AI73" s="1"/>
      <c r="AJ73" s="1"/>
      <c r="AK73" s="1"/>
    </row>
    <row r="74" spans="1:37">
      <c r="A74" s="134">
        <v>45527</v>
      </c>
      <c r="B74" s="135">
        <v>1178.7</v>
      </c>
      <c r="C74" s="133">
        <f t="shared" si="14"/>
        <v>-2.5908020329738379E-2</v>
      </c>
      <c r="D74" s="133">
        <v>24823.15</v>
      </c>
      <c r="E74" s="133">
        <f t="shared" si="15"/>
        <v>4.6954033411927831E-4</v>
      </c>
      <c r="F74" s="135">
        <v>22527.85</v>
      </c>
      <c r="G74" s="67">
        <f t="shared" si="16"/>
        <v>8.1010837696449123E-4</v>
      </c>
      <c r="W74" s="2">
        <v>45527</v>
      </c>
      <c r="X74" s="3">
        <f t="shared" ref="X74:X137" si="17">B74</f>
        <v>1178.7</v>
      </c>
      <c r="Y74" s="119">
        <f t="shared" ref="Y74:Y137" si="18">X74/X75-1</f>
        <v>-2.5908020329738379E-2</v>
      </c>
      <c r="Z74" s="1"/>
      <c r="AA74" s="2">
        <v>45334</v>
      </c>
      <c r="AB74" s="3">
        <f t="shared" ref="AB74:AB131" si="19">B204</f>
        <v>856.65</v>
      </c>
      <c r="AC74" s="1">
        <f t="shared" ref="AC74:AC130" si="20">AB74/AB75-1</f>
        <v>6.409539780137874E-2</v>
      </c>
      <c r="AD74" s="1"/>
      <c r="AE74" s="1"/>
      <c r="AF74" s="1"/>
      <c r="AG74" s="1"/>
      <c r="AH74" s="1"/>
      <c r="AI74" s="1"/>
      <c r="AJ74" s="1"/>
      <c r="AK74" s="1"/>
    </row>
    <row r="75" spans="1:37">
      <c r="A75" s="134">
        <v>45526</v>
      </c>
      <c r="B75" s="135">
        <v>1210.05</v>
      </c>
      <c r="C75" s="133">
        <f t="shared" si="14"/>
        <v>3.6494836810019304E-3</v>
      </c>
      <c r="D75" s="133">
        <v>24811.5</v>
      </c>
      <c r="E75" s="133">
        <f t="shared" si="15"/>
        <v>1.6673260611541618E-3</v>
      </c>
      <c r="F75" s="135">
        <v>22546.1</v>
      </c>
      <c r="G75" s="67">
        <f t="shared" si="16"/>
        <v>1.4104434913355668E-3</v>
      </c>
      <c r="W75" s="2">
        <v>45526</v>
      </c>
      <c r="X75" s="3">
        <f t="shared" si="17"/>
        <v>1210.05</v>
      </c>
      <c r="Y75" s="119">
        <f t="shared" si="18"/>
        <v>3.6494836810019304E-3</v>
      </c>
      <c r="Z75" s="1"/>
      <c r="AA75" s="2">
        <v>45331</v>
      </c>
      <c r="AB75" s="3">
        <f t="shared" si="19"/>
        <v>805.05</v>
      </c>
      <c r="AC75" s="1">
        <f t="shared" si="20"/>
        <v>3.7404151860855883E-3</v>
      </c>
      <c r="AD75" s="1"/>
      <c r="AE75" s="1"/>
      <c r="AF75" s="1"/>
      <c r="AG75" s="1"/>
      <c r="AH75" s="1"/>
      <c r="AI75" s="1"/>
      <c r="AJ75" s="1"/>
      <c r="AK75" s="1"/>
    </row>
    <row r="76" spans="1:37">
      <c r="A76" s="134">
        <v>45525</v>
      </c>
      <c r="B76" s="135">
        <v>1205.6500000000001</v>
      </c>
      <c r="C76" s="133">
        <f t="shared" si="14"/>
        <v>1.0900096423929861E-2</v>
      </c>
      <c r="D76" s="133">
        <v>24770.2</v>
      </c>
      <c r="E76" s="133">
        <f t="shared" si="15"/>
        <v>2.888798466325504E-3</v>
      </c>
      <c r="F76" s="135">
        <v>22577.9</v>
      </c>
      <c r="G76" s="67">
        <f t="shared" si="16"/>
        <v>-9.0198822742594276E-3</v>
      </c>
      <c r="W76" s="2">
        <v>45525</v>
      </c>
      <c r="X76" s="3">
        <f t="shared" si="17"/>
        <v>1205.6500000000001</v>
      </c>
      <c r="Y76" s="119">
        <f t="shared" si="18"/>
        <v>1.0900096423929861E-2</v>
      </c>
      <c r="Z76" s="1"/>
      <c r="AA76" s="2">
        <v>45330</v>
      </c>
      <c r="AB76" s="3">
        <f t="shared" si="19"/>
        <v>802.05</v>
      </c>
      <c r="AC76" s="1">
        <f t="shared" si="20"/>
        <v>1.3201111672561883E-2</v>
      </c>
      <c r="AD76" s="1"/>
      <c r="AE76" s="1"/>
      <c r="AF76" s="1"/>
      <c r="AG76" s="1"/>
      <c r="AH76" s="1"/>
      <c r="AI76" s="1"/>
      <c r="AJ76" s="1"/>
      <c r="AK76" s="1"/>
    </row>
    <row r="77" spans="1:37">
      <c r="A77" s="134">
        <v>45524</v>
      </c>
      <c r="B77" s="135">
        <v>1192.6500000000001</v>
      </c>
      <c r="C77" s="133">
        <f t="shared" si="14"/>
        <v>6.4981644795139015E-3</v>
      </c>
      <c r="D77" s="133">
        <v>24698.85</v>
      </c>
      <c r="E77" s="133">
        <f t="shared" si="15"/>
        <v>5.1357912150296059E-3</v>
      </c>
      <c r="F77" s="135">
        <v>22374.25</v>
      </c>
      <c r="G77" s="67">
        <f t="shared" si="16"/>
        <v>-6.0962937305161224E-3</v>
      </c>
      <c r="W77" s="2">
        <v>45524</v>
      </c>
      <c r="X77" s="3">
        <f t="shared" si="17"/>
        <v>1192.6500000000001</v>
      </c>
      <c r="Y77" s="119">
        <f t="shared" si="18"/>
        <v>6.4981644795139015E-3</v>
      </c>
      <c r="Z77" s="1"/>
      <c r="AA77" s="2">
        <v>45329</v>
      </c>
      <c r="AB77" s="3">
        <f t="shared" si="19"/>
        <v>791.6</v>
      </c>
      <c r="AC77" s="1">
        <f t="shared" si="20"/>
        <v>-7.2736393278153288E-3</v>
      </c>
      <c r="AD77" s="1"/>
      <c r="AE77" s="1"/>
      <c r="AF77" s="1"/>
      <c r="AG77" s="1"/>
      <c r="AH77" s="1"/>
      <c r="AI77" s="1"/>
      <c r="AJ77" s="1"/>
      <c r="AK77" s="1"/>
    </row>
    <row r="78" spans="1:37">
      <c r="A78" s="134">
        <v>45523</v>
      </c>
      <c r="B78" s="135">
        <v>1184.95</v>
      </c>
      <c r="C78" s="133">
        <f t="shared" si="14"/>
        <v>-2.1893814997262506E-3</v>
      </c>
      <c r="D78" s="133">
        <v>24572.65</v>
      </c>
      <c r="E78" s="133">
        <f t="shared" si="15"/>
        <v>1.283558431450782E-3</v>
      </c>
      <c r="F78" s="135">
        <v>22237.85</v>
      </c>
      <c r="G78" s="67">
        <f t="shared" si="16"/>
        <v>-5.906596186232016E-3</v>
      </c>
      <c r="W78" s="2">
        <v>45523</v>
      </c>
      <c r="X78" s="3">
        <f t="shared" si="17"/>
        <v>1184.95</v>
      </c>
      <c r="Y78" s="119">
        <f t="shared" si="18"/>
        <v>-2.1893814997262506E-3</v>
      </c>
      <c r="Z78" s="1"/>
      <c r="AA78" s="2">
        <v>45328</v>
      </c>
      <c r="AB78" s="3">
        <f t="shared" si="19"/>
        <v>797.4</v>
      </c>
      <c r="AC78" s="1">
        <f t="shared" si="20"/>
        <v>4.7969509791036868E-2</v>
      </c>
      <c r="AD78" s="1"/>
      <c r="AE78" s="1"/>
      <c r="AF78" s="1"/>
      <c r="AG78" s="1"/>
      <c r="AH78" s="1"/>
      <c r="AI78" s="1"/>
      <c r="AJ78" s="1"/>
      <c r="AK78" s="1"/>
    </row>
    <row r="79" spans="1:37">
      <c r="A79" s="134">
        <v>45520</v>
      </c>
      <c r="B79" s="135">
        <v>1187.55</v>
      </c>
      <c r="C79" s="133">
        <f t="shared" si="14"/>
        <v>1.4566424604869566E-2</v>
      </c>
      <c r="D79" s="133">
        <v>24541.15</v>
      </c>
      <c r="E79" s="133">
        <f t="shared" si="15"/>
        <v>1.6459746311157097E-2</v>
      </c>
      <c r="F79" s="135">
        <v>22106.5</v>
      </c>
      <c r="G79" s="67">
        <f t="shared" si="16"/>
        <v>-4.2430959220138842E-3</v>
      </c>
      <c r="W79" s="2">
        <v>45520</v>
      </c>
      <c r="X79" s="3">
        <f t="shared" si="17"/>
        <v>1187.55</v>
      </c>
      <c r="Y79" s="119">
        <f t="shared" si="18"/>
        <v>1.4566424604869566E-2</v>
      </c>
      <c r="Z79" s="1"/>
      <c r="AA79" s="2">
        <v>45327</v>
      </c>
      <c r="AB79" s="3">
        <f t="shared" si="19"/>
        <v>760.9</v>
      </c>
      <c r="AC79" s="1">
        <f t="shared" si="20"/>
        <v>-3.2845037114892506E-4</v>
      </c>
      <c r="AD79" s="1"/>
      <c r="AE79" s="1"/>
      <c r="AF79" s="1"/>
      <c r="AG79" s="1"/>
      <c r="AH79" s="1"/>
      <c r="AI79" s="1"/>
      <c r="AJ79" s="1"/>
      <c r="AK79" s="1"/>
    </row>
    <row r="80" spans="1:37">
      <c r="A80" s="134">
        <v>45518</v>
      </c>
      <c r="B80" s="135">
        <v>1170.5</v>
      </c>
      <c r="C80" s="133">
        <f t="shared" si="14"/>
        <v>-4.2111531753796783E-3</v>
      </c>
      <c r="D80" s="133">
        <v>24143.75</v>
      </c>
      <c r="E80" s="133">
        <f t="shared" si="15"/>
        <v>1.9677699987563635E-4</v>
      </c>
      <c r="F80" s="135">
        <v>22012.7</v>
      </c>
      <c r="G80" s="67">
        <f t="shared" si="16"/>
        <v>8.1271266132731945E-3</v>
      </c>
      <c r="W80" s="2">
        <v>45518</v>
      </c>
      <c r="X80" s="3">
        <f t="shared" si="17"/>
        <v>1170.5</v>
      </c>
      <c r="Y80" s="119">
        <f t="shared" si="18"/>
        <v>-4.2111531753796783E-3</v>
      </c>
      <c r="Z80" s="1"/>
      <c r="AA80" s="2">
        <v>45324</v>
      </c>
      <c r="AB80" s="3">
        <f t="shared" si="19"/>
        <v>761.15</v>
      </c>
      <c r="AC80" s="1">
        <f t="shared" si="20"/>
        <v>2.1065104338096052E-3</v>
      </c>
      <c r="AD80" s="1"/>
      <c r="AE80" s="1"/>
      <c r="AF80" s="1"/>
      <c r="AG80" s="1"/>
      <c r="AH80" s="1"/>
      <c r="AI80" s="1"/>
      <c r="AJ80" s="1"/>
      <c r="AK80" s="1"/>
    </row>
    <row r="81" spans="1:37">
      <c r="A81" s="134">
        <v>45517</v>
      </c>
      <c r="B81" s="135">
        <v>1175.45</v>
      </c>
      <c r="C81" s="133">
        <f t="shared" si="14"/>
        <v>-5.9940818937939899E-2</v>
      </c>
      <c r="D81" s="133">
        <v>24139</v>
      </c>
      <c r="E81" s="133">
        <f t="shared" si="15"/>
        <v>-8.5431469996303244E-3</v>
      </c>
      <c r="F81" s="135">
        <v>22191.599999999999</v>
      </c>
      <c r="G81" s="67">
        <f t="shared" si="16"/>
        <v>6.3086933794775923E-4</v>
      </c>
      <c r="W81" s="2">
        <v>45517</v>
      </c>
      <c r="X81" s="3">
        <f t="shared" si="17"/>
        <v>1175.45</v>
      </c>
      <c r="Y81" s="119">
        <f t="shared" si="18"/>
        <v>-5.9940818937939899E-2</v>
      </c>
      <c r="Z81" s="1"/>
      <c r="AA81" s="2">
        <v>45323</v>
      </c>
      <c r="AB81" s="3">
        <f t="shared" si="19"/>
        <v>759.55</v>
      </c>
      <c r="AC81" s="1">
        <f t="shared" si="20"/>
        <v>-1.6430073606730211E-3</v>
      </c>
      <c r="AD81" s="1"/>
      <c r="AE81" s="1"/>
      <c r="AF81" s="1"/>
      <c r="AG81" s="1"/>
      <c r="AH81" s="1"/>
      <c r="AI81" s="1"/>
      <c r="AJ81" s="1"/>
      <c r="AK81" s="1"/>
    </row>
    <row r="82" spans="1:37">
      <c r="A82" s="134">
        <v>45516</v>
      </c>
      <c r="B82" s="135">
        <v>1250.4000000000001</v>
      </c>
      <c r="C82" s="133">
        <f t="shared" si="14"/>
        <v>-3.8819278960719461E-2</v>
      </c>
      <c r="D82" s="133">
        <v>24347</v>
      </c>
      <c r="E82" s="133">
        <f t="shared" si="15"/>
        <v>-8.4128449779419245E-4</v>
      </c>
      <c r="F82" s="135">
        <v>22205.599999999999</v>
      </c>
      <c r="G82" s="67">
        <f t="shared" si="16"/>
        <v>1.7788305652621794E-4</v>
      </c>
      <c r="W82" s="2">
        <v>45516</v>
      </c>
      <c r="X82" s="3">
        <f t="shared" si="17"/>
        <v>1250.4000000000001</v>
      </c>
      <c r="Y82" s="119">
        <f t="shared" si="18"/>
        <v>-3.8819278960719461E-2</v>
      </c>
      <c r="Z82" s="1"/>
      <c r="AA82" s="2">
        <v>45322</v>
      </c>
      <c r="AB82" s="3">
        <f t="shared" si="19"/>
        <v>760.8</v>
      </c>
      <c r="AC82" s="1">
        <f t="shared" si="20"/>
        <v>6.4823389337214099E-3</v>
      </c>
      <c r="AD82" s="1"/>
      <c r="AE82" s="1"/>
      <c r="AF82" s="1"/>
      <c r="AG82" s="1"/>
      <c r="AH82" s="1"/>
      <c r="AI82" s="1"/>
      <c r="AJ82" s="1"/>
      <c r="AK82" s="1"/>
    </row>
    <row r="83" spans="1:37">
      <c r="A83" s="134">
        <v>45513</v>
      </c>
      <c r="B83" s="135">
        <v>1300.9000000000001</v>
      </c>
      <c r="C83" s="133">
        <f t="shared" si="14"/>
        <v>1.680475222760669E-2</v>
      </c>
      <c r="D83" s="133">
        <v>24367.5</v>
      </c>
      <c r="E83" s="133">
        <f t="shared" si="15"/>
        <v>1.0386864037815746E-2</v>
      </c>
      <c r="F83" s="135">
        <v>22209.55</v>
      </c>
      <c r="G83" s="67">
        <f t="shared" si="16"/>
        <v>-4.2909469124767785E-3</v>
      </c>
      <c r="W83" s="2">
        <v>45513</v>
      </c>
      <c r="X83" s="3">
        <f t="shared" si="17"/>
        <v>1300.9000000000001</v>
      </c>
      <c r="Y83" s="119">
        <f t="shared" si="18"/>
        <v>1.680475222760669E-2</v>
      </c>
      <c r="Z83" s="1"/>
      <c r="AA83" s="2">
        <v>45321</v>
      </c>
      <c r="AB83" s="3">
        <f t="shared" si="19"/>
        <v>755.9</v>
      </c>
      <c r="AC83" s="1">
        <f t="shared" si="20"/>
        <v>9.8864395457580745E-3</v>
      </c>
      <c r="AD83" s="1"/>
      <c r="AE83" s="1"/>
      <c r="AF83" s="1"/>
      <c r="AG83" s="1"/>
      <c r="AH83" s="1"/>
      <c r="AI83" s="1"/>
      <c r="AJ83" s="1"/>
      <c r="AK83" s="1"/>
    </row>
    <row r="84" spans="1:37">
      <c r="A84" s="134">
        <v>45512</v>
      </c>
      <c r="B84" s="135">
        <v>1279.4000000000001</v>
      </c>
      <c r="C84" s="133">
        <f t="shared" si="14"/>
        <v>5.145932356522831E-3</v>
      </c>
      <c r="D84" s="133">
        <v>24117</v>
      </c>
      <c r="E84" s="133">
        <f t="shared" si="15"/>
        <v>-7.4287478135610652E-3</v>
      </c>
      <c r="F84" s="135">
        <v>22114.25</v>
      </c>
      <c r="G84" s="67">
        <f t="shared" si="16"/>
        <v>-3.4954836813366752E-3</v>
      </c>
      <c r="W84" s="2">
        <v>45512</v>
      </c>
      <c r="X84" s="3">
        <f t="shared" si="17"/>
        <v>1279.4000000000001</v>
      </c>
      <c r="Y84" s="119">
        <f t="shared" si="18"/>
        <v>5.145932356522831E-3</v>
      </c>
      <c r="Z84" s="1"/>
      <c r="AA84" s="2">
        <v>45320</v>
      </c>
      <c r="AB84" s="3">
        <f t="shared" si="19"/>
        <v>748.5</v>
      </c>
      <c r="AC84" s="1">
        <f t="shared" si="20"/>
        <v>1.6293279022403295E-2</v>
      </c>
      <c r="AD84" s="1"/>
      <c r="AE84" s="1"/>
      <c r="AF84" s="1"/>
      <c r="AG84" s="1"/>
      <c r="AH84" s="1"/>
      <c r="AI84" s="1"/>
      <c r="AJ84" s="1"/>
      <c r="AK84" s="1"/>
    </row>
    <row r="85" spans="1:37">
      <c r="A85" s="134">
        <v>45511</v>
      </c>
      <c r="B85" s="135">
        <v>1272.8499999999999</v>
      </c>
      <c r="C85" s="133">
        <f t="shared" si="14"/>
        <v>3.6776085362873578E-2</v>
      </c>
      <c r="D85" s="133">
        <v>24297.5</v>
      </c>
      <c r="E85" s="133">
        <f t="shared" si="15"/>
        <v>1.2710195456506312E-2</v>
      </c>
      <c r="F85" s="135">
        <v>22036.95</v>
      </c>
      <c r="G85" s="67">
        <f t="shared" si="16"/>
        <v>-2.1527479982484055E-2</v>
      </c>
      <c r="W85" s="2">
        <v>45511</v>
      </c>
      <c r="X85" s="3">
        <f t="shared" si="17"/>
        <v>1272.8499999999999</v>
      </c>
      <c r="Y85" s="119">
        <f t="shared" si="18"/>
        <v>3.6776085362873578E-2</v>
      </c>
      <c r="Z85" s="1"/>
      <c r="AA85" s="2">
        <v>45316</v>
      </c>
      <c r="AB85" s="3">
        <f t="shared" si="19"/>
        <v>736.5</v>
      </c>
      <c r="AC85" s="1">
        <f t="shared" si="20"/>
        <v>-2.1132376395534225E-2</v>
      </c>
      <c r="AD85" s="1"/>
      <c r="AE85" s="1"/>
      <c r="AF85" s="1"/>
      <c r="AG85" s="1"/>
      <c r="AH85" s="1"/>
      <c r="AI85" s="1"/>
      <c r="AJ85" s="1"/>
      <c r="AK85" s="1"/>
    </row>
    <row r="86" spans="1:37">
      <c r="A86" s="134">
        <v>45510</v>
      </c>
      <c r="B86" s="135">
        <v>1227.7</v>
      </c>
      <c r="C86" s="133">
        <f t="shared" si="14"/>
        <v>1.2219461529072717E-4</v>
      </c>
      <c r="D86" s="133">
        <v>23992.55</v>
      </c>
      <c r="E86" s="133">
        <f t="shared" si="15"/>
        <v>-2.6210113237665755E-3</v>
      </c>
      <c r="F86" s="135">
        <v>21562.55</v>
      </c>
      <c r="G86" s="67">
        <f t="shared" si="16"/>
        <v>9.5072243310734272E-4</v>
      </c>
      <c r="W86" s="2">
        <v>45510</v>
      </c>
      <c r="X86" s="3">
        <f t="shared" si="17"/>
        <v>1227.7</v>
      </c>
      <c r="Y86" s="119">
        <f t="shared" si="18"/>
        <v>1.2219461529072717E-4</v>
      </c>
      <c r="Z86" s="1"/>
      <c r="AA86" s="2">
        <v>45315</v>
      </c>
      <c r="AB86" s="3">
        <f t="shared" si="19"/>
        <v>752.4</v>
      </c>
      <c r="AC86" s="1">
        <f t="shared" si="20"/>
        <v>3.1886443118699814E-2</v>
      </c>
      <c r="AD86" s="1"/>
      <c r="AE86" s="1"/>
      <c r="AF86" s="1"/>
      <c r="AG86" s="1"/>
      <c r="AH86" s="1"/>
      <c r="AI86" s="1"/>
      <c r="AJ86" s="1"/>
      <c r="AK86" s="1"/>
    </row>
    <row r="87" spans="1:37">
      <c r="A87" s="134">
        <v>45509</v>
      </c>
      <c r="B87" s="135">
        <v>1227.55</v>
      </c>
      <c r="C87" s="133">
        <f t="shared" si="14"/>
        <v>-1.7881430514441243E-2</v>
      </c>
      <c r="D87" s="133">
        <v>24055.599999999999</v>
      </c>
      <c r="E87" s="133">
        <f t="shared" si="15"/>
        <v>-2.6786472851438536E-2</v>
      </c>
      <c r="F87" s="135">
        <v>21583.05</v>
      </c>
      <c r="G87" s="67">
        <f t="shared" si="16"/>
        <v>1.4817182928270167E-2</v>
      </c>
      <c r="W87" s="2">
        <v>45509</v>
      </c>
      <c r="X87" s="3">
        <f t="shared" si="17"/>
        <v>1227.55</v>
      </c>
      <c r="Y87" s="119">
        <f t="shared" si="18"/>
        <v>-1.7881430514441243E-2</v>
      </c>
      <c r="Z87" s="1"/>
      <c r="AA87" s="2">
        <v>45314</v>
      </c>
      <c r="AB87" s="3">
        <f t="shared" si="19"/>
        <v>729.15</v>
      </c>
      <c r="AC87" s="1">
        <f t="shared" si="20"/>
        <v>3.6092362344582574E-2</v>
      </c>
      <c r="AD87" s="1"/>
      <c r="AE87" s="1"/>
      <c r="AF87" s="1"/>
      <c r="AG87" s="1"/>
      <c r="AH87" s="1"/>
      <c r="AI87" s="1"/>
      <c r="AJ87" s="1"/>
      <c r="AK87" s="1"/>
    </row>
    <row r="88" spans="1:37">
      <c r="A88" s="134">
        <v>45506</v>
      </c>
      <c r="B88" s="135">
        <v>1249.9000000000001</v>
      </c>
      <c r="C88" s="133">
        <f t="shared" si="14"/>
        <v>6.847108103753774E-3</v>
      </c>
      <c r="D88" s="133">
        <v>24717.7</v>
      </c>
      <c r="E88" s="133">
        <f t="shared" si="15"/>
        <v>-1.1722888820474342E-2</v>
      </c>
      <c r="F88" s="135">
        <v>21902.85</v>
      </c>
      <c r="G88" s="67">
        <f t="shared" si="16"/>
        <v>-5.1363178764407547E-3</v>
      </c>
      <c r="W88" s="2">
        <v>45506</v>
      </c>
      <c r="X88" s="3">
        <f t="shared" si="17"/>
        <v>1249.9000000000001</v>
      </c>
      <c r="Y88" s="119">
        <f t="shared" si="18"/>
        <v>6.847108103753774E-3</v>
      </c>
      <c r="Z88" s="1"/>
      <c r="AA88" s="2">
        <v>45311</v>
      </c>
      <c r="AB88" s="3">
        <f t="shared" si="19"/>
        <v>703.75</v>
      </c>
      <c r="AC88" s="1">
        <f t="shared" si="20"/>
        <v>-2.3315522864478466E-2</v>
      </c>
      <c r="AD88" s="1"/>
      <c r="AE88" s="1"/>
      <c r="AF88" s="1"/>
      <c r="AG88" s="1"/>
      <c r="AH88" s="1"/>
      <c r="AI88" s="1"/>
      <c r="AJ88" s="1"/>
      <c r="AK88" s="1"/>
    </row>
    <row r="89" spans="1:37">
      <c r="A89" s="134">
        <v>45505</v>
      </c>
      <c r="B89" s="135">
        <v>1241.4000000000001</v>
      </c>
      <c r="C89" s="133">
        <f t="shared" si="14"/>
        <v>-4.6504169339319779E-3</v>
      </c>
      <c r="D89" s="133">
        <v>25010.9</v>
      </c>
      <c r="E89" s="133">
        <f t="shared" si="15"/>
        <v>2.3946792031630526E-3</v>
      </c>
      <c r="F89" s="135">
        <v>21790.35</v>
      </c>
      <c r="G89" s="67">
        <f t="shared" si="16"/>
        <v>-6.0577273884987459E-4</v>
      </c>
      <c r="W89" s="2">
        <v>45505</v>
      </c>
      <c r="X89" s="3">
        <f t="shared" si="17"/>
        <v>1241.4000000000001</v>
      </c>
      <c r="Y89" s="119">
        <f t="shared" si="18"/>
        <v>-4.6504169339319779E-3</v>
      </c>
      <c r="Z89" s="1"/>
      <c r="AA89" s="2">
        <v>45310</v>
      </c>
      <c r="AB89" s="3">
        <f t="shared" si="19"/>
        <v>720.55</v>
      </c>
      <c r="AC89" s="1">
        <f t="shared" si="20"/>
        <v>1.6433911694174075E-2</v>
      </c>
      <c r="AD89" s="1"/>
      <c r="AE89" s="1"/>
      <c r="AF89" s="1"/>
      <c r="AG89" s="1"/>
      <c r="AH89" s="1"/>
      <c r="AI89" s="1"/>
      <c r="AJ89" s="1"/>
      <c r="AK89" s="1"/>
    </row>
    <row r="90" spans="1:37">
      <c r="A90" s="134">
        <v>45504</v>
      </c>
      <c r="B90" s="135">
        <v>1247.2</v>
      </c>
      <c r="C90" s="133">
        <f t="shared" si="14"/>
        <v>2.2798097424963082E-2</v>
      </c>
      <c r="D90" s="133">
        <v>24951.15</v>
      </c>
      <c r="E90" s="133">
        <f t="shared" si="15"/>
        <v>3.7755508442189889E-3</v>
      </c>
      <c r="F90" s="135">
        <v>21777.15</v>
      </c>
      <c r="G90" s="67">
        <f t="shared" si="16"/>
        <v>-1.085311898021557E-2</v>
      </c>
      <c r="W90" s="2">
        <v>45504</v>
      </c>
      <c r="X90" s="3">
        <f t="shared" si="17"/>
        <v>1247.2</v>
      </c>
      <c r="Y90" s="119">
        <f t="shared" si="18"/>
        <v>2.2798097424963082E-2</v>
      </c>
      <c r="Z90" s="1"/>
      <c r="AA90" s="2">
        <v>45309</v>
      </c>
      <c r="AB90" s="3">
        <f t="shared" si="19"/>
        <v>708.9</v>
      </c>
      <c r="AC90" s="1">
        <f t="shared" si="20"/>
        <v>-1.1272368606454197E-3</v>
      </c>
      <c r="AD90" s="1"/>
      <c r="AE90" s="1"/>
      <c r="AF90" s="1"/>
      <c r="AG90" s="1"/>
      <c r="AH90" s="1"/>
      <c r="AI90" s="1"/>
      <c r="AJ90" s="1"/>
      <c r="AK90" s="1"/>
    </row>
    <row r="91" spans="1:37">
      <c r="A91" s="134">
        <v>45503</v>
      </c>
      <c r="B91" s="135">
        <v>1219.4000000000001</v>
      </c>
      <c r="C91" s="133">
        <f t="shared" si="14"/>
        <v>-1.3350594708309682E-2</v>
      </c>
      <c r="D91" s="133">
        <v>24857.3</v>
      </c>
      <c r="E91" s="133">
        <f t="shared" si="15"/>
        <v>8.5359617653346653E-4</v>
      </c>
      <c r="F91" s="135">
        <v>21540.799999999999</v>
      </c>
      <c r="G91" s="67">
        <f t="shared" si="16"/>
        <v>6.2277167050435178E-3</v>
      </c>
      <c r="W91" s="2">
        <v>45503</v>
      </c>
      <c r="X91" s="3">
        <f t="shared" si="17"/>
        <v>1219.4000000000001</v>
      </c>
      <c r="Y91" s="119">
        <f t="shared" si="18"/>
        <v>-1.3350594708309682E-2</v>
      </c>
      <c r="Z91" s="1"/>
      <c r="AA91" s="2">
        <v>45308</v>
      </c>
      <c r="AB91" s="3">
        <f t="shared" si="19"/>
        <v>709.7</v>
      </c>
      <c r="AC91" s="1">
        <f t="shared" si="20"/>
        <v>4.0319728372355534E-3</v>
      </c>
      <c r="AD91" s="1"/>
      <c r="AE91" s="1"/>
      <c r="AF91" s="1"/>
      <c r="AG91" s="1"/>
      <c r="AH91" s="1"/>
      <c r="AI91" s="1"/>
      <c r="AJ91" s="1"/>
      <c r="AK91" s="1"/>
    </row>
    <row r="92" spans="1:37">
      <c r="A92" s="134">
        <v>45502</v>
      </c>
      <c r="B92" s="135">
        <v>1235.9000000000001</v>
      </c>
      <c r="C92" s="133">
        <f t="shared" si="14"/>
        <v>2.4750217652667938E-2</v>
      </c>
      <c r="D92" s="133">
        <v>24836.1</v>
      </c>
      <c r="E92" s="133">
        <f t="shared" si="15"/>
        <v>5.0332496471794386E-5</v>
      </c>
      <c r="F92" s="135">
        <v>21674.95</v>
      </c>
      <c r="G92" s="67">
        <f t="shared" si="16"/>
        <v>-3.3148865395307148E-3</v>
      </c>
      <c r="W92" s="2">
        <v>45502</v>
      </c>
      <c r="X92" s="3">
        <f t="shared" si="17"/>
        <v>1235.9000000000001</v>
      </c>
      <c r="Y92" s="119">
        <f t="shared" si="18"/>
        <v>2.4750217652667938E-2</v>
      </c>
      <c r="Z92" s="1"/>
      <c r="AA92" s="2">
        <v>45307</v>
      </c>
      <c r="AB92" s="3">
        <f t="shared" si="19"/>
        <v>706.85</v>
      </c>
      <c r="AC92" s="1">
        <f t="shared" si="20"/>
        <v>-1.3949919787961229E-2</v>
      </c>
      <c r="AD92" s="1"/>
      <c r="AE92" s="1"/>
      <c r="AF92" s="1"/>
      <c r="AG92" s="1"/>
      <c r="AH92" s="1"/>
      <c r="AI92" s="1"/>
      <c r="AJ92" s="1"/>
      <c r="AK92" s="1"/>
    </row>
    <row r="93" spans="1:37">
      <c r="A93" s="134">
        <v>45499</v>
      </c>
      <c r="B93" s="135">
        <v>1206.05</v>
      </c>
      <c r="C93" s="133">
        <f t="shared" si="14"/>
        <v>2.073312323769283E-4</v>
      </c>
      <c r="D93" s="133">
        <v>24834.85</v>
      </c>
      <c r="E93" s="133">
        <f t="shared" si="15"/>
        <v>1.7567329479105664E-2</v>
      </c>
      <c r="F93" s="135">
        <v>21603.1</v>
      </c>
      <c r="G93" s="67">
        <f t="shared" si="16"/>
        <v>-2.3033731270049151E-2</v>
      </c>
      <c r="W93" s="2">
        <v>45499</v>
      </c>
      <c r="X93" s="3">
        <f t="shared" si="17"/>
        <v>1206.05</v>
      </c>
      <c r="Y93" s="119">
        <f t="shared" si="18"/>
        <v>2.073312323769283E-4</v>
      </c>
      <c r="Z93" s="1"/>
      <c r="AA93" s="2">
        <v>45306</v>
      </c>
      <c r="AB93" s="3">
        <f t="shared" si="19"/>
        <v>716.85</v>
      </c>
      <c r="AC93" s="1">
        <f t="shared" si="20"/>
        <v>1.8325165139569499E-2</v>
      </c>
      <c r="AD93" s="1"/>
      <c r="AE93" s="1"/>
      <c r="AF93" s="1"/>
      <c r="AG93" s="1"/>
      <c r="AH93" s="1"/>
      <c r="AI93" s="1"/>
      <c r="AJ93" s="1"/>
      <c r="AK93" s="1"/>
    </row>
    <row r="94" spans="1:37">
      <c r="A94" s="134">
        <v>45498</v>
      </c>
      <c r="B94" s="135">
        <v>1205.8</v>
      </c>
      <c r="C94" s="133">
        <f t="shared" si="14"/>
        <v>2.2340921616007314E-2</v>
      </c>
      <c r="D94" s="133">
        <v>24406.1</v>
      </c>
      <c r="E94" s="133">
        <f t="shared" si="15"/>
        <v>-3.0311098367707956E-4</v>
      </c>
      <c r="F94" s="135">
        <v>21105.5</v>
      </c>
      <c r="G94" s="67">
        <f t="shared" si="16"/>
        <v>-9.3340598422212429E-3</v>
      </c>
      <c r="W94" s="2">
        <v>45498</v>
      </c>
      <c r="X94" s="3">
        <f t="shared" si="17"/>
        <v>1205.8</v>
      </c>
      <c r="Y94" s="119">
        <f t="shared" si="18"/>
        <v>2.2340921616007314E-2</v>
      </c>
      <c r="Z94" s="1"/>
      <c r="AA94" s="2">
        <v>45303</v>
      </c>
      <c r="AB94" s="3">
        <f t="shared" si="19"/>
        <v>703.95</v>
      </c>
      <c r="AC94" s="1">
        <f t="shared" si="20"/>
        <v>-4.2598509052171885E-4</v>
      </c>
      <c r="AD94" s="1"/>
      <c r="AE94" s="1"/>
      <c r="AF94" s="1"/>
      <c r="AG94" s="1"/>
      <c r="AH94" s="1"/>
      <c r="AI94" s="1"/>
      <c r="AJ94" s="1"/>
      <c r="AK94" s="1"/>
    </row>
    <row r="95" spans="1:37">
      <c r="A95" s="134">
        <v>45497</v>
      </c>
      <c r="B95" s="135">
        <v>1179.45</v>
      </c>
      <c r="C95" s="133">
        <f t="shared" si="14"/>
        <v>2.663533098315729E-2</v>
      </c>
      <c r="D95" s="133">
        <v>24413.5</v>
      </c>
      <c r="E95" s="133">
        <f t="shared" si="15"/>
        <v>-2.6777999963233379E-3</v>
      </c>
      <c r="F95" s="135">
        <v>20908.5</v>
      </c>
      <c r="G95" s="67">
        <f t="shared" si="16"/>
        <v>-7.3247722218237055E-3</v>
      </c>
      <c r="W95" s="2">
        <v>45497</v>
      </c>
      <c r="X95" s="3">
        <f t="shared" si="17"/>
        <v>1179.45</v>
      </c>
      <c r="Y95" s="119">
        <f t="shared" si="18"/>
        <v>2.663533098315729E-2</v>
      </c>
      <c r="Z95" s="1"/>
      <c r="AA95" s="2">
        <v>45302</v>
      </c>
      <c r="AB95" s="3">
        <f t="shared" si="19"/>
        <v>704.25</v>
      </c>
      <c r="AC95" s="1">
        <f t="shared" si="20"/>
        <v>-3.7487622011599386E-3</v>
      </c>
      <c r="AD95" s="1"/>
      <c r="AE95" s="1"/>
      <c r="AF95" s="1"/>
      <c r="AG95" s="1"/>
      <c r="AH95" s="1"/>
      <c r="AI95" s="1"/>
      <c r="AJ95" s="1"/>
      <c r="AK95" s="1"/>
    </row>
    <row r="96" spans="1:37">
      <c r="A96" s="134">
        <v>45496</v>
      </c>
      <c r="B96" s="135">
        <v>1148.8499999999999</v>
      </c>
      <c r="C96" s="133">
        <f t="shared" si="14"/>
        <v>-4.93698843705348E-3</v>
      </c>
      <c r="D96" s="133">
        <v>24479.05</v>
      </c>
      <c r="E96" s="133">
        <f t="shared" si="15"/>
        <v>-1.2321878474453873E-3</v>
      </c>
      <c r="F96" s="135">
        <v>20755.349999999999</v>
      </c>
      <c r="G96" s="67">
        <f t="shared" si="16"/>
        <v>-5.4829236799186498E-3</v>
      </c>
      <c r="W96" s="2">
        <v>45496</v>
      </c>
      <c r="X96" s="3">
        <f t="shared" si="17"/>
        <v>1148.8499999999999</v>
      </c>
      <c r="Y96" s="119">
        <f t="shared" si="18"/>
        <v>-4.93698843705348E-3</v>
      </c>
      <c r="Z96" s="1"/>
      <c r="AA96" s="2">
        <v>45301</v>
      </c>
      <c r="AB96" s="3">
        <f t="shared" si="19"/>
        <v>706.9</v>
      </c>
      <c r="AC96" s="1">
        <f t="shared" si="20"/>
        <v>-8.5553997194951492E-3</v>
      </c>
      <c r="AD96" s="1"/>
      <c r="AE96" s="1"/>
      <c r="AF96" s="1"/>
      <c r="AG96" s="1"/>
      <c r="AH96" s="1"/>
      <c r="AI96" s="1"/>
      <c r="AJ96" s="1"/>
      <c r="AK96" s="1"/>
    </row>
    <row r="97" spans="1:37">
      <c r="A97" s="134">
        <v>45495</v>
      </c>
      <c r="B97" s="135">
        <v>1154.55</v>
      </c>
      <c r="C97" s="133">
        <f t="shared" si="14"/>
        <v>8.8251998776704976E-3</v>
      </c>
      <c r="D97" s="133">
        <v>24509.25</v>
      </c>
      <c r="E97" s="133">
        <f t="shared" si="15"/>
        <v>-8.8256036264466875E-4</v>
      </c>
      <c r="F97" s="135">
        <v>20641.55</v>
      </c>
      <c r="G97" s="67">
        <f t="shared" si="16"/>
        <v>-1.0471597336440208E-2</v>
      </c>
      <c r="W97" s="2">
        <v>45495</v>
      </c>
      <c r="X97" s="3">
        <f t="shared" si="17"/>
        <v>1154.55</v>
      </c>
      <c r="Y97" s="119">
        <f t="shared" si="18"/>
        <v>8.8251998776704976E-3</v>
      </c>
      <c r="Z97" s="1"/>
      <c r="AA97" s="2">
        <v>45300</v>
      </c>
      <c r="AB97" s="3">
        <f t="shared" si="19"/>
        <v>713</v>
      </c>
      <c r="AC97" s="1">
        <f t="shared" si="20"/>
        <v>3.2362459546924072E-3</v>
      </c>
      <c r="AD97" s="1"/>
      <c r="AE97" s="1"/>
      <c r="AF97" s="1"/>
      <c r="AG97" s="1"/>
      <c r="AH97" s="1"/>
      <c r="AI97" s="1"/>
      <c r="AJ97" s="1"/>
      <c r="AK97" s="1"/>
    </row>
    <row r="98" spans="1:37">
      <c r="A98" s="134">
        <v>45492</v>
      </c>
      <c r="B98" s="135">
        <v>1144.45</v>
      </c>
      <c r="C98" s="133">
        <f t="shared" si="14"/>
        <v>-3.4748871926791214E-2</v>
      </c>
      <c r="D98" s="133">
        <v>24530.9</v>
      </c>
      <c r="E98" s="133">
        <f t="shared" si="15"/>
        <v>-1.0884707580586794E-2</v>
      </c>
      <c r="F98" s="135">
        <v>20425.400000000001</v>
      </c>
      <c r="G98" s="67">
        <f t="shared" si="16"/>
        <v>1.6790368854465276E-2</v>
      </c>
      <c r="W98" s="2">
        <v>45492</v>
      </c>
      <c r="X98" s="3">
        <f t="shared" si="17"/>
        <v>1144.45</v>
      </c>
      <c r="Y98" s="119">
        <f t="shared" si="18"/>
        <v>-3.4748871926791214E-2</v>
      </c>
      <c r="Z98" s="1"/>
      <c r="AA98" s="2">
        <v>45299</v>
      </c>
      <c r="AB98" s="3">
        <f t="shared" si="19"/>
        <v>710.7</v>
      </c>
      <c r="AC98" s="1">
        <f t="shared" si="20"/>
        <v>-4.9702485124255569E-3</v>
      </c>
      <c r="AD98" s="1"/>
      <c r="AE98" s="1"/>
      <c r="AF98" s="1"/>
      <c r="AG98" s="1"/>
      <c r="AH98" s="1"/>
      <c r="AI98" s="1"/>
      <c r="AJ98" s="1"/>
      <c r="AK98" s="1"/>
    </row>
    <row r="99" spans="1:37">
      <c r="A99" s="134">
        <v>45491</v>
      </c>
      <c r="B99" s="135">
        <v>1185.6500000000001</v>
      </c>
      <c r="C99" s="133">
        <f t="shared" si="14"/>
        <v>7.1742066171509578E-4</v>
      </c>
      <c r="D99" s="133">
        <v>24800.85</v>
      </c>
      <c r="E99" s="133">
        <f t="shared" si="15"/>
        <v>7.6321456141064115E-3</v>
      </c>
      <c r="F99" s="135">
        <v>20768.349999999999</v>
      </c>
      <c r="G99" s="67">
        <f t="shared" si="16"/>
        <v>-1.3963555121121463E-4</v>
      </c>
      <c r="W99" s="2">
        <v>45491</v>
      </c>
      <c r="X99" s="3">
        <f t="shared" si="17"/>
        <v>1185.6500000000001</v>
      </c>
      <c r="Y99" s="119">
        <f t="shared" si="18"/>
        <v>7.1742066171509578E-4</v>
      </c>
      <c r="Z99" s="1"/>
      <c r="AA99" s="2">
        <v>45296</v>
      </c>
      <c r="AB99" s="3">
        <f t="shared" si="19"/>
        <v>714.25</v>
      </c>
      <c r="AC99" s="1">
        <f t="shared" si="20"/>
        <v>7.1917083832757633E-3</v>
      </c>
      <c r="AD99" s="1"/>
      <c r="AE99" s="1"/>
      <c r="AF99" s="1"/>
      <c r="AG99" s="1"/>
      <c r="AH99" s="1"/>
      <c r="AI99" s="1"/>
      <c r="AJ99" s="1"/>
      <c r="AK99" s="1"/>
    </row>
    <row r="100" spans="1:37">
      <c r="A100" s="134">
        <v>45489</v>
      </c>
      <c r="B100" s="135">
        <v>1184.8</v>
      </c>
      <c r="C100" s="133">
        <f t="shared" si="14"/>
        <v>-2.693602693602748E-3</v>
      </c>
      <c r="D100" s="133">
        <v>24613</v>
      </c>
      <c r="E100" s="133">
        <f t="shared" si="15"/>
        <v>1.0696840161550369E-3</v>
      </c>
      <c r="F100" s="135">
        <v>20765.45</v>
      </c>
      <c r="G100" s="67">
        <f t="shared" si="16"/>
        <v>3.809211936172785E-3</v>
      </c>
      <c r="W100" s="2">
        <v>45489</v>
      </c>
      <c r="X100" s="3">
        <f t="shared" si="17"/>
        <v>1184.8</v>
      </c>
      <c r="Y100" s="119">
        <f t="shared" si="18"/>
        <v>-2.693602693602748E-3</v>
      </c>
      <c r="Z100" s="1"/>
      <c r="AA100" s="2">
        <v>45295</v>
      </c>
      <c r="AB100" s="3">
        <f t="shared" si="19"/>
        <v>709.15</v>
      </c>
      <c r="AC100" s="1">
        <f t="shared" si="20"/>
        <v>-1.7595720720721131E-3</v>
      </c>
      <c r="AD100" s="1"/>
      <c r="AE100" s="1"/>
      <c r="AF100" s="1"/>
      <c r="AG100" s="1"/>
      <c r="AH100" s="1"/>
      <c r="AI100" s="1"/>
      <c r="AJ100" s="1"/>
      <c r="AK100" s="1"/>
    </row>
    <row r="101" spans="1:37">
      <c r="A101" s="134">
        <v>45488</v>
      </c>
      <c r="B101" s="135">
        <v>1188</v>
      </c>
      <c r="C101" s="133">
        <f t="shared" si="14"/>
        <v>1.0934774284133919E-2</v>
      </c>
      <c r="D101" s="133">
        <v>24586.7</v>
      </c>
      <c r="E101" s="133">
        <f t="shared" si="15"/>
        <v>3.4507175900890807E-3</v>
      </c>
      <c r="F101" s="135">
        <v>20844.55</v>
      </c>
      <c r="G101" s="67">
        <f t="shared" si="16"/>
        <v>-1.1125210186835321E-2</v>
      </c>
      <c r="W101" s="2">
        <v>45488</v>
      </c>
      <c r="X101" s="3">
        <f t="shared" si="17"/>
        <v>1188</v>
      </c>
      <c r="Y101" s="119">
        <f t="shared" si="18"/>
        <v>1.0934774284133919E-2</v>
      </c>
      <c r="Z101" s="1"/>
      <c r="AA101" s="2">
        <v>45294</v>
      </c>
      <c r="AB101" s="3">
        <f t="shared" si="19"/>
        <v>710.4</v>
      </c>
      <c r="AC101" s="1">
        <f t="shared" si="20"/>
        <v>-2.5974025974025983E-3</v>
      </c>
      <c r="AD101" s="1"/>
      <c r="AE101" s="1"/>
      <c r="AF101" s="1"/>
      <c r="AG101" s="1"/>
      <c r="AH101" s="1"/>
      <c r="AI101" s="1"/>
      <c r="AJ101" s="1"/>
      <c r="AK101" s="1"/>
    </row>
    <row r="102" spans="1:37">
      <c r="A102" s="134">
        <v>45485</v>
      </c>
      <c r="B102" s="135">
        <v>1175.1500000000001</v>
      </c>
      <c r="C102" s="133">
        <f t="shared" si="14"/>
        <v>1.0143121158722845E-2</v>
      </c>
      <c r="D102" s="133">
        <v>24502.15</v>
      </c>
      <c r="E102" s="133">
        <f t="shared" si="15"/>
        <v>7.6575252046495734E-3</v>
      </c>
      <c r="F102" s="135">
        <v>20612.650000000001</v>
      </c>
      <c r="G102" s="67">
        <f t="shared" si="16"/>
        <v>-5.3122718330733676E-4</v>
      </c>
      <c r="W102" s="2">
        <v>45485</v>
      </c>
      <c r="X102" s="3">
        <f t="shared" si="17"/>
        <v>1175.1500000000001</v>
      </c>
      <c r="Y102" s="119">
        <f t="shared" si="18"/>
        <v>1.0143121158722845E-2</v>
      </c>
      <c r="Z102" s="1"/>
      <c r="AA102" s="2">
        <v>45293</v>
      </c>
      <c r="AB102" s="3">
        <f t="shared" si="19"/>
        <v>712.25</v>
      </c>
      <c r="AC102" s="1">
        <f t="shared" si="20"/>
        <v>1.8737037831652703E-2</v>
      </c>
      <c r="AD102" s="1"/>
      <c r="AE102" s="1"/>
      <c r="AF102" s="1"/>
      <c r="AG102" s="1"/>
      <c r="AH102" s="1"/>
      <c r="AI102" s="1"/>
      <c r="AJ102" s="1"/>
      <c r="AK102" s="1"/>
    </row>
    <row r="103" spans="1:37">
      <c r="A103" s="134">
        <v>45484</v>
      </c>
      <c r="B103" s="135">
        <v>1163.3499999999999</v>
      </c>
      <c r="C103" s="133">
        <f t="shared" si="14"/>
        <v>-1.42354785408636E-2</v>
      </c>
      <c r="D103" s="133">
        <v>24315.95</v>
      </c>
      <c r="E103" s="133">
        <f t="shared" si="15"/>
        <v>-3.4944263899083783E-4</v>
      </c>
      <c r="F103" s="135">
        <v>20601.7</v>
      </c>
      <c r="G103" s="67">
        <f t="shared" si="16"/>
        <v>6.0310556895790679E-3</v>
      </c>
      <c r="W103" s="2">
        <v>45484</v>
      </c>
      <c r="X103" s="3">
        <f t="shared" si="17"/>
        <v>1163.3499999999999</v>
      </c>
      <c r="Y103" s="119">
        <f t="shared" si="18"/>
        <v>-1.42354785408636E-2</v>
      </c>
      <c r="Z103" s="1"/>
      <c r="AA103" s="2">
        <v>45292</v>
      </c>
      <c r="AB103" s="3">
        <f t="shared" si="19"/>
        <v>699.15</v>
      </c>
      <c r="AC103" s="1">
        <f t="shared" si="20"/>
        <v>1.4437028438769595E-2</v>
      </c>
      <c r="AD103" s="1"/>
      <c r="AE103" s="1"/>
      <c r="AF103" s="1"/>
      <c r="AG103" s="1"/>
      <c r="AH103" s="1"/>
      <c r="AI103" s="1"/>
      <c r="AJ103" s="1"/>
      <c r="AK103" s="1"/>
    </row>
    <row r="104" spans="1:37">
      <c r="A104" s="134">
        <v>45483</v>
      </c>
      <c r="B104" s="135">
        <v>1180.1500000000001</v>
      </c>
      <c r="C104" s="133">
        <f t="shared" si="14"/>
        <v>1.2613153717448311E-2</v>
      </c>
      <c r="D104" s="133">
        <v>24324.45</v>
      </c>
      <c r="E104" s="133">
        <f t="shared" si="15"/>
        <v>-4.4509110554491471E-3</v>
      </c>
      <c r="F104" s="135">
        <v>20725.95</v>
      </c>
      <c r="G104" s="67">
        <f t="shared" si="16"/>
        <v>-3.8671327490417129E-3</v>
      </c>
      <c r="W104" s="2">
        <v>45483</v>
      </c>
      <c r="X104" s="3">
        <f t="shared" si="17"/>
        <v>1180.1500000000001</v>
      </c>
      <c r="Y104" s="119">
        <f t="shared" si="18"/>
        <v>1.2613153717448311E-2</v>
      </c>
      <c r="Z104" s="1"/>
      <c r="AA104" s="2">
        <v>45289</v>
      </c>
      <c r="AB104" s="3">
        <f t="shared" si="19"/>
        <v>689.2</v>
      </c>
      <c r="AC104" s="1">
        <f t="shared" si="20"/>
        <v>4.0792540792542464E-3</v>
      </c>
      <c r="AD104" s="1"/>
      <c r="AE104" s="1"/>
      <c r="AF104" s="1"/>
      <c r="AG104" s="1"/>
      <c r="AH104" s="1"/>
      <c r="AI104" s="1"/>
      <c r="AJ104" s="1"/>
      <c r="AK104" s="1"/>
    </row>
    <row r="105" spans="1:37">
      <c r="A105" s="134">
        <v>45482</v>
      </c>
      <c r="B105" s="135">
        <v>1165.45</v>
      </c>
      <c r="C105" s="133">
        <f t="shared" si="14"/>
        <v>6.6073587839006187E-3</v>
      </c>
      <c r="D105" s="133">
        <v>24433.200000000001</v>
      </c>
      <c r="E105" s="133">
        <f t="shared" si="15"/>
        <v>4.6318853808815508E-3</v>
      </c>
      <c r="F105" s="135">
        <v>20645.8</v>
      </c>
      <c r="G105" s="67">
        <f t="shared" si="16"/>
        <v>-1.549952048358505E-2</v>
      </c>
      <c r="W105" s="2">
        <v>45482</v>
      </c>
      <c r="X105" s="3">
        <f t="shared" si="17"/>
        <v>1165.45</v>
      </c>
      <c r="Y105" s="119">
        <f t="shared" si="18"/>
        <v>6.6073587839006187E-3</v>
      </c>
      <c r="Z105" s="1"/>
      <c r="AA105" s="2">
        <v>45288</v>
      </c>
      <c r="AB105" s="3">
        <f t="shared" si="19"/>
        <v>686.4</v>
      </c>
      <c r="AC105" s="1">
        <f t="shared" si="20"/>
        <v>-3.2672620344151859E-3</v>
      </c>
      <c r="AD105" s="1"/>
      <c r="AE105" s="1"/>
      <c r="AF105" s="1"/>
      <c r="AG105" s="1"/>
      <c r="AH105" s="1"/>
      <c r="AI105" s="1"/>
      <c r="AJ105" s="1"/>
      <c r="AK105" s="1"/>
    </row>
    <row r="106" spans="1:37">
      <c r="A106" s="134">
        <v>45481</v>
      </c>
      <c r="B106" s="135">
        <v>1157.8</v>
      </c>
      <c r="C106" s="133">
        <f t="shared" si="14"/>
        <v>-4.0001720504108107E-3</v>
      </c>
      <c r="D106" s="133">
        <v>24320.55</v>
      </c>
      <c r="E106" s="133">
        <f t="shared" si="15"/>
        <v>-1.3566931221820067E-4</v>
      </c>
      <c r="F106" s="135">
        <v>20325.8</v>
      </c>
      <c r="G106" s="67">
        <f t="shared" si="16"/>
        <v>6.2998750356688671E-3</v>
      </c>
      <c r="W106" s="2">
        <v>45481</v>
      </c>
      <c r="X106" s="3">
        <f t="shared" si="17"/>
        <v>1157.8</v>
      </c>
      <c r="Y106" s="119">
        <f t="shared" si="18"/>
        <v>-4.0001720504108107E-3</v>
      </c>
      <c r="Z106" s="1"/>
      <c r="AA106" s="2">
        <v>45287</v>
      </c>
      <c r="AB106" s="3">
        <f t="shared" si="19"/>
        <v>688.65</v>
      </c>
      <c r="AC106" s="1">
        <f t="shared" si="20"/>
        <v>1.8411712511091194E-2</v>
      </c>
      <c r="AD106" s="1"/>
      <c r="AE106" s="1"/>
      <c r="AF106" s="1"/>
      <c r="AG106" s="1"/>
      <c r="AH106" s="1"/>
      <c r="AI106" s="1"/>
      <c r="AJ106" s="1"/>
      <c r="AK106" s="1"/>
    </row>
    <row r="107" spans="1:37">
      <c r="A107" s="134">
        <v>45478</v>
      </c>
      <c r="B107" s="135">
        <v>1162.45</v>
      </c>
      <c r="C107" s="133">
        <f t="shared" si="14"/>
        <v>2.2338507541445063E-2</v>
      </c>
      <c r="D107" s="133">
        <v>24323.85</v>
      </c>
      <c r="E107" s="133">
        <f t="shared" si="15"/>
        <v>8.9292511156413568E-4</v>
      </c>
      <c r="F107" s="135">
        <v>20453.849999999999</v>
      </c>
      <c r="G107" s="67">
        <f t="shared" si="16"/>
        <v>-1.2772656492543E-2</v>
      </c>
      <c r="W107" s="2">
        <v>45478</v>
      </c>
      <c r="X107" s="3">
        <f t="shared" si="17"/>
        <v>1162.45</v>
      </c>
      <c r="Y107" s="119">
        <f t="shared" si="18"/>
        <v>2.2338507541445063E-2</v>
      </c>
      <c r="Z107" s="1"/>
      <c r="AA107" s="2">
        <v>45286</v>
      </c>
      <c r="AB107" s="3">
        <f t="shared" si="19"/>
        <v>676.2</v>
      </c>
      <c r="AC107" s="1">
        <f t="shared" si="20"/>
        <v>-5.5151114052504058E-3</v>
      </c>
      <c r="AD107" s="1"/>
      <c r="AE107" s="1"/>
      <c r="AF107" s="1"/>
      <c r="AG107" s="1"/>
      <c r="AH107" s="1"/>
      <c r="AI107" s="1"/>
      <c r="AJ107" s="1"/>
      <c r="AK107" s="1"/>
    </row>
    <row r="108" spans="1:37">
      <c r="A108" s="134">
        <v>45477</v>
      </c>
      <c r="B108" s="135">
        <v>1137.05</v>
      </c>
      <c r="C108" s="133">
        <f t="shared" si="14"/>
        <v>3.8164802556494015E-2</v>
      </c>
      <c r="D108" s="133">
        <v>24302.15</v>
      </c>
      <c r="E108" s="133">
        <f t="shared" si="15"/>
        <v>6.4439091676460336E-4</v>
      </c>
      <c r="F108" s="135">
        <v>20192.599999999999</v>
      </c>
      <c r="G108" s="67">
        <f t="shared" si="16"/>
        <v>-1.3732753582995749E-2</v>
      </c>
      <c r="W108" s="2">
        <v>45477</v>
      </c>
      <c r="X108" s="3">
        <f t="shared" si="17"/>
        <v>1137.05</v>
      </c>
      <c r="Y108" s="119">
        <f t="shared" si="18"/>
        <v>3.8164802556494015E-2</v>
      </c>
      <c r="Z108" s="1"/>
      <c r="AA108" s="2">
        <v>45282</v>
      </c>
      <c r="AB108" s="3">
        <f t="shared" si="19"/>
        <v>679.95</v>
      </c>
      <c r="AC108" s="1">
        <f t="shared" si="20"/>
        <v>1.2659170452006929E-2</v>
      </c>
      <c r="AD108" s="1"/>
      <c r="AE108" s="1"/>
      <c r="AF108" s="1"/>
      <c r="AG108" s="1"/>
      <c r="AH108" s="1"/>
      <c r="AI108" s="1"/>
      <c r="AJ108" s="1"/>
      <c r="AK108" s="1"/>
    </row>
    <row r="109" spans="1:37">
      <c r="A109" s="134">
        <v>45476</v>
      </c>
      <c r="B109" s="135">
        <v>1095.25</v>
      </c>
      <c r="C109" s="133">
        <f t="shared" si="14"/>
        <v>1.9216452633538106E-2</v>
      </c>
      <c r="D109" s="133">
        <v>24286.5</v>
      </c>
      <c r="E109" s="133">
        <f t="shared" si="15"/>
        <v>6.7422903060665451E-3</v>
      </c>
      <c r="F109" s="135">
        <v>19915.3</v>
      </c>
      <c r="G109" s="67">
        <f t="shared" si="16"/>
        <v>-6.4724106591413921E-3</v>
      </c>
      <c r="W109" s="2">
        <v>45476</v>
      </c>
      <c r="X109" s="3">
        <f t="shared" si="17"/>
        <v>1095.25</v>
      </c>
      <c r="Y109" s="119">
        <f t="shared" si="18"/>
        <v>1.9216452633538106E-2</v>
      </c>
      <c r="Z109" s="1"/>
      <c r="AA109" s="2">
        <v>45281</v>
      </c>
      <c r="AB109" s="3">
        <f t="shared" si="19"/>
        <v>671.45</v>
      </c>
      <c r="AC109" s="1">
        <f t="shared" si="20"/>
        <v>1.1600753295668564E-2</v>
      </c>
      <c r="AD109" s="1"/>
      <c r="AE109" s="1"/>
      <c r="AF109" s="1"/>
      <c r="AG109" s="1"/>
      <c r="AH109" s="1"/>
      <c r="AI109" s="1"/>
      <c r="AJ109" s="1"/>
      <c r="AK109" s="1"/>
    </row>
    <row r="110" spans="1:37">
      <c r="A110" s="134">
        <v>45475</v>
      </c>
      <c r="B110" s="135">
        <v>1074.5999999999999</v>
      </c>
      <c r="C110" s="133">
        <f t="shared" si="14"/>
        <v>6.8396889346948875E-3</v>
      </c>
      <c r="D110" s="133">
        <v>24123.85</v>
      </c>
      <c r="E110" s="133">
        <f t="shared" si="15"/>
        <v>-7.4973231242725369E-4</v>
      </c>
      <c r="F110" s="135">
        <v>19786.400000000001</v>
      </c>
      <c r="G110" s="67">
        <f t="shared" si="16"/>
        <v>-1.4226943759350075E-3</v>
      </c>
      <c r="W110" s="2">
        <v>45475</v>
      </c>
      <c r="X110" s="3">
        <f t="shared" si="17"/>
        <v>1074.5999999999999</v>
      </c>
      <c r="Y110" s="119">
        <f t="shared" si="18"/>
        <v>6.8396889346948875E-3</v>
      </c>
      <c r="Z110" s="1"/>
      <c r="AA110" s="2">
        <v>45280</v>
      </c>
      <c r="AB110" s="3">
        <f t="shared" si="19"/>
        <v>663.75</v>
      </c>
      <c r="AC110" s="1">
        <f t="shared" si="20"/>
        <v>-3.2222789239629734E-2</v>
      </c>
      <c r="AD110" s="1"/>
      <c r="AE110" s="1"/>
      <c r="AF110" s="1"/>
      <c r="AG110" s="1"/>
      <c r="AH110" s="1"/>
      <c r="AI110" s="1"/>
      <c r="AJ110" s="1"/>
      <c r="AK110" s="1"/>
    </row>
    <row r="111" spans="1:37">
      <c r="A111" s="134">
        <v>45474</v>
      </c>
      <c r="B111" s="135">
        <v>1067.3</v>
      </c>
      <c r="C111" s="133">
        <f t="shared" si="14"/>
        <v>-6.1920946040319169E-3</v>
      </c>
      <c r="D111" s="133">
        <v>24141.95</v>
      </c>
      <c r="E111" s="133">
        <f t="shared" si="15"/>
        <v>5.4705005289330533E-3</v>
      </c>
      <c r="F111" s="135">
        <v>19758.25</v>
      </c>
      <c r="G111" s="67">
        <f t="shared" si="16"/>
        <v>-1.3513342527805561E-3</v>
      </c>
      <c r="W111" s="2">
        <v>45474</v>
      </c>
      <c r="X111" s="3">
        <f t="shared" si="17"/>
        <v>1067.3</v>
      </c>
      <c r="Y111" s="119">
        <f t="shared" si="18"/>
        <v>-6.1920946040319169E-3</v>
      </c>
      <c r="Z111" s="1"/>
      <c r="AA111" s="2">
        <v>45279</v>
      </c>
      <c r="AB111" s="3">
        <f t="shared" si="19"/>
        <v>685.85</v>
      </c>
      <c r="AC111" s="1">
        <f t="shared" si="20"/>
        <v>7.7137819570967103E-3</v>
      </c>
      <c r="AD111" s="1"/>
      <c r="AE111" s="1"/>
      <c r="AF111" s="1"/>
      <c r="AG111" s="1"/>
      <c r="AH111" s="1"/>
      <c r="AI111" s="1"/>
      <c r="AJ111" s="1"/>
      <c r="AK111" s="1"/>
    </row>
    <row r="112" spans="1:37">
      <c r="A112" s="134">
        <v>45471</v>
      </c>
      <c r="B112" s="135">
        <v>1073.95</v>
      </c>
      <c r="C112" s="133">
        <f t="shared" si="14"/>
        <v>1.6035950804162757E-2</v>
      </c>
      <c r="D112" s="133">
        <v>24010.6</v>
      </c>
      <c r="E112" s="133">
        <f t="shared" si="15"/>
        <v>-1.4098858366778932E-3</v>
      </c>
      <c r="F112" s="135">
        <v>19731.55</v>
      </c>
      <c r="G112" s="67">
        <f t="shared" si="16"/>
        <v>-1.0984945430034587E-2</v>
      </c>
      <c r="W112" s="2">
        <v>45471</v>
      </c>
      <c r="X112" s="3">
        <f t="shared" si="17"/>
        <v>1073.95</v>
      </c>
      <c r="Y112" s="119">
        <f t="shared" si="18"/>
        <v>1.6035950804162757E-2</v>
      </c>
      <c r="Z112" s="1"/>
      <c r="AA112" s="2">
        <v>45278</v>
      </c>
      <c r="AB112" s="3">
        <f t="shared" si="19"/>
        <v>680.6</v>
      </c>
      <c r="AC112" s="1">
        <f t="shared" si="20"/>
        <v>5.3723486607833992E-2</v>
      </c>
      <c r="AD112" s="1"/>
      <c r="AE112" s="1"/>
      <c r="AF112" s="1"/>
      <c r="AG112" s="1"/>
      <c r="AH112" s="1"/>
      <c r="AI112" s="1"/>
      <c r="AJ112" s="1"/>
      <c r="AK112" s="1"/>
    </row>
    <row r="113" spans="1:37">
      <c r="A113" s="134">
        <v>45470</v>
      </c>
      <c r="B113" s="135">
        <v>1057</v>
      </c>
      <c r="C113" s="133">
        <f t="shared" si="14"/>
        <v>-8.2567085757176972E-3</v>
      </c>
      <c r="D113" s="133">
        <v>24044.5</v>
      </c>
      <c r="E113" s="133">
        <f t="shared" si="15"/>
        <v>7.3610738704921186E-3</v>
      </c>
      <c r="F113" s="135">
        <v>19514.8</v>
      </c>
      <c r="G113" s="67">
        <f t="shared" si="16"/>
        <v>1.5654785086189893E-3</v>
      </c>
      <c r="W113" s="2">
        <v>45470</v>
      </c>
      <c r="X113" s="3">
        <f t="shared" si="17"/>
        <v>1057</v>
      </c>
      <c r="Y113" s="119">
        <f t="shared" si="18"/>
        <v>-8.2567085757176972E-3</v>
      </c>
      <c r="Z113" s="1"/>
      <c r="AA113" s="2">
        <v>45275</v>
      </c>
      <c r="AB113" s="3">
        <f t="shared" si="19"/>
        <v>645.9</v>
      </c>
      <c r="AC113" s="1">
        <f t="shared" si="20"/>
        <v>3.2618825722274813E-3</v>
      </c>
      <c r="AD113" s="1"/>
      <c r="AE113" s="1"/>
      <c r="AF113" s="1"/>
      <c r="AG113" s="1"/>
      <c r="AH113" s="1"/>
      <c r="AI113" s="1"/>
      <c r="AJ113" s="1"/>
      <c r="AK113" s="1"/>
    </row>
    <row r="114" spans="1:37">
      <c r="A114" s="134">
        <v>45469</v>
      </c>
      <c r="B114" s="135">
        <v>1065.8</v>
      </c>
      <c r="C114" s="133">
        <f t="shared" si="14"/>
        <v>-5.5516678329834424E-3</v>
      </c>
      <c r="D114" s="133">
        <v>23868.799999999999</v>
      </c>
      <c r="E114" s="133">
        <f t="shared" si="15"/>
        <v>6.2180403266263173E-3</v>
      </c>
      <c r="F114" s="135">
        <v>19545.349999999999</v>
      </c>
      <c r="G114" s="67">
        <f t="shared" si="16"/>
        <v>-6.6767798990552407E-4</v>
      </c>
      <c r="W114" s="2">
        <v>45469</v>
      </c>
      <c r="X114" s="3">
        <f t="shared" si="17"/>
        <v>1065.8</v>
      </c>
      <c r="Y114" s="119">
        <f t="shared" si="18"/>
        <v>-5.5516678329834424E-3</v>
      </c>
      <c r="Z114" s="1"/>
      <c r="AA114" s="2">
        <v>45274</v>
      </c>
      <c r="AB114" s="3">
        <f t="shared" si="19"/>
        <v>643.79999999999995</v>
      </c>
      <c r="AC114" s="1">
        <f t="shared" si="20"/>
        <v>2.1793275217931729E-3</v>
      </c>
      <c r="AD114" s="1"/>
      <c r="AE114" s="1"/>
      <c r="AF114" s="1"/>
      <c r="AG114" s="1"/>
      <c r="AH114" s="1"/>
      <c r="AI114" s="1"/>
      <c r="AJ114" s="1"/>
      <c r="AK114" s="1"/>
    </row>
    <row r="115" spans="1:37">
      <c r="A115" s="134">
        <v>45468</v>
      </c>
      <c r="B115" s="135">
        <v>1071.75</v>
      </c>
      <c r="C115" s="133">
        <f t="shared" si="14"/>
        <v>-7.9603832091450499E-3</v>
      </c>
      <c r="D115" s="133">
        <v>23721.3</v>
      </c>
      <c r="E115" s="133">
        <f t="shared" si="15"/>
        <v>7.7938299377386944E-3</v>
      </c>
      <c r="F115" s="135">
        <v>19532.3</v>
      </c>
      <c r="G115" s="67">
        <f t="shared" si="16"/>
        <v>-5.7084931114093074E-4</v>
      </c>
      <c r="W115" s="2">
        <v>45468</v>
      </c>
      <c r="X115" s="3">
        <f t="shared" si="17"/>
        <v>1071.75</v>
      </c>
      <c r="Y115" s="119">
        <f t="shared" si="18"/>
        <v>-7.9603832091450499E-3</v>
      </c>
      <c r="Z115" s="1"/>
      <c r="AA115" s="2">
        <v>45273</v>
      </c>
      <c r="AB115" s="3">
        <f t="shared" si="19"/>
        <v>642.4</v>
      </c>
      <c r="AC115" s="1">
        <f t="shared" si="20"/>
        <v>1.1016682404784373E-2</v>
      </c>
      <c r="AD115" s="1"/>
      <c r="AE115" s="1"/>
      <c r="AF115" s="1"/>
      <c r="AG115" s="1"/>
      <c r="AH115" s="1"/>
      <c r="AI115" s="1"/>
      <c r="AJ115" s="1"/>
      <c r="AK115" s="1"/>
    </row>
    <row r="116" spans="1:37">
      <c r="A116" s="134">
        <v>45467</v>
      </c>
      <c r="B116" s="135">
        <v>1080.3499999999999</v>
      </c>
      <c r="C116" s="133">
        <f t="shared" si="14"/>
        <v>-4.331597622229455E-3</v>
      </c>
      <c r="D116" s="133">
        <v>23537.85</v>
      </c>
      <c r="E116" s="133">
        <f t="shared" si="15"/>
        <v>1.5637565901169825E-3</v>
      </c>
      <c r="F116" s="135">
        <v>19521.150000000001</v>
      </c>
      <c r="G116" s="67">
        <f t="shared" si="16"/>
        <v>3.7139205425917865E-4</v>
      </c>
      <c r="W116" s="2">
        <v>45467</v>
      </c>
      <c r="X116" s="3">
        <f t="shared" si="17"/>
        <v>1080.3499999999999</v>
      </c>
      <c r="Y116" s="119">
        <f t="shared" si="18"/>
        <v>-4.331597622229455E-3</v>
      </c>
      <c r="Z116" s="1"/>
      <c r="AA116" s="2">
        <v>45272</v>
      </c>
      <c r="AB116" s="3">
        <f t="shared" si="19"/>
        <v>635.4</v>
      </c>
      <c r="AC116" s="1">
        <f t="shared" si="20"/>
        <v>2.8409090909089496E-3</v>
      </c>
      <c r="AD116" s="1"/>
      <c r="AE116" s="1"/>
      <c r="AF116" s="1"/>
      <c r="AG116" s="1"/>
      <c r="AH116" s="1"/>
      <c r="AI116" s="1"/>
      <c r="AJ116" s="1"/>
      <c r="AK116" s="1"/>
    </row>
    <row r="117" spans="1:37">
      <c r="A117" s="134">
        <v>45464</v>
      </c>
      <c r="B117" s="135">
        <v>1085.05</v>
      </c>
      <c r="C117" s="133">
        <f t="shared" si="14"/>
        <v>-3.3068479309237286E-3</v>
      </c>
      <c r="D117" s="133">
        <v>23501.1</v>
      </c>
      <c r="E117" s="133">
        <f t="shared" si="15"/>
        <v>-2.7962829380066001E-3</v>
      </c>
      <c r="F117" s="135">
        <v>19528.400000000001</v>
      </c>
      <c r="G117" s="67">
        <f t="shared" si="16"/>
        <v>8.2700067593854953E-4</v>
      </c>
      <c r="W117" s="2">
        <v>45464</v>
      </c>
      <c r="X117" s="3">
        <f t="shared" si="17"/>
        <v>1085.05</v>
      </c>
      <c r="Y117" s="119">
        <f t="shared" si="18"/>
        <v>-3.3068479309237286E-3</v>
      </c>
      <c r="Z117" s="1"/>
      <c r="AA117" s="2">
        <v>45271</v>
      </c>
      <c r="AB117" s="3">
        <f t="shared" si="19"/>
        <v>633.6</v>
      </c>
      <c r="AC117" s="1">
        <f t="shared" si="20"/>
        <v>-7.7519379844960268E-3</v>
      </c>
      <c r="AD117" s="1"/>
      <c r="AE117" s="1"/>
      <c r="AF117" s="1"/>
      <c r="AG117" s="1"/>
      <c r="AH117" s="1"/>
      <c r="AI117" s="1"/>
      <c r="AJ117" s="1"/>
      <c r="AK117" s="1"/>
    </row>
    <row r="118" spans="1:37">
      <c r="A118" s="134">
        <v>45463</v>
      </c>
      <c r="B118" s="135">
        <v>1088.6500000000001</v>
      </c>
      <c r="C118" s="133">
        <f t="shared" si="14"/>
        <v>1.4065483675655743E-2</v>
      </c>
      <c r="D118" s="133">
        <v>23567</v>
      </c>
      <c r="E118" s="133">
        <f t="shared" si="15"/>
        <v>2.1687361796223215E-3</v>
      </c>
      <c r="F118" s="135">
        <v>19544.55</v>
      </c>
      <c r="G118" s="67">
        <f t="shared" si="16"/>
        <v>5.1139575994332276E-3</v>
      </c>
      <c r="W118" s="2">
        <v>45463</v>
      </c>
      <c r="X118" s="3">
        <f t="shared" si="17"/>
        <v>1088.6500000000001</v>
      </c>
      <c r="Y118" s="119">
        <f t="shared" si="18"/>
        <v>1.4065483675655743E-2</v>
      </c>
      <c r="Z118" s="1"/>
      <c r="AA118" s="2">
        <v>45268</v>
      </c>
      <c r="AB118" s="3">
        <f t="shared" si="19"/>
        <v>638.54999999999995</v>
      </c>
      <c r="AC118" s="1">
        <f t="shared" si="20"/>
        <v>-2.9485523216050025E-2</v>
      </c>
      <c r="AD118" s="1"/>
      <c r="AE118" s="1"/>
      <c r="AF118" s="1"/>
      <c r="AG118" s="1"/>
      <c r="AH118" s="1"/>
      <c r="AI118" s="1"/>
      <c r="AJ118" s="1"/>
      <c r="AK118" s="1"/>
    </row>
    <row r="119" spans="1:37">
      <c r="A119" s="134">
        <v>45462</v>
      </c>
      <c r="B119" s="135">
        <v>1073.55</v>
      </c>
      <c r="C119" s="133">
        <f t="shared" si="14"/>
        <v>-5.0048658417907177E-3</v>
      </c>
      <c r="D119" s="133">
        <v>23516</v>
      </c>
      <c r="E119" s="133">
        <f t="shared" si="15"/>
        <v>-1.7785965642099777E-3</v>
      </c>
      <c r="F119" s="135">
        <v>19644.5</v>
      </c>
      <c r="G119" s="67">
        <f t="shared" si="16"/>
        <v>9.2723154063478752E-3</v>
      </c>
      <c r="W119" s="2">
        <v>45462</v>
      </c>
      <c r="X119" s="3">
        <f t="shared" si="17"/>
        <v>1073.55</v>
      </c>
      <c r="Y119" s="119">
        <f t="shared" si="18"/>
        <v>-5.0048658417907177E-3</v>
      </c>
      <c r="Z119" s="1"/>
      <c r="AA119" s="2">
        <v>45267</v>
      </c>
      <c r="AB119" s="3">
        <f t="shared" si="19"/>
        <v>657.95</v>
      </c>
      <c r="AC119" s="1">
        <f t="shared" si="20"/>
        <v>3.5407978597844059E-2</v>
      </c>
      <c r="AD119" s="1"/>
      <c r="AE119" s="1"/>
      <c r="AF119" s="1"/>
      <c r="AG119" s="1"/>
      <c r="AH119" s="1"/>
      <c r="AI119" s="1"/>
      <c r="AJ119" s="1"/>
      <c r="AK119" s="1"/>
    </row>
    <row r="120" spans="1:37">
      <c r="A120" s="134">
        <v>45461</v>
      </c>
      <c r="B120" s="135">
        <v>1078.95</v>
      </c>
      <c r="C120" s="133">
        <f t="shared" si="14"/>
        <v>-2.7578748141138254E-2</v>
      </c>
      <c r="D120" s="133">
        <v>23557.9</v>
      </c>
      <c r="E120" s="133">
        <f t="shared" si="15"/>
        <v>3.933417428064967E-3</v>
      </c>
      <c r="F120" s="135">
        <v>19826.650000000001</v>
      </c>
      <c r="G120" s="67">
        <f t="shared" si="16"/>
        <v>3.4801643242807767E-3</v>
      </c>
      <c r="W120" s="2">
        <v>45461</v>
      </c>
      <c r="X120" s="3">
        <f t="shared" si="17"/>
        <v>1078.95</v>
      </c>
      <c r="Y120" s="119">
        <f t="shared" si="18"/>
        <v>-2.7578748141138254E-2</v>
      </c>
      <c r="Z120" s="1"/>
      <c r="AA120" s="2">
        <v>45266</v>
      </c>
      <c r="AB120" s="3">
        <f t="shared" si="19"/>
        <v>635.45000000000005</v>
      </c>
      <c r="AC120" s="1">
        <f t="shared" si="20"/>
        <v>2.2080277580633911E-3</v>
      </c>
      <c r="AD120" s="1"/>
      <c r="AE120" s="1"/>
      <c r="AF120" s="1"/>
      <c r="AG120" s="1"/>
      <c r="AH120" s="1"/>
      <c r="AI120" s="1"/>
      <c r="AJ120" s="1"/>
      <c r="AK120" s="1"/>
    </row>
    <row r="121" spans="1:37">
      <c r="A121" s="134">
        <v>45457</v>
      </c>
      <c r="B121" s="135">
        <v>1109.55</v>
      </c>
      <c r="C121" s="133">
        <f t="shared" si="14"/>
        <v>1.7469050894085347E-2</v>
      </c>
      <c r="D121" s="133">
        <v>23465.599999999999</v>
      </c>
      <c r="E121" s="133">
        <f t="shared" si="15"/>
        <v>2.8505613511744521E-3</v>
      </c>
      <c r="F121" s="135">
        <v>19895.650000000001</v>
      </c>
      <c r="G121" s="67">
        <f t="shared" si="16"/>
        <v>-2.8724872019764147E-3</v>
      </c>
      <c r="W121" s="2">
        <v>45457</v>
      </c>
      <c r="X121" s="3">
        <f t="shared" si="17"/>
        <v>1109.55</v>
      </c>
      <c r="Y121" s="119">
        <f t="shared" si="18"/>
        <v>1.7469050894085347E-2</v>
      </c>
      <c r="Z121" s="1"/>
      <c r="AA121" s="2">
        <v>45265</v>
      </c>
      <c r="AB121" s="3">
        <f t="shared" si="19"/>
        <v>634.04999999999995</v>
      </c>
      <c r="AC121" s="1">
        <f t="shared" si="20"/>
        <v>1.0262077676033154E-3</v>
      </c>
      <c r="AD121" s="1"/>
      <c r="AE121" s="1"/>
      <c r="AF121" s="1"/>
      <c r="AG121" s="1"/>
      <c r="AH121" s="1"/>
      <c r="AI121" s="1"/>
      <c r="AJ121" s="1"/>
      <c r="AK121" s="1"/>
    </row>
    <row r="122" spans="1:37">
      <c r="A122" s="134">
        <v>45456</v>
      </c>
      <c r="B122" s="135">
        <v>1090.5</v>
      </c>
      <c r="C122" s="133">
        <f t="shared" si="14"/>
        <v>-5.8799398331738084E-3</v>
      </c>
      <c r="D122" s="133">
        <v>23398.9</v>
      </c>
      <c r="E122" s="133">
        <f t="shared" si="15"/>
        <v>3.2564491198583401E-3</v>
      </c>
      <c r="F122" s="135">
        <v>19838.5</v>
      </c>
      <c r="G122" s="67">
        <f t="shared" si="16"/>
        <v>-5.0104594601406705E-3</v>
      </c>
      <c r="W122" s="2">
        <v>45456</v>
      </c>
      <c r="X122" s="3">
        <f t="shared" si="17"/>
        <v>1090.5</v>
      </c>
      <c r="Y122" s="119">
        <f t="shared" si="18"/>
        <v>-5.8799398331738084E-3</v>
      </c>
      <c r="Z122" s="1"/>
      <c r="AA122" s="2">
        <v>45264</v>
      </c>
      <c r="AB122" s="3">
        <f t="shared" si="19"/>
        <v>633.4</v>
      </c>
      <c r="AC122" s="1">
        <f t="shared" si="20"/>
        <v>-9.8483664217603462E-3</v>
      </c>
      <c r="AD122" s="1"/>
      <c r="AE122" s="1"/>
      <c r="AF122" s="1"/>
      <c r="AG122" s="1"/>
      <c r="AH122" s="1"/>
      <c r="AI122" s="1"/>
      <c r="AJ122" s="1"/>
      <c r="AK122" s="1"/>
    </row>
    <row r="123" spans="1:37">
      <c r="A123" s="134">
        <v>45455</v>
      </c>
      <c r="B123" s="135">
        <v>1096.95</v>
      </c>
      <c r="C123" s="133">
        <f t="shared" si="14"/>
        <v>1.1153615707240716E-2</v>
      </c>
      <c r="D123" s="133">
        <v>23322.95</v>
      </c>
      <c r="E123" s="133">
        <f t="shared" si="15"/>
        <v>2.4973296625596664E-3</v>
      </c>
      <c r="F123" s="135">
        <v>19739.099999999999</v>
      </c>
      <c r="G123" s="67">
        <f t="shared" si="16"/>
        <v>-2.50264703051295E-3</v>
      </c>
      <c r="W123" s="2">
        <v>45455</v>
      </c>
      <c r="X123" s="3">
        <f t="shared" si="17"/>
        <v>1096.95</v>
      </c>
      <c r="Y123" s="119">
        <f t="shared" si="18"/>
        <v>1.1153615707240716E-2</v>
      </c>
      <c r="Z123" s="1"/>
      <c r="AA123" s="2">
        <v>45261</v>
      </c>
      <c r="AB123" s="3">
        <f t="shared" si="19"/>
        <v>639.70000000000005</v>
      </c>
      <c r="AC123" s="1">
        <f t="shared" si="20"/>
        <v>3.3722845267039059E-3</v>
      </c>
      <c r="AD123" s="1"/>
      <c r="AE123" s="1"/>
      <c r="AF123" s="1"/>
      <c r="AG123" s="1"/>
      <c r="AH123" s="1"/>
      <c r="AI123" s="1"/>
      <c r="AJ123" s="1"/>
      <c r="AK123" s="1"/>
    </row>
    <row r="124" spans="1:37">
      <c r="A124" s="134">
        <v>45454</v>
      </c>
      <c r="B124" s="135">
        <v>1084.8499999999999</v>
      </c>
      <c r="C124" s="133">
        <f t="shared" si="14"/>
        <v>-1.1049215045347838E-3</v>
      </c>
      <c r="D124" s="133">
        <v>23264.85</v>
      </c>
      <c r="E124" s="133">
        <f t="shared" si="15"/>
        <v>2.4291463162962046E-4</v>
      </c>
      <c r="F124" s="135">
        <v>19689.7</v>
      </c>
      <c r="G124" s="67">
        <f t="shared" si="16"/>
        <v>4.3169779123095608E-3</v>
      </c>
      <c r="W124" s="2">
        <v>45454</v>
      </c>
      <c r="X124" s="3">
        <f t="shared" si="17"/>
        <v>1084.8499999999999</v>
      </c>
      <c r="Y124" s="119">
        <f t="shared" si="18"/>
        <v>-1.1049215045347838E-3</v>
      </c>
      <c r="Z124" s="1"/>
      <c r="AA124" s="2">
        <v>45260</v>
      </c>
      <c r="AB124" s="3">
        <f t="shared" si="19"/>
        <v>637.54999999999995</v>
      </c>
      <c r="AC124" s="1">
        <f t="shared" si="20"/>
        <v>3.9366978978032652E-3</v>
      </c>
      <c r="AD124" s="1"/>
      <c r="AE124" s="1"/>
      <c r="AF124" s="1"/>
      <c r="AG124" s="1"/>
      <c r="AH124" s="1"/>
      <c r="AI124" s="1"/>
      <c r="AJ124" s="1"/>
      <c r="AK124" s="1"/>
    </row>
    <row r="125" spans="1:37">
      <c r="A125" s="134">
        <v>45453</v>
      </c>
      <c r="B125" s="135">
        <v>1086.05</v>
      </c>
      <c r="C125" s="133">
        <f t="shared" si="14"/>
        <v>2.8651259708277976E-2</v>
      </c>
      <c r="D125" s="133">
        <v>23259.200000000001</v>
      </c>
      <c r="E125" s="133">
        <f t="shared" si="15"/>
        <v>-1.3288879633664985E-3</v>
      </c>
      <c r="F125" s="135">
        <v>19774.7</v>
      </c>
      <c r="G125" s="67">
        <f t="shared" si="16"/>
        <v>-9.9470535583346953E-3</v>
      </c>
      <c r="W125" s="2">
        <v>45453</v>
      </c>
      <c r="X125" s="3">
        <f t="shared" si="17"/>
        <v>1086.05</v>
      </c>
      <c r="Y125" s="119">
        <f t="shared" si="18"/>
        <v>2.8651259708277976E-2</v>
      </c>
      <c r="Z125" s="1"/>
      <c r="AA125" s="2">
        <v>45259</v>
      </c>
      <c r="AB125" s="3">
        <f t="shared" si="19"/>
        <v>635.04999999999995</v>
      </c>
      <c r="AC125" s="1">
        <f t="shared" si="20"/>
        <v>8.3359796760875682E-3</v>
      </c>
      <c r="AD125" s="1"/>
      <c r="AE125" s="1"/>
      <c r="AF125" s="1"/>
      <c r="AG125" s="1"/>
      <c r="AH125" s="1"/>
      <c r="AI125" s="1"/>
      <c r="AJ125" s="1"/>
      <c r="AK125" s="1"/>
    </row>
    <row r="126" spans="1:37">
      <c r="A126" s="134">
        <v>45450</v>
      </c>
      <c r="B126" s="135">
        <v>1055.8</v>
      </c>
      <c r="C126" s="133">
        <f t="shared" si="14"/>
        <v>1.0334928229664975E-2</v>
      </c>
      <c r="D126" s="133">
        <v>23290.15</v>
      </c>
      <c r="E126" s="133">
        <f t="shared" si="15"/>
        <v>2.0539931818380985E-2</v>
      </c>
      <c r="F126" s="135">
        <v>19578</v>
      </c>
      <c r="G126" s="67">
        <f t="shared" si="16"/>
        <v>-1.7667790376953763E-2</v>
      </c>
      <c r="W126" s="2">
        <v>45450</v>
      </c>
      <c r="X126" s="3">
        <f t="shared" si="17"/>
        <v>1055.8</v>
      </c>
      <c r="Y126" s="119">
        <f t="shared" si="18"/>
        <v>1.0334928229664975E-2</v>
      </c>
      <c r="Z126" s="1"/>
      <c r="AA126" s="2">
        <v>45258</v>
      </c>
      <c r="AB126" s="3">
        <f t="shared" si="19"/>
        <v>629.79999999999995</v>
      </c>
      <c r="AC126" s="1">
        <f t="shared" si="20"/>
        <v>-1.5783716205657217E-2</v>
      </c>
      <c r="AD126" s="1"/>
      <c r="AE126" s="1"/>
      <c r="AF126" s="1"/>
      <c r="AG126" s="1"/>
      <c r="AH126" s="1"/>
      <c r="AI126" s="1"/>
      <c r="AJ126" s="1"/>
      <c r="AK126" s="1"/>
    </row>
    <row r="127" spans="1:37">
      <c r="A127" s="134">
        <v>45449</v>
      </c>
      <c r="B127" s="135">
        <v>1045</v>
      </c>
      <c r="C127" s="133">
        <f t="shared" si="14"/>
        <v>-3.480665617698997E-3</v>
      </c>
      <c r="D127" s="133">
        <v>22821.4</v>
      </c>
      <c r="E127" s="133">
        <f t="shared" si="15"/>
        <v>8.888014553267487E-3</v>
      </c>
      <c r="F127" s="135">
        <v>19232.099999999999</v>
      </c>
      <c r="G127" s="67">
        <f t="shared" si="16"/>
        <v>2.5556231508780947E-3</v>
      </c>
      <c r="W127" s="2">
        <v>45449</v>
      </c>
      <c r="X127" s="3">
        <f t="shared" si="17"/>
        <v>1045</v>
      </c>
      <c r="Y127" s="119">
        <f t="shared" si="18"/>
        <v>-3.480665617698997E-3</v>
      </c>
      <c r="Z127" s="1"/>
      <c r="AA127" s="2">
        <v>45254</v>
      </c>
      <c r="AB127" s="3">
        <f t="shared" si="19"/>
        <v>639.9</v>
      </c>
      <c r="AC127" s="1">
        <f t="shared" si="20"/>
        <v>1.3141228625712431E-2</v>
      </c>
      <c r="AD127" s="1"/>
      <c r="AE127" s="1"/>
      <c r="AF127" s="1"/>
      <c r="AG127" s="1"/>
      <c r="AH127" s="1"/>
      <c r="AI127" s="1"/>
      <c r="AJ127" s="1"/>
      <c r="AK127" s="1"/>
    </row>
    <row r="128" spans="1:37">
      <c r="A128" s="134">
        <v>45448</v>
      </c>
      <c r="B128" s="135">
        <v>1048.6500000000001</v>
      </c>
      <c r="C128" s="133">
        <f t="shared" si="14"/>
        <v>4.4888401753686802E-2</v>
      </c>
      <c r="D128" s="133">
        <v>22620.35</v>
      </c>
      <c r="E128" s="133">
        <f t="shared" si="15"/>
        <v>3.3624254609426751E-2</v>
      </c>
      <c r="F128" s="135">
        <v>19281.25</v>
      </c>
      <c r="G128" s="67">
        <f t="shared" si="16"/>
        <v>-3.5168881685575304E-2</v>
      </c>
      <c r="W128" s="2">
        <v>45448</v>
      </c>
      <c r="X128" s="3">
        <f t="shared" si="17"/>
        <v>1048.6500000000001</v>
      </c>
      <c r="Y128" s="119">
        <f t="shared" si="18"/>
        <v>4.4888401753686802E-2</v>
      </c>
      <c r="Z128" s="1"/>
      <c r="AA128" s="2">
        <v>45253</v>
      </c>
      <c r="AB128" s="3">
        <f t="shared" si="19"/>
        <v>631.6</v>
      </c>
      <c r="AC128" s="1">
        <f t="shared" si="20"/>
        <v>-1.6275990966435505E-2</v>
      </c>
      <c r="AD128" s="1"/>
      <c r="AE128" s="1"/>
      <c r="AF128" s="1"/>
      <c r="AG128" s="1"/>
      <c r="AH128" s="1"/>
      <c r="AI128" s="1"/>
      <c r="AJ128" s="1"/>
      <c r="AK128" s="1"/>
    </row>
    <row r="129" spans="1:37">
      <c r="A129" s="134">
        <v>45447</v>
      </c>
      <c r="B129" s="135">
        <v>1003.6</v>
      </c>
      <c r="C129" s="133">
        <f t="shared" si="14"/>
        <v>-2.7754904335190123E-2</v>
      </c>
      <c r="D129" s="133">
        <v>21884.5</v>
      </c>
      <c r="E129" s="133">
        <f t="shared" si="15"/>
        <v>-5.9293583620975032E-2</v>
      </c>
      <c r="F129" s="135">
        <v>18603.150000000001</v>
      </c>
      <c r="G129" s="67">
        <f t="shared" si="16"/>
        <v>1.4029882036106889E-2</v>
      </c>
      <c r="W129" s="2">
        <v>45447</v>
      </c>
      <c r="X129" s="3">
        <f t="shared" si="17"/>
        <v>1003.6</v>
      </c>
      <c r="Y129" s="119">
        <f t="shared" si="18"/>
        <v>-2.7754904335190123E-2</v>
      </c>
      <c r="Z129" s="1"/>
      <c r="AA129" s="2">
        <v>45252</v>
      </c>
      <c r="AB129" s="3">
        <f t="shared" si="19"/>
        <v>642.04999999999995</v>
      </c>
      <c r="AC129" s="1">
        <f t="shared" si="20"/>
        <v>4.6944683514591468E-3</v>
      </c>
      <c r="AD129" s="1"/>
      <c r="AE129" s="1"/>
      <c r="AF129" s="1"/>
      <c r="AG129" s="1"/>
      <c r="AH129" s="1"/>
      <c r="AI129" s="1"/>
      <c r="AJ129" s="1"/>
      <c r="AK129" s="1"/>
    </row>
    <row r="130" spans="1:37">
      <c r="A130" s="134">
        <v>45446</v>
      </c>
      <c r="B130" s="135">
        <v>1032.25</v>
      </c>
      <c r="C130" s="133">
        <f t="shared" si="14"/>
        <v>3.209518572214165E-2</v>
      </c>
      <c r="D130" s="133">
        <v>23263.9</v>
      </c>
      <c r="E130" s="133">
        <f t="shared" si="15"/>
        <v>3.2542264554585643E-2</v>
      </c>
      <c r="F130" s="135">
        <v>18864.150000000001</v>
      </c>
      <c r="G130" s="67">
        <f t="shared" si="16"/>
        <v>-3.5967695337453254E-3</v>
      </c>
      <c r="W130" s="2">
        <v>45446</v>
      </c>
      <c r="X130" s="3">
        <f t="shared" si="17"/>
        <v>1032.25</v>
      </c>
      <c r="Y130" s="119">
        <f t="shared" si="18"/>
        <v>3.209518572214165E-2</v>
      </c>
      <c r="Z130" s="1"/>
      <c r="AA130" s="2">
        <v>45251</v>
      </c>
      <c r="AB130" s="3">
        <f t="shared" si="19"/>
        <v>639.04999999999995</v>
      </c>
      <c r="AC130" s="1">
        <f t="shared" si="20"/>
        <v>4.7955974842766036E-3</v>
      </c>
      <c r="AD130" s="1"/>
      <c r="AE130" s="1"/>
      <c r="AF130" s="1"/>
      <c r="AG130" s="1"/>
      <c r="AH130" s="1"/>
      <c r="AI130" s="1"/>
      <c r="AJ130" s="1"/>
      <c r="AK130" s="1"/>
    </row>
    <row r="131" spans="1:37">
      <c r="A131" s="134">
        <v>45443</v>
      </c>
      <c r="B131" s="135">
        <v>1000.15</v>
      </c>
      <c r="C131" s="133">
        <f t="shared" si="14"/>
        <v>-2.3243322427852986E-2</v>
      </c>
      <c r="D131" s="133">
        <v>22530.7</v>
      </c>
      <c r="E131" s="133">
        <f t="shared" si="15"/>
        <v>1.8698321153114428E-3</v>
      </c>
      <c r="F131" s="135">
        <v>18796.3</v>
      </c>
      <c r="G131" s="67">
        <f t="shared" si="16"/>
        <v>9.294382405047763E-3</v>
      </c>
      <c r="W131" s="2">
        <v>45443</v>
      </c>
      <c r="X131" s="3">
        <f t="shared" si="17"/>
        <v>1000.15</v>
      </c>
      <c r="Y131" s="119">
        <f t="shared" si="18"/>
        <v>-2.3243322427852986E-2</v>
      </c>
      <c r="Z131" s="1"/>
      <c r="AA131" s="2">
        <v>45250</v>
      </c>
      <c r="AB131" s="3">
        <f t="shared" si="19"/>
        <v>636</v>
      </c>
      <c r="AC131" s="1"/>
      <c r="AD131" s="1"/>
      <c r="AE131" s="1"/>
      <c r="AF131" s="1"/>
      <c r="AG131" s="1"/>
      <c r="AH131" s="1"/>
      <c r="AI131" s="1"/>
      <c r="AJ131" s="1"/>
      <c r="AK131" s="1"/>
    </row>
    <row r="132" spans="1:37">
      <c r="A132" s="134">
        <v>45442</v>
      </c>
      <c r="B132" s="135">
        <v>1023.95</v>
      </c>
      <c r="C132" s="133">
        <f t="shared" si="14"/>
        <v>-1.9909069155300219E-2</v>
      </c>
      <c r="D132" s="133">
        <v>22488.65</v>
      </c>
      <c r="E132" s="133">
        <f t="shared" si="15"/>
        <v>-9.515650944518117E-3</v>
      </c>
      <c r="F132" s="135">
        <v>18971</v>
      </c>
      <c r="G132" s="67">
        <f t="shared" si="16"/>
        <v>1.8467661167044458E-2</v>
      </c>
      <c r="W132" s="2">
        <v>45442</v>
      </c>
      <c r="X132" s="3">
        <f t="shared" si="17"/>
        <v>1023.95</v>
      </c>
      <c r="Y132" s="119">
        <f t="shared" si="18"/>
        <v>-1.9909069155300219E-2</v>
      </c>
      <c r="Z132" s="1"/>
      <c r="AA132" s="1"/>
      <c r="AB132" s="1"/>
      <c r="AC132" s="1"/>
      <c r="AD132" s="1"/>
      <c r="AE132" s="1"/>
      <c r="AF132" s="1"/>
      <c r="AG132" s="1"/>
      <c r="AH132" s="1"/>
      <c r="AI132" s="1"/>
      <c r="AJ132" s="1"/>
      <c r="AK132" s="1"/>
    </row>
    <row r="133" spans="1:37">
      <c r="A133" s="134">
        <v>45441</v>
      </c>
      <c r="B133" s="135">
        <v>1044.75</v>
      </c>
      <c r="C133" s="133">
        <f t="shared" si="14"/>
        <v>-7.7876442376181298E-3</v>
      </c>
      <c r="D133" s="133">
        <v>22704.7</v>
      </c>
      <c r="E133" s="133">
        <f t="shared" si="15"/>
        <v>-8.015064563977492E-3</v>
      </c>
      <c r="F133" s="135">
        <v>19321.349999999999</v>
      </c>
      <c r="G133" s="67">
        <f t="shared" si="16"/>
        <v>-5.4654566062929399E-3</v>
      </c>
      <c r="W133" s="2">
        <v>45441</v>
      </c>
      <c r="X133" s="3">
        <f t="shared" si="17"/>
        <v>1044.75</v>
      </c>
      <c r="Y133" s="119">
        <f t="shared" si="18"/>
        <v>-7.7876442376181298E-3</v>
      </c>
      <c r="Z133" s="1"/>
      <c r="AA133" s="1"/>
      <c r="AB133" s="1"/>
      <c r="AC133" s="1"/>
      <c r="AD133" s="1"/>
      <c r="AE133" s="1"/>
      <c r="AF133" s="1"/>
      <c r="AG133" s="1"/>
      <c r="AH133" s="1"/>
      <c r="AI133" s="1"/>
      <c r="AJ133" s="1"/>
      <c r="AK133" s="1"/>
    </row>
    <row r="134" spans="1:37">
      <c r="A134" s="134">
        <v>45440</v>
      </c>
      <c r="B134" s="135">
        <v>1052.95</v>
      </c>
      <c r="C134" s="133">
        <f t="shared" si="14"/>
        <v>-5.2432687765705532E-3</v>
      </c>
      <c r="D134" s="133">
        <v>22888.15</v>
      </c>
      <c r="E134" s="133">
        <f t="shared" si="15"/>
        <v>-1.9317604529824894E-3</v>
      </c>
      <c r="F134" s="135">
        <v>19215.75</v>
      </c>
      <c r="G134" s="67">
        <f t="shared" si="16"/>
        <v>-5.4018188204987272E-3</v>
      </c>
      <c r="W134" s="2">
        <v>45440</v>
      </c>
      <c r="X134" s="3">
        <f t="shared" si="17"/>
        <v>1052.95</v>
      </c>
      <c r="Y134" s="119">
        <f t="shared" si="18"/>
        <v>-5.2432687765705532E-3</v>
      </c>
      <c r="Z134" s="1"/>
      <c r="AA134" s="1"/>
      <c r="AB134" s="1"/>
      <c r="AC134" s="1"/>
      <c r="AD134" s="1"/>
      <c r="AE134" s="1"/>
      <c r="AF134" s="1"/>
      <c r="AG134" s="1"/>
      <c r="AH134" s="1"/>
      <c r="AI134" s="1"/>
      <c r="AJ134" s="1"/>
      <c r="AK134" s="1"/>
    </row>
    <row r="135" spans="1:37">
      <c r="A135" s="134">
        <v>45439</v>
      </c>
      <c r="B135" s="135">
        <v>1058.5</v>
      </c>
      <c r="C135" s="133">
        <f t="shared" si="14"/>
        <v>-1.6263940520446107E-2</v>
      </c>
      <c r="D135" s="133">
        <v>22932.45</v>
      </c>
      <c r="E135" s="133">
        <f t="shared" si="15"/>
        <v>-1.073741892486324E-3</v>
      </c>
      <c r="F135" s="135">
        <v>19111.95</v>
      </c>
      <c r="G135" s="67">
        <f t="shared" si="16"/>
        <v>3.9504079908114775E-4</v>
      </c>
      <c r="W135" s="2">
        <v>45439</v>
      </c>
      <c r="X135" s="3">
        <f t="shared" si="17"/>
        <v>1058.5</v>
      </c>
      <c r="Y135" s="119">
        <f t="shared" si="18"/>
        <v>-1.6263940520446107E-2</v>
      </c>
      <c r="Z135" s="1"/>
      <c r="AA135" s="1"/>
      <c r="AB135" s="1"/>
      <c r="AC135" s="1"/>
      <c r="AD135" s="1"/>
      <c r="AE135" s="1"/>
      <c r="AF135" s="1"/>
      <c r="AG135" s="1"/>
      <c r="AH135" s="1"/>
      <c r="AI135" s="1"/>
      <c r="AJ135" s="1"/>
      <c r="AK135" s="1"/>
    </row>
    <row r="136" spans="1:37">
      <c r="A136" s="134">
        <v>45436</v>
      </c>
      <c r="B136" s="135">
        <v>1076</v>
      </c>
      <c r="C136" s="133">
        <f t="shared" si="14"/>
        <v>-9.2537176004787725E-3</v>
      </c>
      <c r="D136" s="133">
        <v>22957.1</v>
      </c>
      <c r="E136" s="133">
        <f t="shared" si="15"/>
        <v>-4.5934172629780168E-4</v>
      </c>
      <c r="F136" s="135">
        <v>19119.5</v>
      </c>
      <c r="G136" s="67">
        <f t="shared" si="16"/>
        <v>5.0655090352780263E-3</v>
      </c>
      <c r="W136" s="2">
        <v>45436</v>
      </c>
      <c r="X136" s="3">
        <f t="shared" si="17"/>
        <v>1076</v>
      </c>
      <c r="Y136" s="119">
        <f t="shared" si="18"/>
        <v>-9.2537176004787725E-3</v>
      </c>
      <c r="Z136" s="1"/>
      <c r="AA136" s="1"/>
      <c r="AB136" s="1"/>
      <c r="AC136" s="1"/>
      <c r="AD136" s="1"/>
      <c r="AE136" s="1"/>
      <c r="AF136" s="1"/>
      <c r="AG136" s="1"/>
      <c r="AH136" s="1"/>
      <c r="AI136" s="1"/>
      <c r="AJ136" s="1"/>
      <c r="AK136" s="1"/>
    </row>
    <row r="137" spans="1:37">
      <c r="A137" s="134">
        <v>45435</v>
      </c>
      <c r="B137" s="135">
        <v>1086.05</v>
      </c>
      <c r="C137" s="133">
        <f t="shared" ref="C137:C200" si="21">B137/B138-1</f>
        <v>4.9969925507795665E-3</v>
      </c>
      <c r="D137" s="133">
        <v>22967.65</v>
      </c>
      <c r="E137" s="133">
        <f t="shared" ref="E137:E200" si="22">D137/D138-1</f>
        <v>1.6366637460283773E-2</v>
      </c>
      <c r="F137" s="135">
        <v>19216.349999999999</v>
      </c>
      <c r="G137" s="67">
        <f t="shared" ref="G137:G200" si="23">F138/F137-1</f>
        <v>5.2585428554332569E-3</v>
      </c>
      <c r="W137" s="2">
        <v>45435</v>
      </c>
      <c r="X137" s="3">
        <f t="shared" si="17"/>
        <v>1086.05</v>
      </c>
      <c r="Y137" s="119">
        <f t="shared" si="18"/>
        <v>4.9969925507795665E-3</v>
      </c>
      <c r="Z137" s="1"/>
      <c r="AA137" s="1"/>
      <c r="AB137" s="1"/>
      <c r="AC137" s="1"/>
      <c r="AD137" s="1"/>
      <c r="AE137" s="1"/>
      <c r="AF137" s="1"/>
      <c r="AG137" s="1"/>
      <c r="AH137" s="1"/>
      <c r="AI137" s="1"/>
      <c r="AJ137" s="1"/>
      <c r="AK137" s="1"/>
    </row>
    <row r="138" spans="1:37">
      <c r="A138" s="134">
        <v>45434</v>
      </c>
      <c r="B138" s="135">
        <v>1080.6500000000001</v>
      </c>
      <c r="C138" s="133">
        <f t="shared" si="21"/>
        <v>-7.0749299398169541E-3</v>
      </c>
      <c r="D138" s="133">
        <v>22597.8</v>
      </c>
      <c r="E138" s="133">
        <f t="shared" si="22"/>
        <v>3.0516155807722711E-3</v>
      </c>
      <c r="F138" s="135">
        <v>19317.400000000001</v>
      </c>
      <c r="G138" s="67">
        <f t="shared" si="23"/>
        <v>-5.8082350626896817E-3</v>
      </c>
      <c r="W138" s="2">
        <v>45434</v>
      </c>
      <c r="X138" s="3">
        <f t="shared" ref="X138:X201" si="24">B138</f>
        <v>1080.6500000000001</v>
      </c>
      <c r="Y138" s="119">
        <f t="shared" ref="Y138:Y201" si="25">X138/X139-1</f>
        <v>-7.0749299398169541E-3</v>
      </c>
      <c r="Z138" s="1"/>
      <c r="AA138" s="1"/>
      <c r="AB138" s="1"/>
      <c r="AC138" s="1"/>
      <c r="AD138" s="1"/>
      <c r="AE138" s="1"/>
      <c r="AF138" s="1"/>
      <c r="AG138" s="1"/>
      <c r="AH138" s="1"/>
      <c r="AI138" s="1"/>
      <c r="AJ138" s="1"/>
      <c r="AK138" s="1"/>
    </row>
    <row r="139" spans="1:37">
      <c r="A139" s="134">
        <v>45433</v>
      </c>
      <c r="B139" s="135">
        <v>1088.3499999999999</v>
      </c>
      <c r="C139" s="133">
        <f t="shared" si="21"/>
        <v>-1.4131074776937536E-2</v>
      </c>
      <c r="D139" s="133">
        <v>22529.05</v>
      </c>
      <c r="E139" s="133">
        <f t="shared" si="22"/>
        <v>1.2021153675227936E-3</v>
      </c>
      <c r="F139" s="135">
        <v>19205.2</v>
      </c>
      <c r="G139" s="67">
        <f t="shared" si="23"/>
        <v>-5.061129277487364E-3</v>
      </c>
      <c r="W139" s="2">
        <v>45433</v>
      </c>
      <c r="X139" s="3">
        <f t="shared" si="24"/>
        <v>1088.3499999999999</v>
      </c>
      <c r="Y139" s="119">
        <f t="shared" si="25"/>
        <v>-1.4131074776937536E-2</v>
      </c>
      <c r="Z139" s="1"/>
      <c r="AA139" s="1"/>
      <c r="AB139" s="1"/>
      <c r="AC139" s="1"/>
      <c r="AD139" s="1"/>
      <c r="AE139" s="1"/>
      <c r="AF139" s="1"/>
      <c r="AG139" s="1"/>
      <c r="AH139" s="1"/>
      <c r="AI139" s="1"/>
      <c r="AJ139" s="1"/>
      <c r="AK139" s="1"/>
    </row>
    <row r="140" spans="1:37">
      <c r="A140" s="134">
        <v>45430</v>
      </c>
      <c r="B140" s="135">
        <v>1103.95</v>
      </c>
      <c r="C140" s="133">
        <f t="shared" si="21"/>
        <v>4.9980977743960375E-2</v>
      </c>
      <c r="D140" s="133">
        <v>22502</v>
      </c>
      <c r="E140" s="133">
        <f t="shared" si="22"/>
        <v>1.5979631533733496E-3</v>
      </c>
      <c r="F140" s="135">
        <v>19108</v>
      </c>
      <c r="G140" s="67">
        <f t="shared" si="23"/>
        <v>-6.6150303537786392E-3</v>
      </c>
      <c r="W140" s="2">
        <v>45430</v>
      </c>
      <c r="X140" s="3">
        <f t="shared" si="24"/>
        <v>1103.95</v>
      </c>
      <c r="Y140" s="119">
        <f t="shared" si="25"/>
        <v>4.9980977743960375E-2</v>
      </c>
      <c r="Z140" s="1"/>
      <c r="AA140" s="1"/>
      <c r="AB140" s="1"/>
      <c r="AC140" s="1"/>
      <c r="AD140" s="1"/>
      <c r="AE140" s="1"/>
      <c r="AF140" s="1"/>
      <c r="AG140" s="1"/>
      <c r="AH140" s="1"/>
      <c r="AI140" s="1"/>
      <c r="AJ140" s="1"/>
      <c r="AK140" s="1"/>
    </row>
    <row r="141" spans="1:37">
      <c r="A141" s="134">
        <v>45429</v>
      </c>
      <c r="B141" s="135">
        <v>1051.4000000000001</v>
      </c>
      <c r="C141" s="133">
        <f t="shared" si="21"/>
        <v>4.2021803766105092E-2</v>
      </c>
      <c r="D141" s="133">
        <v>22466.1</v>
      </c>
      <c r="E141" s="133">
        <f t="shared" si="22"/>
        <v>2.7785402955295968E-3</v>
      </c>
      <c r="F141" s="135">
        <v>18981.599999999999</v>
      </c>
      <c r="G141" s="67">
        <f t="shared" si="23"/>
        <v>7.6653179921626347E-4</v>
      </c>
      <c r="W141" s="2">
        <v>45429</v>
      </c>
      <c r="X141" s="3">
        <f t="shared" si="24"/>
        <v>1051.4000000000001</v>
      </c>
      <c r="Y141" s="119">
        <f t="shared" si="25"/>
        <v>4.2021803766105092E-2</v>
      </c>
      <c r="Z141" s="1"/>
      <c r="AA141" s="1"/>
      <c r="AB141" s="1"/>
      <c r="AC141" s="1"/>
      <c r="AD141" s="1"/>
      <c r="AE141" s="1"/>
      <c r="AF141" s="1"/>
      <c r="AG141" s="1"/>
      <c r="AH141" s="1"/>
      <c r="AI141" s="1"/>
      <c r="AJ141" s="1"/>
      <c r="AK141" s="1"/>
    </row>
    <row r="142" spans="1:37">
      <c r="A142" s="134">
        <v>45428</v>
      </c>
      <c r="B142" s="135">
        <v>1009</v>
      </c>
      <c r="C142" s="133">
        <f t="shared" si="21"/>
        <v>1.1985356802567626E-2</v>
      </c>
      <c r="D142" s="133">
        <v>22403.85</v>
      </c>
      <c r="E142" s="133">
        <f t="shared" si="22"/>
        <v>9.1574307843724778E-3</v>
      </c>
      <c r="F142" s="135">
        <v>18996.150000000001</v>
      </c>
      <c r="G142" s="67">
        <f t="shared" si="23"/>
        <v>-5.7695901537944128E-3</v>
      </c>
      <c r="W142" s="2">
        <v>45428</v>
      </c>
      <c r="X142" s="3">
        <f t="shared" si="24"/>
        <v>1009</v>
      </c>
      <c r="Y142" s="119">
        <f t="shared" si="25"/>
        <v>1.1985356802567626E-2</v>
      </c>
      <c r="Z142" s="1"/>
      <c r="AA142" s="1"/>
      <c r="AB142" s="1"/>
      <c r="AC142" s="1"/>
      <c r="AD142" s="1"/>
      <c r="AE142" s="1"/>
      <c r="AF142" s="1"/>
      <c r="AG142" s="1"/>
      <c r="AH142" s="1"/>
      <c r="AI142" s="1"/>
      <c r="AJ142" s="1"/>
      <c r="AK142" s="1"/>
    </row>
    <row r="143" spans="1:37">
      <c r="A143" s="134">
        <v>45427</v>
      </c>
      <c r="B143" s="133">
        <v>997.05</v>
      </c>
      <c r="C143" s="133">
        <f t="shared" si="21"/>
        <v>1.3622731662684906E-2</v>
      </c>
      <c r="D143" s="133">
        <v>22200.55</v>
      </c>
      <c r="E143" s="133">
        <f t="shared" si="22"/>
        <v>-7.7865320001702099E-4</v>
      </c>
      <c r="F143" s="135">
        <v>18886.55</v>
      </c>
      <c r="G143" s="67">
        <f t="shared" si="23"/>
        <v>-1.3607567289950495E-3</v>
      </c>
      <c r="W143" s="2">
        <v>45427</v>
      </c>
      <c r="X143" s="3">
        <f t="shared" si="24"/>
        <v>997.05</v>
      </c>
      <c r="Y143" s="119">
        <f t="shared" si="25"/>
        <v>1.3622731662684906E-2</v>
      </c>
      <c r="Z143" s="1"/>
      <c r="AA143" s="1"/>
      <c r="AB143" s="1"/>
      <c r="AC143" s="1"/>
      <c r="AD143" s="1"/>
      <c r="AE143" s="1"/>
      <c r="AF143" s="1"/>
      <c r="AG143" s="1"/>
      <c r="AH143" s="1"/>
      <c r="AI143" s="1"/>
      <c r="AJ143" s="1"/>
      <c r="AK143" s="1"/>
    </row>
    <row r="144" spans="1:37">
      <c r="A144" s="134">
        <v>45426</v>
      </c>
      <c r="B144" s="133">
        <v>983.65</v>
      </c>
      <c r="C144" s="133">
        <f t="shared" si="21"/>
        <v>-8.9168765743072864E-3</v>
      </c>
      <c r="D144" s="133">
        <v>22217.85</v>
      </c>
      <c r="E144" s="133">
        <f t="shared" si="22"/>
        <v>5.1483777859713253E-3</v>
      </c>
      <c r="F144" s="135">
        <v>18860.849999999999</v>
      </c>
      <c r="G144" s="67">
        <f t="shared" si="23"/>
        <v>4.1435036066774789E-3</v>
      </c>
      <c r="W144" s="2">
        <v>45426</v>
      </c>
      <c r="X144" s="3">
        <f t="shared" si="24"/>
        <v>983.65</v>
      </c>
      <c r="Y144" s="119">
        <f t="shared" si="25"/>
        <v>-8.9168765743072864E-3</v>
      </c>
      <c r="Z144" s="1"/>
      <c r="AA144" s="1"/>
      <c r="AB144" s="1"/>
      <c r="AC144" s="1"/>
      <c r="AD144" s="1"/>
      <c r="AE144" s="1"/>
      <c r="AF144" s="1"/>
      <c r="AG144" s="1"/>
      <c r="AH144" s="1"/>
      <c r="AI144" s="1"/>
      <c r="AJ144" s="1"/>
      <c r="AK144" s="1"/>
    </row>
    <row r="145" spans="1:37">
      <c r="A145" s="134">
        <v>45425</v>
      </c>
      <c r="B145" s="133">
        <v>992.5</v>
      </c>
      <c r="C145" s="133">
        <f t="shared" si="21"/>
        <v>1.0538105177416934E-2</v>
      </c>
      <c r="D145" s="133">
        <v>22104.05</v>
      </c>
      <c r="E145" s="133">
        <f t="shared" si="22"/>
        <v>2.2148971671078765E-3</v>
      </c>
      <c r="F145" s="135">
        <v>18939</v>
      </c>
      <c r="G145" s="67">
        <f t="shared" si="23"/>
        <v>-1.7400601932520132E-2</v>
      </c>
      <c r="W145" s="2">
        <v>45425</v>
      </c>
      <c r="X145" s="3">
        <f t="shared" si="24"/>
        <v>992.5</v>
      </c>
      <c r="Y145" s="119">
        <f t="shared" si="25"/>
        <v>1.0538105177416934E-2</v>
      </c>
      <c r="Z145" s="1"/>
      <c r="AA145" s="1"/>
      <c r="AB145" s="1"/>
      <c r="AC145" s="1"/>
      <c r="AD145" s="1"/>
      <c r="AE145" s="1"/>
      <c r="AF145" s="1"/>
      <c r="AG145" s="1"/>
      <c r="AH145" s="1"/>
      <c r="AI145" s="1"/>
      <c r="AJ145" s="1"/>
      <c r="AK145" s="1"/>
    </row>
    <row r="146" spans="1:37">
      <c r="A146" s="134">
        <v>45422</v>
      </c>
      <c r="B146" s="133">
        <v>982.15</v>
      </c>
      <c r="C146" s="133">
        <f t="shared" si="21"/>
        <v>1.4408180128072656E-2</v>
      </c>
      <c r="D146" s="133">
        <v>22055.200000000001</v>
      </c>
      <c r="E146" s="133">
        <f t="shared" si="22"/>
        <v>4.4495047250370234E-3</v>
      </c>
      <c r="F146" s="135">
        <v>18609.45</v>
      </c>
      <c r="G146" s="67">
        <f t="shared" si="23"/>
        <v>-9.2641104385138284E-3</v>
      </c>
      <c r="W146" s="2">
        <v>45422</v>
      </c>
      <c r="X146" s="3">
        <f t="shared" si="24"/>
        <v>982.15</v>
      </c>
      <c r="Y146" s="119">
        <f t="shared" si="25"/>
        <v>1.4408180128072656E-2</v>
      </c>
      <c r="Z146" s="1"/>
      <c r="AA146" s="1"/>
      <c r="AB146" s="1"/>
      <c r="AC146" s="1"/>
      <c r="AD146" s="1"/>
      <c r="AE146" s="1"/>
      <c r="AF146" s="1"/>
      <c r="AG146" s="1"/>
      <c r="AH146" s="1"/>
      <c r="AI146" s="1"/>
      <c r="AJ146" s="1"/>
      <c r="AK146" s="1"/>
    </row>
    <row r="147" spans="1:37">
      <c r="A147" s="134">
        <v>45421</v>
      </c>
      <c r="B147" s="133">
        <v>968.2</v>
      </c>
      <c r="C147" s="133">
        <f t="shared" si="21"/>
        <v>-3.7191726332537756E-2</v>
      </c>
      <c r="D147" s="133">
        <v>21957.5</v>
      </c>
      <c r="E147" s="133">
        <f t="shared" si="22"/>
        <v>-1.546911781190452E-2</v>
      </c>
      <c r="F147" s="135">
        <v>18437.05</v>
      </c>
      <c r="G147" s="67">
        <f t="shared" si="23"/>
        <v>2.2443937614748499E-2</v>
      </c>
      <c r="W147" s="2">
        <v>45421</v>
      </c>
      <c r="X147" s="3">
        <f t="shared" si="24"/>
        <v>968.2</v>
      </c>
      <c r="Y147" s="119">
        <f t="shared" si="25"/>
        <v>-3.7191726332537756E-2</v>
      </c>
      <c r="Z147" s="1"/>
      <c r="AA147" s="1"/>
      <c r="AB147" s="1"/>
      <c r="AC147" s="1"/>
      <c r="AD147" s="1"/>
      <c r="AE147" s="1"/>
      <c r="AF147" s="1"/>
      <c r="AG147" s="1"/>
      <c r="AH147" s="1"/>
      <c r="AI147" s="1"/>
      <c r="AJ147" s="1"/>
      <c r="AK147" s="1"/>
    </row>
    <row r="148" spans="1:37">
      <c r="A148" s="134">
        <v>45420</v>
      </c>
      <c r="B148" s="135">
        <v>1005.6</v>
      </c>
      <c r="C148" s="133">
        <f t="shared" si="21"/>
        <v>2.5233216088086818E-2</v>
      </c>
      <c r="D148" s="133">
        <v>22302.5</v>
      </c>
      <c r="E148" s="133">
        <f t="shared" si="22"/>
        <v>0</v>
      </c>
      <c r="F148" s="135">
        <v>18850.849999999999</v>
      </c>
      <c r="G148" s="67">
        <f t="shared" si="23"/>
        <v>-2.4136842635735789E-4</v>
      </c>
      <c r="W148" s="2">
        <v>45420</v>
      </c>
      <c r="X148" s="3">
        <f t="shared" si="24"/>
        <v>1005.6</v>
      </c>
      <c r="Y148" s="119">
        <f t="shared" si="25"/>
        <v>2.5233216088086818E-2</v>
      </c>
      <c r="Z148" s="1"/>
      <c r="AA148" s="1"/>
      <c r="AB148" s="1"/>
      <c r="AC148" s="1"/>
      <c r="AD148" s="1"/>
      <c r="AE148" s="1"/>
      <c r="AF148" s="1"/>
      <c r="AG148" s="1"/>
      <c r="AH148" s="1"/>
      <c r="AI148" s="1"/>
      <c r="AJ148" s="1"/>
      <c r="AK148" s="1"/>
    </row>
    <row r="149" spans="1:37">
      <c r="A149" s="134">
        <v>45419</v>
      </c>
      <c r="B149" s="133">
        <v>980.85</v>
      </c>
      <c r="C149" s="133">
        <f t="shared" si="21"/>
        <v>-3.9088905216752345E-2</v>
      </c>
      <c r="D149" s="133">
        <v>22302.5</v>
      </c>
      <c r="E149" s="133">
        <f t="shared" si="22"/>
        <v>-6.2470201891929866E-3</v>
      </c>
      <c r="F149" s="135">
        <v>18846.3</v>
      </c>
      <c r="G149" s="67">
        <f t="shared" si="23"/>
        <v>1.8942710240206218E-2</v>
      </c>
      <c r="W149" s="2">
        <v>45419</v>
      </c>
      <c r="X149" s="3">
        <f t="shared" si="24"/>
        <v>980.85</v>
      </c>
      <c r="Y149" s="119">
        <f t="shared" si="25"/>
        <v>-3.9088905216752345E-2</v>
      </c>
      <c r="Z149" s="1"/>
      <c r="AA149" s="1"/>
      <c r="AB149" s="1"/>
      <c r="AC149" s="1"/>
      <c r="AD149" s="1"/>
      <c r="AE149" s="1"/>
      <c r="AF149" s="1"/>
      <c r="AG149" s="1"/>
      <c r="AH149" s="1"/>
      <c r="AI149" s="1"/>
      <c r="AJ149" s="1"/>
      <c r="AK149" s="1"/>
    </row>
    <row r="150" spans="1:37">
      <c r="A150" s="134">
        <v>45418</v>
      </c>
      <c r="B150" s="135">
        <v>1020.75</v>
      </c>
      <c r="C150" s="133">
        <f t="shared" si="21"/>
        <v>2.3410868257469408E-2</v>
      </c>
      <c r="D150" s="133">
        <v>22442.7</v>
      </c>
      <c r="E150" s="133">
        <f t="shared" si="22"/>
        <v>-1.4749164102803025E-3</v>
      </c>
      <c r="F150" s="135">
        <v>19203.3</v>
      </c>
      <c r="G150" s="67">
        <f t="shared" si="23"/>
        <v>-3.6399993751072834E-3</v>
      </c>
      <c r="W150" s="2">
        <v>45418</v>
      </c>
      <c r="X150" s="3">
        <f t="shared" si="24"/>
        <v>1020.75</v>
      </c>
      <c r="Y150" s="119">
        <f t="shared" si="25"/>
        <v>2.3410868257469408E-2</v>
      </c>
      <c r="Z150" s="1"/>
      <c r="AA150" s="1"/>
      <c r="AB150" s="1"/>
      <c r="AC150" s="1"/>
      <c r="AD150" s="1"/>
      <c r="AE150" s="1"/>
      <c r="AF150" s="1"/>
      <c r="AG150" s="1"/>
      <c r="AH150" s="1"/>
      <c r="AI150" s="1"/>
      <c r="AJ150" s="1"/>
      <c r="AK150" s="1"/>
    </row>
    <row r="151" spans="1:37">
      <c r="A151" s="134">
        <v>45415</v>
      </c>
      <c r="B151" s="133">
        <v>997.4</v>
      </c>
      <c r="C151" s="133">
        <f t="shared" si="21"/>
        <v>9.5141700404857144E-3</v>
      </c>
      <c r="D151" s="133">
        <v>22475.85</v>
      </c>
      <c r="E151" s="133">
        <f t="shared" si="22"/>
        <v>-7.6098762815588472E-3</v>
      </c>
      <c r="F151" s="135">
        <v>19133.400000000001</v>
      </c>
      <c r="G151" s="67">
        <f t="shared" si="23"/>
        <v>-4.6776840498818917E-4</v>
      </c>
      <c r="W151" s="2">
        <v>45415</v>
      </c>
      <c r="X151" s="3">
        <f t="shared" si="24"/>
        <v>997.4</v>
      </c>
      <c r="Y151" s="119">
        <f t="shared" si="25"/>
        <v>9.5141700404857144E-3</v>
      </c>
      <c r="Z151" s="1"/>
      <c r="AA151" s="1"/>
      <c r="AB151" s="1"/>
      <c r="AC151" s="1"/>
      <c r="AD151" s="1"/>
      <c r="AE151" s="1"/>
      <c r="AF151" s="1"/>
      <c r="AG151" s="1"/>
      <c r="AH151" s="1"/>
      <c r="AI151" s="1"/>
      <c r="AJ151" s="1"/>
      <c r="AK151" s="1"/>
    </row>
    <row r="152" spans="1:37">
      <c r="A152" s="134">
        <v>45414</v>
      </c>
      <c r="B152" s="133">
        <v>988</v>
      </c>
      <c r="C152" s="133">
        <f t="shared" si="21"/>
        <v>3.6128152692569859E-2</v>
      </c>
      <c r="D152" s="133">
        <v>22648.2</v>
      </c>
      <c r="E152" s="133">
        <f t="shared" si="22"/>
        <v>1.917730044658672E-3</v>
      </c>
      <c r="F152" s="135">
        <v>19124.45</v>
      </c>
      <c r="G152" s="67">
        <f t="shared" si="23"/>
        <v>-8.0446757945981107E-3</v>
      </c>
      <c r="W152" s="2">
        <v>45414</v>
      </c>
      <c r="X152" s="3">
        <f t="shared" si="24"/>
        <v>988</v>
      </c>
      <c r="Y152" s="119">
        <f t="shared" si="25"/>
        <v>3.6128152692569859E-2</v>
      </c>
      <c r="Z152" s="1"/>
      <c r="AA152" s="1"/>
      <c r="AB152" s="1"/>
      <c r="AC152" s="1"/>
      <c r="AD152" s="1"/>
      <c r="AE152" s="1"/>
      <c r="AF152" s="1"/>
      <c r="AG152" s="1"/>
      <c r="AH152" s="1"/>
      <c r="AI152" s="1"/>
      <c r="AJ152" s="1"/>
      <c r="AK152" s="1"/>
    </row>
    <row r="153" spans="1:37">
      <c r="A153" s="134">
        <v>45412</v>
      </c>
      <c r="B153" s="133">
        <v>953.55</v>
      </c>
      <c r="C153" s="133">
        <f t="shared" si="21"/>
        <v>-9.9158965839477586E-3</v>
      </c>
      <c r="D153" s="133">
        <v>22604.85</v>
      </c>
      <c r="E153" s="133">
        <f t="shared" si="22"/>
        <v>-1.7024828426828176E-3</v>
      </c>
      <c r="F153" s="135">
        <v>18970.599999999999</v>
      </c>
      <c r="G153" s="67">
        <f t="shared" si="23"/>
        <v>6.6576702898171192E-3</v>
      </c>
      <c r="W153" s="2">
        <v>45412</v>
      </c>
      <c r="X153" s="3">
        <f t="shared" si="24"/>
        <v>953.55</v>
      </c>
      <c r="Y153" s="119">
        <f t="shared" si="25"/>
        <v>-9.9158965839477586E-3</v>
      </c>
      <c r="Z153" s="1"/>
      <c r="AA153" s="1"/>
      <c r="AB153" s="1"/>
      <c r="AC153" s="1"/>
      <c r="AD153" s="1"/>
      <c r="AE153" s="1"/>
      <c r="AF153" s="1"/>
      <c r="AG153" s="1"/>
      <c r="AH153" s="1"/>
      <c r="AI153" s="1"/>
      <c r="AJ153" s="1"/>
      <c r="AK153" s="1"/>
    </row>
    <row r="154" spans="1:37">
      <c r="A154" s="134">
        <v>45411</v>
      </c>
      <c r="B154" s="133">
        <v>963.1</v>
      </c>
      <c r="C154" s="133">
        <f t="shared" si="21"/>
        <v>1.6571669833227887E-2</v>
      </c>
      <c r="D154" s="133">
        <v>22643.4</v>
      </c>
      <c r="E154" s="133">
        <f t="shared" si="22"/>
        <v>9.9665699522077933E-3</v>
      </c>
      <c r="F154" s="135">
        <v>19096.900000000001</v>
      </c>
      <c r="G154" s="67">
        <f t="shared" si="23"/>
        <v>-5.3542721593556886E-3</v>
      </c>
      <c r="W154" s="2">
        <v>45411</v>
      </c>
      <c r="X154" s="3">
        <f t="shared" si="24"/>
        <v>963.1</v>
      </c>
      <c r="Y154" s="119">
        <f t="shared" si="25"/>
        <v>1.6571669833227887E-2</v>
      </c>
      <c r="Z154" s="1"/>
      <c r="AA154" s="1"/>
      <c r="AB154" s="1"/>
      <c r="AC154" s="1"/>
      <c r="AD154" s="1"/>
      <c r="AE154" s="1"/>
      <c r="AF154" s="1"/>
      <c r="AG154" s="1"/>
      <c r="AH154" s="1"/>
      <c r="AI154" s="1"/>
      <c r="AJ154" s="1"/>
      <c r="AK154" s="1"/>
    </row>
    <row r="155" spans="1:37">
      <c r="A155" s="134">
        <v>45408</v>
      </c>
      <c r="B155" s="133">
        <v>947.4</v>
      </c>
      <c r="C155" s="133">
        <f t="shared" si="21"/>
        <v>-4.0473061760841755E-3</v>
      </c>
      <c r="D155" s="133">
        <v>22419.95</v>
      </c>
      <c r="E155" s="133">
        <f t="shared" si="22"/>
        <v>-6.6636095585579369E-3</v>
      </c>
      <c r="F155" s="135">
        <v>18994.650000000001</v>
      </c>
      <c r="G155" s="67">
        <f t="shared" si="23"/>
        <v>-6.1333059572037385E-3</v>
      </c>
      <c r="W155" s="2">
        <v>45408</v>
      </c>
      <c r="X155" s="3">
        <f t="shared" si="24"/>
        <v>947.4</v>
      </c>
      <c r="Y155" s="119">
        <f t="shared" si="25"/>
        <v>-4.0473061760841755E-3</v>
      </c>
      <c r="Z155" s="1"/>
      <c r="AA155" s="1"/>
      <c r="AB155" s="1"/>
      <c r="AC155" s="1"/>
      <c r="AD155" s="1"/>
      <c r="AE155" s="1"/>
      <c r="AF155" s="1"/>
      <c r="AG155" s="1"/>
      <c r="AH155" s="1"/>
      <c r="AI155" s="1"/>
      <c r="AJ155" s="1"/>
      <c r="AK155" s="1"/>
    </row>
    <row r="156" spans="1:37">
      <c r="A156" s="134">
        <v>45407</v>
      </c>
      <c r="B156" s="133">
        <v>951.25</v>
      </c>
      <c r="C156" s="133">
        <f t="shared" si="21"/>
        <v>1.901446170326726E-2</v>
      </c>
      <c r="D156" s="133">
        <v>22570.35</v>
      </c>
      <c r="E156" s="133">
        <f t="shared" si="22"/>
        <v>7.496964610934409E-3</v>
      </c>
      <c r="F156" s="135">
        <v>18878.150000000001</v>
      </c>
      <c r="G156" s="67">
        <f t="shared" si="23"/>
        <v>-1.5464968760180442E-2</v>
      </c>
      <c r="W156" s="2">
        <v>45407</v>
      </c>
      <c r="X156" s="3">
        <f t="shared" si="24"/>
        <v>951.25</v>
      </c>
      <c r="Y156" s="119">
        <f t="shared" si="25"/>
        <v>1.901446170326726E-2</v>
      </c>
      <c r="Z156" s="1"/>
      <c r="AA156" s="1"/>
      <c r="AB156" s="1"/>
      <c r="AC156" s="1"/>
      <c r="AD156" s="1"/>
      <c r="AE156" s="1"/>
      <c r="AF156" s="1"/>
      <c r="AG156" s="1"/>
      <c r="AH156" s="1"/>
      <c r="AI156" s="1"/>
      <c r="AJ156" s="1"/>
      <c r="AK156" s="1"/>
    </row>
    <row r="157" spans="1:37">
      <c r="A157" s="134">
        <v>45406</v>
      </c>
      <c r="B157" s="133">
        <v>933.5</v>
      </c>
      <c r="C157" s="133">
        <f t="shared" si="21"/>
        <v>-2.7046745531294047E-2</v>
      </c>
      <c r="D157" s="133">
        <v>22402.400000000001</v>
      </c>
      <c r="E157" s="133">
        <f t="shared" si="22"/>
        <v>1.5379113018598733E-3</v>
      </c>
      <c r="F157" s="135">
        <v>18586.2</v>
      </c>
      <c r="G157" s="67">
        <f t="shared" si="23"/>
        <v>-6.588221368542313E-3</v>
      </c>
      <c r="W157" s="2">
        <v>45406</v>
      </c>
      <c r="X157" s="3">
        <f t="shared" si="24"/>
        <v>933.5</v>
      </c>
      <c r="Y157" s="119">
        <f t="shared" si="25"/>
        <v>-2.7046745531294047E-2</v>
      </c>
      <c r="Z157" s="1"/>
      <c r="AA157" s="1"/>
      <c r="AB157" s="1"/>
      <c r="AC157" s="1"/>
      <c r="AD157" s="1"/>
      <c r="AE157" s="1"/>
      <c r="AF157" s="1"/>
      <c r="AG157" s="1"/>
      <c r="AH157" s="1"/>
      <c r="AI157" s="1"/>
      <c r="AJ157" s="1"/>
      <c r="AK157" s="1"/>
    </row>
    <row r="158" spans="1:37">
      <c r="A158" s="134">
        <v>45405</v>
      </c>
      <c r="B158" s="133">
        <v>959.45</v>
      </c>
      <c r="C158" s="133">
        <f t="shared" si="21"/>
        <v>-2.604980723143191E-4</v>
      </c>
      <c r="D158" s="133">
        <v>22368</v>
      </c>
      <c r="E158" s="133">
        <f t="shared" si="22"/>
        <v>1.4147311115488836E-3</v>
      </c>
      <c r="F158" s="135">
        <v>18463.75</v>
      </c>
      <c r="G158" s="67">
        <f t="shared" si="23"/>
        <v>9.708212037099706E-3</v>
      </c>
      <c r="W158" s="2">
        <v>45405</v>
      </c>
      <c r="X158" s="3">
        <f t="shared" si="24"/>
        <v>959.45</v>
      </c>
      <c r="Y158" s="119">
        <f t="shared" si="25"/>
        <v>-2.604980723143191E-4</v>
      </c>
      <c r="Z158" s="1"/>
      <c r="AA158" s="1"/>
      <c r="AB158" s="1"/>
      <c r="AC158" s="1"/>
      <c r="AD158" s="1"/>
      <c r="AE158" s="1"/>
      <c r="AF158" s="1"/>
      <c r="AG158" s="1"/>
      <c r="AH158" s="1"/>
      <c r="AI158" s="1"/>
      <c r="AJ158" s="1"/>
      <c r="AK158" s="1"/>
    </row>
    <row r="159" spans="1:37">
      <c r="A159" s="134">
        <v>45404</v>
      </c>
      <c r="B159" s="133">
        <v>959.7</v>
      </c>
      <c r="C159" s="133">
        <f t="shared" si="21"/>
        <v>4.0720056389958348E-2</v>
      </c>
      <c r="D159" s="133">
        <v>22336.400000000001</v>
      </c>
      <c r="E159" s="133">
        <f t="shared" si="22"/>
        <v>8.5519483451483858E-3</v>
      </c>
      <c r="F159" s="135">
        <v>18643</v>
      </c>
      <c r="G159" s="67">
        <f t="shared" si="23"/>
        <v>-1.2787641474011791E-2</v>
      </c>
      <c r="W159" s="2">
        <v>45404</v>
      </c>
      <c r="X159" s="3">
        <f t="shared" si="24"/>
        <v>959.7</v>
      </c>
      <c r="Y159" s="119">
        <f t="shared" si="25"/>
        <v>4.0720056389958348E-2</v>
      </c>
      <c r="Z159" s="1"/>
      <c r="AA159" s="1"/>
      <c r="AB159" s="1"/>
      <c r="AC159" s="1"/>
      <c r="AD159" s="1"/>
      <c r="AE159" s="1"/>
      <c r="AF159" s="1"/>
      <c r="AG159" s="1"/>
      <c r="AH159" s="1"/>
      <c r="AI159" s="1"/>
      <c r="AJ159" s="1"/>
      <c r="AK159" s="1"/>
    </row>
    <row r="160" spans="1:37">
      <c r="A160" s="134">
        <v>45401</v>
      </c>
      <c r="B160" s="133">
        <v>922.15</v>
      </c>
      <c r="C160" s="133">
        <f t="shared" si="21"/>
        <v>-1.5848452508004263E-2</v>
      </c>
      <c r="D160" s="133">
        <v>22147</v>
      </c>
      <c r="E160" s="133">
        <f t="shared" si="22"/>
        <v>6.8717508075386569E-3</v>
      </c>
      <c r="F160" s="135">
        <v>18404.599999999999</v>
      </c>
      <c r="G160" s="67">
        <f t="shared" si="23"/>
        <v>6.5825934820642473E-3</v>
      </c>
      <c r="W160" s="2">
        <v>45401</v>
      </c>
      <c r="X160" s="3">
        <f t="shared" si="24"/>
        <v>922.15</v>
      </c>
      <c r="Y160" s="119">
        <f t="shared" si="25"/>
        <v>-1.5848452508004263E-2</v>
      </c>
      <c r="Z160" s="1"/>
      <c r="AA160" s="1"/>
      <c r="AB160" s="1"/>
      <c r="AC160" s="1"/>
      <c r="AD160" s="1"/>
      <c r="AE160" s="1"/>
      <c r="AF160" s="1"/>
      <c r="AG160" s="1"/>
      <c r="AH160" s="1"/>
      <c r="AI160" s="1"/>
      <c r="AJ160" s="1"/>
      <c r="AK160" s="1"/>
    </row>
    <row r="161" spans="1:37">
      <c r="A161" s="134">
        <v>45400</v>
      </c>
      <c r="B161" s="133">
        <v>937</v>
      </c>
      <c r="C161" s="133">
        <f t="shared" si="21"/>
        <v>-8.3081970683177575E-3</v>
      </c>
      <c r="D161" s="133">
        <v>21995.85</v>
      </c>
      <c r="E161" s="133">
        <f t="shared" si="22"/>
        <v>-6.8652106971768267E-3</v>
      </c>
      <c r="F161" s="135">
        <v>18525.75</v>
      </c>
      <c r="G161" s="67">
        <f t="shared" si="23"/>
        <v>9.1683197711291964E-3</v>
      </c>
      <c r="W161" s="2">
        <v>45400</v>
      </c>
      <c r="X161" s="3">
        <f t="shared" si="24"/>
        <v>937</v>
      </c>
      <c r="Y161" s="119">
        <f t="shared" si="25"/>
        <v>-8.3081970683177575E-3</v>
      </c>
      <c r="Z161" s="1"/>
      <c r="AA161" s="1"/>
      <c r="AB161" s="1"/>
      <c r="AC161" s="1"/>
      <c r="AD161" s="1"/>
      <c r="AE161" s="1"/>
      <c r="AF161" s="1"/>
      <c r="AG161" s="1"/>
      <c r="AH161" s="1"/>
      <c r="AI161" s="1"/>
      <c r="AJ161" s="1"/>
      <c r="AK161" s="1"/>
    </row>
    <row r="162" spans="1:37">
      <c r="A162" s="134">
        <v>45398</v>
      </c>
      <c r="B162" s="133">
        <v>944.85</v>
      </c>
      <c r="C162" s="133">
        <f t="shared" si="21"/>
        <v>1.0372667486499454E-2</v>
      </c>
      <c r="D162" s="133">
        <v>22147.9</v>
      </c>
      <c r="E162" s="133">
        <f t="shared" si="22"/>
        <v>-5.5943427994162853E-3</v>
      </c>
      <c r="F162" s="135">
        <v>18695.599999999999</v>
      </c>
      <c r="G162" s="67">
        <f t="shared" si="23"/>
        <v>-4.1694302402702776E-3</v>
      </c>
      <c r="W162" s="2">
        <v>45398</v>
      </c>
      <c r="X162" s="3">
        <f t="shared" si="24"/>
        <v>944.85</v>
      </c>
      <c r="Y162" s="119">
        <f t="shared" si="25"/>
        <v>1.0372667486499454E-2</v>
      </c>
      <c r="Z162" s="1"/>
      <c r="AA162" s="1"/>
      <c r="AB162" s="1"/>
      <c r="AC162" s="1"/>
      <c r="AD162" s="1"/>
      <c r="AE162" s="1"/>
      <c r="AF162" s="1"/>
      <c r="AG162" s="1"/>
      <c r="AH162" s="1"/>
      <c r="AI162" s="1"/>
      <c r="AJ162" s="1"/>
      <c r="AK162" s="1"/>
    </row>
    <row r="163" spans="1:37">
      <c r="A163" s="134">
        <v>45397</v>
      </c>
      <c r="B163" s="133">
        <v>935.15</v>
      </c>
      <c r="C163" s="133">
        <f t="shared" si="21"/>
        <v>-2.806215247102839E-2</v>
      </c>
      <c r="D163" s="133">
        <v>22272.5</v>
      </c>
      <c r="E163" s="133">
        <f t="shared" si="22"/>
        <v>-1.0963880032327733E-2</v>
      </c>
      <c r="F163" s="135">
        <v>18617.650000000001</v>
      </c>
      <c r="G163" s="67">
        <f t="shared" si="23"/>
        <v>9.184832672222365E-3</v>
      </c>
      <c r="W163" s="2">
        <v>45397</v>
      </c>
      <c r="X163" s="3">
        <f t="shared" si="24"/>
        <v>935.15</v>
      </c>
      <c r="Y163" s="119">
        <f t="shared" si="25"/>
        <v>-2.806215247102839E-2</v>
      </c>
      <c r="Z163" s="1"/>
      <c r="AA163" s="1"/>
      <c r="AB163" s="1"/>
      <c r="AC163" s="1"/>
      <c r="AD163" s="1"/>
      <c r="AE163" s="1"/>
      <c r="AF163" s="1"/>
      <c r="AG163" s="1"/>
      <c r="AH163" s="1"/>
      <c r="AI163" s="1"/>
      <c r="AJ163" s="1"/>
      <c r="AK163" s="1"/>
    </row>
    <row r="164" spans="1:37">
      <c r="A164" s="134">
        <v>45394</v>
      </c>
      <c r="B164" s="133">
        <v>962.15</v>
      </c>
      <c r="C164" s="133">
        <f t="shared" si="21"/>
        <v>-3.223697445182061E-2</v>
      </c>
      <c r="D164" s="133">
        <v>22519.4</v>
      </c>
      <c r="E164" s="133">
        <f t="shared" si="22"/>
        <v>-1.0301576000492085E-2</v>
      </c>
      <c r="F164" s="135">
        <v>18788.650000000001</v>
      </c>
      <c r="G164" s="67">
        <f t="shared" si="23"/>
        <v>1.7475976187751652E-2</v>
      </c>
      <c r="W164" s="2">
        <v>45394</v>
      </c>
      <c r="X164" s="3">
        <f t="shared" si="24"/>
        <v>962.15</v>
      </c>
      <c r="Y164" s="119">
        <f t="shared" si="25"/>
        <v>-3.223697445182061E-2</v>
      </c>
      <c r="Z164" s="1"/>
      <c r="AA164" s="1"/>
      <c r="AB164" s="1"/>
      <c r="AC164" s="1"/>
      <c r="AD164" s="1"/>
      <c r="AE164" s="1"/>
      <c r="AF164" s="1"/>
      <c r="AG164" s="1"/>
      <c r="AH164" s="1"/>
      <c r="AI164" s="1"/>
      <c r="AJ164" s="1"/>
      <c r="AK164" s="1"/>
    </row>
    <row r="165" spans="1:37">
      <c r="A165" s="134">
        <v>45392</v>
      </c>
      <c r="B165" s="133">
        <v>994.2</v>
      </c>
      <c r="C165" s="133">
        <f t="shared" si="21"/>
        <v>5.1053935196887501E-3</v>
      </c>
      <c r="D165" s="133">
        <v>22753.8</v>
      </c>
      <c r="E165" s="133">
        <f t="shared" si="22"/>
        <v>4.904439610913025E-3</v>
      </c>
      <c r="F165" s="135">
        <v>19117</v>
      </c>
      <c r="G165" s="67">
        <f t="shared" si="23"/>
        <v>3.4158079196526803E-3</v>
      </c>
      <c r="W165" s="2">
        <v>45392</v>
      </c>
      <c r="X165" s="3">
        <f t="shared" si="24"/>
        <v>994.2</v>
      </c>
      <c r="Y165" s="119">
        <f t="shared" si="25"/>
        <v>5.1053935196887501E-3</v>
      </c>
      <c r="Z165" s="1"/>
      <c r="AA165" s="1"/>
      <c r="AB165" s="1"/>
      <c r="AC165" s="1"/>
      <c r="AD165" s="1"/>
      <c r="AE165" s="1"/>
      <c r="AF165" s="1"/>
      <c r="AG165" s="1"/>
      <c r="AH165" s="1"/>
      <c r="AI165" s="1"/>
      <c r="AJ165" s="1"/>
      <c r="AK165" s="1"/>
    </row>
    <row r="166" spans="1:37">
      <c r="A166" s="134">
        <v>45391</v>
      </c>
      <c r="B166" s="133">
        <v>989.15</v>
      </c>
      <c r="C166" s="133">
        <f t="shared" si="21"/>
        <v>-1.1492529855593903E-2</v>
      </c>
      <c r="D166" s="133">
        <v>22642.75</v>
      </c>
      <c r="E166" s="133">
        <f t="shared" si="22"/>
        <v>-1.0389873953843276E-3</v>
      </c>
      <c r="F166" s="135">
        <v>19182.3</v>
      </c>
      <c r="G166" s="67">
        <f t="shared" si="23"/>
        <v>1.9054023761488903E-3</v>
      </c>
      <c r="W166" s="2">
        <v>45391</v>
      </c>
      <c r="X166" s="3">
        <f t="shared" si="24"/>
        <v>989.15</v>
      </c>
      <c r="Y166" s="119">
        <f t="shared" si="25"/>
        <v>-1.1492529855593903E-2</v>
      </c>
      <c r="Z166" s="1"/>
      <c r="AA166" s="1"/>
      <c r="AB166" s="1"/>
      <c r="AC166" s="1"/>
      <c r="AD166" s="1"/>
      <c r="AE166" s="1"/>
      <c r="AF166" s="1"/>
      <c r="AG166" s="1"/>
      <c r="AH166" s="1"/>
      <c r="AI166" s="1"/>
      <c r="AJ166" s="1"/>
      <c r="AK166" s="1"/>
    </row>
    <row r="167" spans="1:37">
      <c r="A167" s="134">
        <v>45390</v>
      </c>
      <c r="B167" s="135">
        <v>1000.65</v>
      </c>
      <c r="C167" s="133">
        <f t="shared" si="21"/>
        <v>-5.8122205663189153E-3</v>
      </c>
      <c r="D167" s="133">
        <v>22666.3</v>
      </c>
      <c r="E167" s="133">
        <f t="shared" si="22"/>
        <v>6.7780951154186031E-3</v>
      </c>
      <c r="F167" s="135">
        <v>19218.849999999999</v>
      </c>
      <c r="G167" s="67">
        <f t="shared" si="23"/>
        <v>-3.0230737010799036E-3</v>
      </c>
      <c r="W167" s="2">
        <v>45390</v>
      </c>
      <c r="X167" s="3">
        <f t="shared" si="24"/>
        <v>1000.65</v>
      </c>
      <c r="Y167" s="119">
        <f t="shared" si="25"/>
        <v>-5.8122205663189153E-3</v>
      </c>
      <c r="Z167" s="1"/>
      <c r="AA167" s="1"/>
      <c r="AB167" s="1"/>
      <c r="AC167" s="1"/>
      <c r="AD167" s="1"/>
      <c r="AE167" s="1"/>
      <c r="AF167" s="1"/>
      <c r="AG167" s="1"/>
      <c r="AH167" s="1"/>
      <c r="AI167" s="1"/>
      <c r="AJ167" s="1"/>
      <c r="AK167" s="1"/>
    </row>
    <row r="168" spans="1:37">
      <c r="A168" s="134">
        <v>45387</v>
      </c>
      <c r="B168" s="135">
        <v>1006.5</v>
      </c>
      <c r="C168" s="133">
        <f t="shared" si="21"/>
        <v>2.3698128559804577E-2</v>
      </c>
      <c r="D168" s="133">
        <v>22513.7</v>
      </c>
      <c r="E168" s="133">
        <f t="shared" si="22"/>
        <v>-4.2194748752555356E-5</v>
      </c>
      <c r="F168" s="135">
        <v>19160.75</v>
      </c>
      <c r="G168" s="67">
        <f t="shared" si="23"/>
        <v>-1.8553553488250829E-3</v>
      </c>
      <c r="W168" s="2">
        <v>45387</v>
      </c>
      <c r="X168" s="3">
        <f t="shared" si="24"/>
        <v>1006.5</v>
      </c>
      <c r="Y168" s="119">
        <f t="shared" si="25"/>
        <v>2.3698128559804577E-2</v>
      </c>
      <c r="Z168" s="1"/>
      <c r="AA168" s="1"/>
      <c r="AB168" s="1"/>
      <c r="AC168" s="1"/>
      <c r="AD168" s="1"/>
      <c r="AE168" s="1"/>
      <c r="AF168" s="1"/>
      <c r="AG168" s="1"/>
      <c r="AH168" s="1"/>
      <c r="AI168" s="1"/>
      <c r="AJ168" s="1"/>
      <c r="AK168" s="1"/>
    </row>
    <row r="169" spans="1:37">
      <c r="A169" s="134">
        <v>45386</v>
      </c>
      <c r="B169" s="133">
        <v>983.2</v>
      </c>
      <c r="C169" s="133">
        <f t="shared" si="21"/>
        <v>-4.5560392831831553E-3</v>
      </c>
      <c r="D169" s="133">
        <v>22514.65</v>
      </c>
      <c r="E169" s="133">
        <f t="shared" si="22"/>
        <v>3.5659125504521327E-3</v>
      </c>
      <c r="F169" s="135">
        <v>19125.2</v>
      </c>
      <c r="G169" s="67">
        <f t="shared" si="23"/>
        <v>1.4561939221549025E-3</v>
      </c>
      <c r="W169" s="2">
        <v>45386</v>
      </c>
      <c r="X169" s="3">
        <f t="shared" si="24"/>
        <v>983.2</v>
      </c>
      <c r="Y169" s="119">
        <f t="shared" si="25"/>
        <v>-4.5560392831831553E-3</v>
      </c>
      <c r="Z169" s="1"/>
      <c r="AA169" s="1"/>
      <c r="AB169" s="1"/>
      <c r="AC169" s="1"/>
      <c r="AD169" s="1"/>
      <c r="AE169" s="1"/>
      <c r="AF169" s="1"/>
      <c r="AG169" s="1"/>
      <c r="AH169" s="1"/>
      <c r="AI169" s="1"/>
      <c r="AJ169" s="1"/>
      <c r="AK169" s="1"/>
    </row>
    <row r="170" spans="1:37">
      <c r="A170" s="134">
        <v>45385</v>
      </c>
      <c r="B170" s="133">
        <v>987.7</v>
      </c>
      <c r="C170" s="133">
        <f t="shared" si="21"/>
        <v>-5.2872752908000864E-3</v>
      </c>
      <c r="D170" s="133">
        <v>22434.65</v>
      </c>
      <c r="E170" s="133">
        <f t="shared" si="22"/>
        <v>-8.306128720498851E-4</v>
      </c>
      <c r="F170" s="135">
        <v>19153.05</v>
      </c>
      <c r="G170" s="67">
        <f t="shared" si="23"/>
        <v>1.6759732784075165E-3</v>
      </c>
      <c r="W170" s="2">
        <v>45385</v>
      </c>
      <c r="X170" s="3">
        <f t="shared" si="24"/>
        <v>987.7</v>
      </c>
      <c r="Y170" s="119">
        <f t="shared" si="25"/>
        <v>-5.2872752908000864E-3</v>
      </c>
      <c r="Z170" s="1"/>
      <c r="AA170" s="1"/>
      <c r="AB170" s="1"/>
      <c r="AC170" s="1"/>
      <c r="AD170" s="1"/>
      <c r="AE170" s="1"/>
      <c r="AF170" s="1"/>
      <c r="AG170" s="1"/>
      <c r="AH170" s="1"/>
      <c r="AI170" s="1"/>
      <c r="AJ170" s="1"/>
      <c r="AK170" s="1"/>
    </row>
    <row r="171" spans="1:37">
      <c r="A171" s="134">
        <v>45384</v>
      </c>
      <c r="B171" s="133">
        <v>992.95</v>
      </c>
      <c r="C171" s="133">
        <f t="shared" si="21"/>
        <v>-6.8513702740546911E-3</v>
      </c>
      <c r="D171" s="133">
        <v>22453.3</v>
      </c>
      <c r="E171" s="133">
        <f t="shared" si="22"/>
        <v>-3.8732080847658779E-4</v>
      </c>
      <c r="F171" s="135">
        <v>19185.150000000001</v>
      </c>
      <c r="G171" s="67">
        <f t="shared" si="23"/>
        <v>1.1858129855644162E-3</v>
      </c>
      <c r="W171" s="2">
        <v>45384</v>
      </c>
      <c r="X171" s="3">
        <f t="shared" si="24"/>
        <v>992.95</v>
      </c>
      <c r="Y171" s="119">
        <f t="shared" si="25"/>
        <v>-6.8513702740546911E-3</v>
      </c>
      <c r="Z171" s="1"/>
      <c r="AA171" s="1"/>
      <c r="AB171" s="1"/>
      <c r="AC171" s="1"/>
      <c r="AD171" s="1"/>
      <c r="AE171" s="1"/>
      <c r="AF171" s="1"/>
      <c r="AG171" s="1"/>
      <c r="AH171" s="1"/>
      <c r="AI171" s="1"/>
      <c r="AJ171" s="1"/>
      <c r="AK171" s="1"/>
    </row>
    <row r="172" spans="1:37">
      <c r="A172" s="134">
        <v>45383</v>
      </c>
      <c r="B172" s="133">
        <v>999.8</v>
      </c>
      <c r="C172" s="133">
        <f t="shared" si="21"/>
        <v>-7.4949123939048734E-3</v>
      </c>
      <c r="D172" s="133">
        <v>22462</v>
      </c>
      <c r="E172" s="133">
        <f t="shared" si="22"/>
        <v>6.0509967796693598E-3</v>
      </c>
      <c r="F172" s="135">
        <v>19207.900000000001</v>
      </c>
      <c r="G172" s="67">
        <f t="shared" si="23"/>
        <v>-1.1024109871459187E-2</v>
      </c>
      <c r="W172" s="2">
        <v>45383</v>
      </c>
      <c r="X172" s="3">
        <f t="shared" si="24"/>
        <v>999.8</v>
      </c>
      <c r="Y172" s="119">
        <f t="shared" si="25"/>
        <v>-7.4949123939048734E-3</v>
      </c>
      <c r="Z172" s="1"/>
      <c r="AA172" s="1"/>
      <c r="AB172" s="1"/>
      <c r="AC172" s="1"/>
      <c r="AD172" s="1"/>
      <c r="AE172" s="1"/>
      <c r="AF172" s="1"/>
      <c r="AG172" s="1"/>
      <c r="AH172" s="1"/>
      <c r="AI172" s="1"/>
      <c r="AJ172" s="1"/>
      <c r="AK172" s="1"/>
    </row>
    <row r="173" spans="1:37">
      <c r="A173" s="134">
        <v>45379</v>
      </c>
      <c r="B173" s="135">
        <v>1007.35</v>
      </c>
      <c r="C173" s="133">
        <f t="shared" si="21"/>
        <v>7.6522956887066229E-3</v>
      </c>
      <c r="D173" s="133">
        <v>22326.9</v>
      </c>
      <c r="E173" s="133">
        <f t="shared" si="22"/>
        <v>9.1870012407537782E-3</v>
      </c>
      <c r="F173" s="135">
        <v>18996.150000000001</v>
      </c>
      <c r="G173" s="67">
        <f t="shared" si="23"/>
        <v>-1.1989271510279731E-2</v>
      </c>
      <c r="W173" s="2">
        <v>45379</v>
      </c>
      <c r="X173" s="3">
        <f t="shared" si="24"/>
        <v>1007.35</v>
      </c>
      <c r="Y173" s="119">
        <f t="shared" si="25"/>
        <v>7.6522956887066229E-3</v>
      </c>
      <c r="Z173" s="1"/>
      <c r="AA173" s="1"/>
      <c r="AB173" s="1"/>
      <c r="AC173" s="1"/>
      <c r="AD173" s="1"/>
      <c r="AE173" s="1"/>
      <c r="AF173" s="1"/>
      <c r="AG173" s="1"/>
      <c r="AH173" s="1"/>
      <c r="AI173" s="1"/>
      <c r="AJ173" s="1"/>
      <c r="AK173" s="1"/>
    </row>
    <row r="174" spans="1:37">
      <c r="A174" s="134">
        <v>45378</v>
      </c>
      <c r="B174" s="133">
        <v>999.7</v>
      </c>
      <c r="C174" s="133">
        <f t="shared" si="21"/>
        <v>-1.7059141635121122E-2</v>
      </c>
      <c r="D174" s="133">
        <v>22123.65</v>
      </c>
      <c r="E174" s="133">
        <f t="shared" si="22"/>
        <v>5.4056633355601402E-3</v>
      </c>
      <c r="F174" s="135">
        <v>18768.400000000001</v>
      </c>
      <c r="G174" s="67">
        <f t="shared" si="23"/>
        <v>2.1871869738496752E-3</v>
      </c>
      <c r="W174" s="2">
        <v>45378</v>
      </c>
      <c r="X174" s="3">
        <f t="shared" si="24"/>
        <v>999.7</v>
      </c>
      <c r="Y174" s="119">
        <f t="shared" si="25"/>
        <v>-1.7059141635121122E-2</v>
      </c>
      <c r="Z174" s="1"/>
      <c r="AA174" s="1"/>
      <c r="AB174" s="1"/>
      <c r="AC174" s="1"/>
      <c r="AD174" s="1"/>
      <c r="AE174" s="1"/>
      <c r="AF174" s="1"/>
      <c r="AG174" s="1"/>
      <c r="AH174" s="1"/>
      <c r="AI174" s="1"/>
      <c r="AJ174" s="1"/>
      <c r="AK174" s="1"/>
    </row>
    <row r="175" spans="1:37">
      <c r="A175" s="134">
        <v>45377</v>
      </c>
      <c r="B175" s="135">
        <v>1017.05</v>
      </c>
      <c r="C175" s="133">
        <f t="shared" si="21"/>
        <v>1.7304326081520438E-2</v>
      </c>
      <c r="D175" s="133">
        <v>22004.7</v>
      </c>
      <c r="E175" s="133">
        <f t="shared" si="22"/>
        <v>-4.1657709844207247E-3</v>
      </c>
      <c r="F175" s="135">
        <v>18809.45</v>
      </c>
      <c r="G175" s="67">
        <f t="shared" si="23"/>
        <v>3.26963308336925E-4</v>
      </c>
      <c r="W175" s="2">
        <v>45377</v>
      </c>
      <c r="X175" s="3">
        <f t="shared" si="24"/>
        <v>1017.05</v>
      </c>
      <c r="Y175" s="119">
        <f t="shared" si="25"/>
        <v>1.7304326081520438E-2</v>
      </c>
      <c r="Z175" s="1"/>
      <c r="AA175" s="1"/>
      <c r="AB175" s="1"/>
      <c r="AC175" s="1"/>
      <c r="AD175" s="1"/>
      <c r="AE175" s="1"/>
      <c r="AF175" s="1"/>
      <c r="AG175" s="1"/>
      <c r="AH175" s="1"/>
      <c r="AI175" s="1"/>
      <c r="AJ175" s="1"/>
      <c r="AK175" s="1"/>
    </row>
    <row r="176" spans="1:37">
      <c r="A176" s="134">
        <v>45373</v>
      </c>
      <c r="B176" s="133">
        <v>999.75</v>
      </c>
      <c r="C176" s="133">
        <f t="shared" si="21"/>
        <v>6.6455218244978465E-3</v>
      </c>
      <c r="D176" s="133">
        <v>22096.75</v>
      </c>
      <c r="E176" s="133">
        <f t="shared" si="22"/>
        <v>3.8524528721899376E-3</v>
      </c>
      <c r="F176" s="135">
        <v>18815.599999999999</v>
      </c>
      <c r="G176" s="67">
        <f t="shared" si="23"/>
        <v>-1.2383341482599564E-2</v>
      </c>
      <c r="W176" s="2">
        <v>45373</v>
      </c>
      <c r="X176" s="3">
        <f t="shared" si="24"/>
        <v>999.75</v>
      </c>
      <c r="Y176" s="119">
        <f t="shared" si="25"/>
        <v>6.6455218244978465E-3</v>
      </c>
      <c r="Z176" s="1"/>
      <c r="AA176" s="1"/>
      <c r="AB176" s="1"/>
      <c r="AC176" s="1"/>
      <c r="AD176" s="1"/>
      <c r="AE176" s="1"/>
      <c r="AF176" s="1"/>
      <c r="AG176" s="1"/>
      <c r="AH176" s="1"/>
      <c r="AI176" s="1"/>
      <c r="AJ176" s="1"/>
      <c r="AK176" s="1"/>
    </row>
    <row r="177" spans="1:37">
      <c r="A177" s="134">
        <v>45372</v>
      </c>
      <c r="B177" s="133">
        <v>993.15</v>
      </c>
      <c r="C177" s="133">
        <f t="shared" si="21"/>
        <v>2.2390364422482989E-2</v>
      </c>
      <c r="D177" s="133">
        <v>22011.95</v>
      </c>
      <c r="E177" s="133">
        <f t="shared" si="22"/>
        <v>7.9147034447391018E-3</v>
      </c>
      <c r="F177" s="135">
        <v>18582.599999999999</v>
      </c>
      <c r="G177" s="67">
        <f t="shared" si="23"/>
        <v>-1.1903608752273476E-2</v>
      </c>
      <c r="W177" s="2">
        <v>45372</v>
      </c>
      <c r="X177" s="3">
        <f t="shared" si="24"/>
        <v>993.15</v>
      </c>
      <c r="Y177" s="119">
        <f t="shared" si="25"/>
        <v>2.2390364422482989E-2</v>
      </c>
      <c r="Z177" s="1"/>
      <c r="AA177" s="1"/>
      <c r="AB177" s="1"/>
      <c r="AC177" s="1"/>
      <c r="AD177" s="1"/>
      <c r="AE177" s="1"/>
      <c r="AF177" s="1"/>
      <c r="AG177" s="1"/>
      <c r="AH177" s="1"/>
      <c r="AI177" s="1"/>
      <c r="AJ177" s="1"/>
      <c r="AK177" s="1"/>
    </row>
    <row r="178" spans="1:37">
      <c r="A178" s="134">
        <v>45371</v>
      </c>
      <c r="B178" s="133">
        <v>971.4</v>
      </c>
      <c r="C178" s="133">
        <f t="shared" si="21"/>
        <v>1.5981852863844459E-3</v>
      </c>
      <c r="D178" s="133">
        <v>21839.1</v>
      </c>
      <c r="E178" s="133">
        <f t="shared" si="22"/>
        <v>9.9232495089940365E-4</v>
      </c>
      <c r="F178" s="135">
        <v>18361.400000000001</v>
      </c>
      <c r="G178" s="67">
        <f t="shared" si="23"/>
        <v>2.4099469539360374E-3</v>
      </c>
      <c r="W178" s="2">
        <v>45371</v>
      </c>
      <c r="X178" s="3">
        <f t="shared" si="24"/>
        <v>971.4</v>
      </c>
      <c r="Y178" s="119">
        <f t="shared" si="25"/>
        <v>1.5981852863844459E-3</v>
      </c>
      <c r="Z178" s="1"/>
      <c r="AA178" s="1"/>
      <c r="AB178" s="1"/>
      <c r="AC178" s="1"/>
      <c r="AD178" s="1"/>
      <c r="AE178" s="1"/>
      <c r="AF178" s="1"/>
      <c r="AG178" s="1"/>
      <c r="AH178" s="1"/>
      <c r="AI178" s="1"/>
      <c r="AJ178" s="1"/>
      <c r="AK178" s="1"/>
    </row>
    <row r="179" spans="1:37">
      <c r="A179" s="134">
        <v>45370</v>
      </c>
      <c r="B179" s="133">
        <v>969.85</v>
      </c>
      <c r="C179" s="133">
        <f t="shared" si="21"/>
        <v>-2.1588902900378293E-2</v>
      </c>
      <c r="D179" s="133">
        <v>21817.45</v>
      </c>
      <c r="E179" s="133">
        <f t="shared" si="22"/>
        <v>-1.0802196257656771E-2</v>
      </c>
      <c r="F179" s="135">
        <v>18405.650000000001</v>
      </c>
      <c r="G179" s="67">
        <f t="shared" si="23"/>
        <v>2.2205138096182298E-2</v>
      </c>
      <c r="W179" s="2">
        <v>45370</v>
      </c>
      <c r="X179" s="3">
        <f t="shared" si="24"/>
        <v>969.85</v>
      </c>
      <c r="Y179" s="119">
        <f t="shared" si="25"/>
        <v>-2.1588902900378293E-2</v>
      </c>
      <c r="Z179" s="1"/>
      <c r="AA179" s="1"/>
      <c r="AB179" s="1"/>
      <c r="AC179" s="1"/>
      <c r="AD179" s="1"/>
      <c r="AE179" s="1"/>
      <c r="AF179" s="1"/>
      <c r="AG179" s="1"/>
      <c r="AH179" s="1"/>
      <c r="AI179" s="1"/>
      <c r="AJ179" s="1"/>
      <c r="AK179" s="1"/>
    </row>
    <row r="180" spans="1:37">
      <c r="A180" s="134">
        <v>45369</v>
      </c>
      <c r="B180" s="133">
        <v>991.25</v>
      </c>
      <c r="C180" s="133">
        <f t="shared" si="21"/>
        <v>7.4702713690415479E-3</v>
      </c>
      <c r="D180" s="133">
        <v>22055.7</v>
      </c>
      <c r="E180" s="133">
        <f t="shared" si="22"/>
        <v>1.4688955131714199E-3</v>
      </c>
      <c r="F180" s="135">
        <v>18814.349999999999</v>
      </c>
      <c r="G180" s="67">
        <f t="shared" si="23"/>
        <v>-5.0971731683527866E-3</v>
      </c>
      <c r="W180" s="2">
        <v>45369</v>
      </c>
      <c r="X180" s="3">
        <f t="shared" si="24"/>
        <v>991.25</v>
      </c>
      <c r="Y180" s="119">
        <f t="shared" si="25"/>
        <v>7.4702713690415479E-3</v>
      </c>
      <c r="Z180" s="1"/>
      <c r="AA180" s="1"/>
      <c r="AB180" s="1"/>
      <c r="AC180" s="1"/>
      <c r="AD180" s="1"/>
      <c r="AE180" s="1"/>
      <c r="AF180" s="1"/>
      <c r="AG180" s="1"/>
      <c r="AH180" s="1"/>
      <c r="AI180" s="1"/>
      <c r="AJ180" s="1"/>
      <c r="AK180" s="1"/>
    </row>
    <row r="181" spans="1:37">
      <c r="A181" s="134">
        <v>45366</v>
      </c>
      <c r="B181" s="133">
        <v>983.9</v>
      </c>
      <c r="C181" s="133">
        <f t="shared" si="21"/>
        <v>-1.1453833015171333E-2</v>
      </c>
      <c r="D181" s="133">
        <v>22023.35</v>
      </c>
      <c r="E181" s="133">
        <f t="shared" si="22"/>
        <v>-5.5674334493028832E-3</v>
      </c>
      <c r="F181" s="135">
        <v>18718.45</v>
      </c>
      <c r="G181" s="67">
        <f t="shared" si="23"/>
        <v>9.5440594707358883E-3</v>
      </c>
      <c r="W181" s="2">
        <v>45366</v>
      </c>
      <c r="X181" s="3">
        <f t="shared" si="24"/>
        <v>983.9</v>
      </c>
      <c r="Y181" s="119">
        <f t="shared" si="25"/>
        <v>-1.1453833015171333E-2</v>
      </c>
      <c r="Z181" s="1"/>
      <c r="AA181" s="1"/>
      <c r="AB181" s="1"/>
      <c r="AC181" s="1"/>
      <c r="AD181" s="1"/>
      <c r="AE181" s="1"/>
      <c r="AF181" s="1"/>
      <c r="AG181" s="1"/>
      <c r="AH181" s="1"/>
      <c r="AI181" s="1"/>
      <c r="AJ181" s="1"/>
      <c r="AK181" s="1"/>
    </row>
    <row r="182" spans="1:37">
      <c r="A182" s="134">
        <v>45365</v>
      </c>
      <c r="B182" s="133">
        <v>995.3</v>
      </c>
      <c r="C182" s="133">
        <f t="shared" si="21"/>
        <v>2.7512517421153238E-2</v>
      </c>
      <c r="D182" s="133">
        <v>22146.65</v>
      </c>
      <c r="E182" s="133">
        <f t="shared" si="22"/>
        <v>6.7711624397095438E-3</v>
      </c>
      <c r="F182" s="135">
        <v>18897.099999999999</v>
      </c>
      <c r="G182" s="67">
        <f t="shared" si="23"/>
        <v>-1.3832810325393741E-2</v>
      </c>
      <c r="W182" s="2">
        <v>45365</v>
      </c>
      <c r="X182" s="3">
        <f t="shared" si="24"/>
        <v>995.3</v>
      </c>
      <c r="Y182" s="119">
        <f t="shared" si="25"/>
        <v>2.7512517421153238E-2</v>
      </c>
      <c r="Z182" s="1"/>
      <c r="AA182" s="1"/>
      <c r="AB182" s="1"/>
      <c r="AC182" s="1"/>
      <c r="AD182" s="1"/>
      <c r="AE182" s="1"/>
      <c r="AF182" s="1"/>
      <c r="AG182" s="1"/>
      <c r="AH182" s="1"/>
      <c r="AI182" s="1"/>
      <c r="AJ182" s="1"/>
      <c r="AK182" s="1"/>
    </row>
    <row r="183" spans="1:37">
      <c r="A183" s="134">
        <v>45364</v>
      </c>
      <c r="B183" s="133">
        <v>968.65</v>
      </c>
      <c r="C183" s="133">
        <f t="shared" si="21"/>
        <v>-1.9287232965475409E-2</v>
      </c>
      <c r="D183" s="133">
        <v>21997.7</v>
      </c>
      <c r="E183" s="133">
        <f t="shared" si="22"/>
        <v>-1.5132724741109493E-2</v>
      </c>
      <c r="F183" s="135">
        <v>18635.7</v>
      </c>
      <c r="G183" s="67">
        <f t="shared" si="23"/>
        <v>1.7332324516921904E-2</v>
      </c>
      <c r="W183" s="2">
        <v>45364</v>
      </c>
      <c r="X183" s="3">
        <f t="shared" si="24"/>
        <v>968.65</v>
      </c>
      <c r="Y183" s="119">
        <f t="shared" si="25"/>
        <v>-1.9287232965475409E-2</v>
      </c>
      <c r="Z183" s="1"/>
      <c r="AA183" s="1"/>
      <c r="AB183" s="1"/>
      <c r="AC183" s="1"/>
      <c r="AD183" s="1"/>
      <c r="AE183" s="1"/>
      <c r="AF183" s="1"/>
      <c r="AG183" s="1"/>
      <c r="AH183" s="1"/>
      <c r="AI183" s="1"/>
      <c r="AJ183" s="1"/>
      <c r="AK183" s="1"/>
    </row>
    <row r="184" spans="1:37">
      <c r="A184" s="134">
        <v>45363</v>
      </c>
      <c r="B184" s="133">
        <v>987.7</v>
      </c>
      <c r="C184" s="133">
        <f t="shared" si="21"/>
        <v>-6.7876715772537954E-3</v>
      </c>
      <c r="D184" s="133">
        <v>22335.7</v>
      </c>
      <c r="E184" s="133">
        <f t="shared" si="22"/>
        <v>1.3657134285449679E-4</v>
      </c>
      <c r="F184" s="135">
        <v>18958.7</v>
      </c>
      <c r="G184" s="67">
        <f t="shared" si="23"/>
        <v>1.2835795703291852E-2</v>
      </c>
      <c r="W184" s="2">
        <v>45363</v>
      </c>
      <c r="X184" s="3">
        <f t="shared" si="24"/>
        <v>987.7</v>
      </c>
      <c r="Y184" s="119">
        <f t="shared" si="25"/>
        <v>-6.7876715772537954E-3</v>
      </c>
      <c r="Z184" s="1"/>
      <c r="AA184" s="1"/>
      <c r="AB184" s="1"/>
      <c r="AC184" s="1"/>
      <c r="AD184" s="1"/>
      <c r="AE184" s="1"/>
      <c r="AF184" s="1"/>
      <c r="AG184" s="1"/>
      <c r="AH184" s="1"/>
      <c r="AI184" s="1"/>
      <c r="AJ184" s="1"/>
      <c r="AK184" s="1"/>
    </row>
    <row r="185" spans="1:37">
      <c r="A185" s="134">
        <v>45362</v>
      </c>
      <c r="B185" s="133">
        <v>994.45</v>
      </c>
      <c r="C185" s="133">
        <f t="shared" si="21"/>
        <v>1.812132070642436E-2</v>
      </c>
      <c r="D185" s="133">
        <v>22332.65</v>
      </c>
      <c r="E185" s="133">
        <f t="shared" si="22"/>
        <v>-7.1531616841271628E-3</v>
      </c>
      <c r="F185" s="135">
        <v>19202.05</v>
      </c>
      <c r="G185" s="67">
        <f t="shared" si="23"/>
        <v>-4.1401829492171416E-4</v>
      </c>
      <c r="W185" s="2">
        <v>45362</v>
      </c>
      <c r="X185" s="3">
        <f t="shared" si="24"/>
        <v>994.45</v>
      </c>
      <c r="Y185" s="119">
        <f t="shared" si="25"/>
        <v>1.812132070642436E-2</v>
      </c>
      <c r="Z185" s="1"/>
      <c r="AA185" s="1"/>
      <c r="AB185" s="1"/>
      <c r="AC185" s="1"/>
      <c r="AD185" s="1"/>
      <c r="AE185" s="1"/>
      <c r="AF185" s="1"/>
      <c r="AG185" s="1"/>
      <c r="AH185" s="1"/>
      <c r="AI185" s="1"/>
      <c r="AJ185" s="1"/>
      <c r="AK185" s="1"/>
    </row>
    <row r="186" spans="1:37">
      <c r="A186" s="134">
        <v>45358</v>
      </c>
      <c r="B186" s="133">
        <v>976.75</v>
      </c>
      <c r="C186" s="133">
        <f t="shared" si="21"/>
        <v>1.5490980922181263E-2</v>
      </c>
      <c r="D186" s="133">
        <v>22493.55</v>
      </c>
      <c r="E186" s="133">
        <f t="shared" si="22"/>
        <v>8.6766737637411495E-4</v>
      </c>
      <c r="F186" s="135">
        <v>19194.099999999999</v>
      </c>
      <c r="G186" s="67">
        <f t="shared" si="23"/>
        <v>-2.8185744577760019E-3</v>
      </c>
      <c r="W186" s="2">
        <v>45358</v>
      </c>
      <c r="X186" s="3">
        <f t="shared" si="24"/>
        <v>976.75</v>
      </c>
      <c r="Y186" s="119">
        <f t="shared" si="25"/>
        <v>1.5490980922181263E-2</v>
      </c>
      <c r="Z186" s="1"/>
      <c r="AA186" s="1"/>
      <c r="AB186" s="1"/>
      <c r="AC186" s="1"/>
      <c r="AD186" s="1"/>
      <c r="AE186" s="1"/>
      <c r="AF186" s="1"/>
      <c r="AG186" s="1"/>
      <c r="AH186" s="1"/>
      <c r="AI186" s="1"/>
      <c r="AJ186" s="1"/>
      <c r="AK186" s="1"/>
    </row>
    <row r="187" spans="1:37">
      <c r="A187" s="134">
        <v>45357</v>
      </c>
      <c r="B187" s="133">
        <v>961.85</v>
      </c>
      <c r="C187" s="133">
        <f t="shared" si="21"/>
        <v>8.4927916120576263E-3</v>
      </c>
      <c r="D187" s="133">
        <v>22474.05</v>
      </c>
      <c r="E187" s="133">
        <f t="shared" si="22"/>
        <v>5.2669717260906967E-3</v>
      </c>
      <c r="F187" s="135">
        <v>19140</v>
      </c>
      <c r="G187" s="67">
        <f t="shared" si="23"/>
        <v>-6.3479623824451714E-3</v>
      </c>
      <c r="W187" s="2">
        <v>45357</v>
      </c>
      <c r="X187" s="3">
        <f t="shared" si="24"/>
        <v>961.85</v>
      </c>
      <c r="Y187" s="119">
        <f t="shared" si="25"/>
        <v>8.4927916120576263E-3</v>
      </c>
      <c r="Z187" s="1"/>
      <c r="AA187" s="1"/>
      <c r="AB187" s="1"/>
      <c r="AC187" s="1"/>
      <c r="AD187" s="1"/>
      <c r="AE187" s="1"/>
      <c r="AF187" s="1"/>
      <c r="AG187" s="1"/>
      <c r="AH187" s="1"/>
      <c r="AI187" s="1"/>
      <c r="AJ187" s="1"/>
      <c r="AK187" s="1"/>
    </row>
    <row r="188" spans="1:37">
      <c r="A188" s="134">
        <v>45356</v>
      </c>
      <c r="B188" s="133">
        <v>953.75</v>
      </c>
      <c r="C188" s="133">
        <f t="shared" si="21"/>
        <v>7.9260237780713894E-3</v>
      </c>
      <c r="D188" s="133">
        <v>22356.3</v>
      </c>
      <c r="E188" s="133">
        <f t="shared" si="22"/>
        <v>-2.2003427714499812E-3</v>
      </c>
      <c r="F188" s="135">
        <v>19018.5</v>
      </c>
      <c r="G188" s="67">
        <f t="shared" si="23"/>
        <v>-3.0654362857217565E-3</v>
      </c>
      <c r="W188" s="2">
        <v>45356</v>
      </c>
      <c r="X188" s="3">
        <f t="shared" si="24"/>
        <v>953.75</v>
      </c>
      <c r="Y188" s="119">
        <f t="shared" si="25"/>
        <v>7.9260237780713894E-3</v>
      </c>
      <c r="Z188" s="1"/>
      <c r="AA188" s="1"/>
      <c r="AB188" s="1"/>
      <c r="AC188" s="1"/>
      <c r="AD188" s="1"/>
      <c r="AE188" s="1"/>
      <c r="AF188" s="1"/>
      <c r="AG188" s="1"/>
      <c r="AH188" s="1"/>
      <c r="AI188" s="1"/>
      <c r="AJ188" s="1"/>
      <c r="AK188" s="1"/>
    </row>
    <row r="189" spans="1:37">
      <c r="A189" s="134">
        <v>45355</v>
      </c>
      <c r="B189" s="133">
        <v>946.25</v>
      </c>
      <c r="C189" s="133">
        <f t="shared" si="21"/>
        <v>2.2586048522180713E-2</v>
      </c>
      <c r="D189" s="133">
        <v>22405.599999999999</v>
      </c>
      <c r="E189" s="133">
        <f t="shared" si="22"/>
        <v>2.9925577751663823E-3</v>
      </c>
      <c r="F189" s="135">
        <v>18960.2</v>
      </c>
      <c r="G189" s="67">
        <f t="shared" si="23"/>
        <v>-2.8823535616713247E-3</v>
      </c>
      <c r="W189" s="2">
        <v>45355</v>
      </c>
      <c r="X189" s="3">
        <f t="shared" si="24"/>
        <v>946.25</v>
      </c>
      <c r="Y189" s="119">
        <f t="shared" si="25"/>
        <v>2.2586048522180713E-2</v>
      </c>
      <c r="Z189" s="1"/>
      <c r="AA189" s="1"/>
      <c r="AB189" s="1"/>
      <c r="AC189" s="1"/>
      <c r="AD189" s="1"/>
      <c r="AE189" s="1"/>
      <c r="AF189" s="1"/>
      <c r="AG189" s="1"/>
      <c r="AH189" s="1"/>
      <c r="AI189" s="1"/>
      <c r="AJ189" s="1"/>
      <c r="AK189" s="1"/>
    </row>
    <row r="190" spans="1:37">
      <c r="A190" s="134">
        <v>45352</v>
      </c>
      <c r="B190" s="133">
        <v>925.35</v>
      </c>
      <c r="C190" s="133">
        <f t="shared" si="21"/>
        <v>-1.7570867395689471E-2</v>
      </c>
      <c r="D190" s="133">
        <v>22338.75</v>
      </c>
      <c r="E190" s="133">
        <f t="shared" si="22"/>
        <v>1.6192204814673428E-2</v>
      </c>
      <c r="F190" s="135">
        <v>18905.55</v>
      </c>
      <c r="G190" s="67">
        <f t="shared" si="23"/>
        <v>-4.4034688226473051E-3</v>
      </c>
      <c r="W190" s="2">
        <v>45352</v>
      </c>
      <c r="X190" s="3">
        <f t="shared" si="24"/>
        <v>925.35</v>
      </c>
      <c r="Y190" s="119">
        <f t="shared" si="25"/>
        <v>-1.7570867395689471E-2</v>
      </c>
      <c r="Z190" s="1"/>
      <c r="AA190" s="1"/>
      <c r="AB190" s="1"/>
      <c r="AC190" s="1"/>
      <c r="AD190" s="1"/>
      <c r="AE190" s="1"/>
      <c r="AF190" s="1"/>
      <c r="AG190" s="1"/>
      <c r="AH190" s="1"/>
      <c r="AI190" s="1"/>
      <c r="AJ190" s="1"/>
      <c r="AK190" s="1"/>
    </row>
    <row r="191" spans="1:37">
      <c r="A191" s="134">
        <v>45351</v>
      </c>
      <c r="B191" s="133">
        <v>941.9</v>
      </c>
      <c r="C191" s="133">
        <f t="shared" si="21"/>
        <v>9.9721209521765886E-3</v>
      </c>
      <c r="D191" s="133">
        <v>21982.799999999999</v>
      </c>
      <c r="E191" s="133">
        <f t="shared" si="22"/>
        <v>1.4418378991531977E-3</v>
      </c>
      <c r="F191" s="135">
        <v>18822.3</v>
      </c>
      <c r="G191" s="67">
        <f t="shared" si="23"/>
        <v>9.608283791035177E-3</v>
      </c>
      <c r="W191" s="2">
        <v>45351</v>
      </c>
      <c r="X191" s="3">
        <f t="shared" si="24"/>
        <v>941.9</v>
      </c>
      <c r="Y191" s="119">
        <f t="shared" si="25"/>
        <v>9.9721209521765886E-3</v>
      </c>
      <c r="Z191" s="1"/>
      <c r="AA191" s="1"/>
      <c r="AB191" s="1"/>
      <c r="AC191" s="1"/>
      <c r="AD191" s="1"/>
      <c r="AE191" s="1"/>
      <c r="AF191" s="1"/>
      <c r="AG191" s="1"/>
      <c r="AH191" s="1"/>
      <c r="AI191" s="1"/>
      <c r="AJ191" s="1"/>
      <c r="AK191" s="1"/>
    </row>
    <row r="192" spans="1:37">
      <c r="A192" s="134">
        <v>45350</v>
      </c>
      <c r="B192" s="133">
        <v>932.6</v>
      </c>
      <c r="C192" s="133">
        <f t="shared" si="21"/>
        <v>-1.0871294479503635E-2</v>
      </c>
      <c r="D192" s="133">
        <v>21951.15</v>
      </c>
      <c r="E192" s="133">
        <f t="shared" si="22"/>
        <v>-1.1135962808046407E-2</v>
      </c>
      <c r="F192" s="135">
        <v>19003.150000000001</v>
      </c>
      <c r="G192" s="67">
        <f t="shared" si="23"/>
        <v>-3.1889449906989942E-3</v>
      </c>
      <c r="W192" s="2">
        <v>45350</v>
      </c>
      <c r="X192" s="3">
        <f t="shared" si="24"/>
        <v>932.6</v>
      </c>
      <c r="Y192" s="119">
        <f t="shared" si="25"/>
        <v>-1.0871294479503635E-2</v>
      </c>
      <c r="Z192" s="1"/>
      <c r="AA192" s="1"/>
      <c r="AB192" s="1"/>
      <c r="AC192" s="1"/>
      <c r="AD192" s="1"/>
      <c r="AE192" s="1"/>
      <c r="AF192" s="1"/>
      <c r="AG192" s="1"/>
      <c r="AH192" s="1"/>
      <c r="AI192" s="1"/>
      <c r="AJ192" s="1"/>
      <c r="AK192" s="1"/>
    </row>
    <row r="193" spans="1:37">
      <c r="A193" s="134">
        <v>45349</v>
      </c>
      <c r="B193" s="133">
        <v>942.85</v>
      </c>
      <c r="C193" s="133">
        <f t="shared" si="21"/>
        <v>3.1828550209556106E-4</v>
      </c>
      <c r="D193" s="133">
        <v>22198.35</v>
      </c>
      <c r="E193" s="133">
        <f t="shared" si="22"/>
        <v>3.4490474436139618E-3</v>
      </c>
      <c r="F193" s="135">
        <v>18942.55</v>
      </c>
      <c r="G193" s="67">
        <f t="shared" si="23"/>
        <v>6.4220498296163608E-3</v>
      </c>
      <c r="W193" s="2">
        <v>45349</v>
      </c>
      <c r="X193" s="3">
        <f t="shared" si="24"/>
        <v>942.85</v>
      </c>
      <c r="Y193" s="119">
        <f t="shared" si="25"/>
        <v>3.1828550209556106E-4</v>
      </c>
      <c r="Z193" s="1"/>
      <c r="AA193" s="1"/>
      <c r="AB193" s="1"/>
      <c r="AC193" s="1"/>
      <c r="AD193" s="1"/>
      <c r="AE193" s="1"/>
      <c r="AF193" s="1"/>
      <c r="AG193" s="1"/>
      <c r="AH193" s="1"/>
      <c r="AI193" s="1"/>
      <c r="AJ193" s="1"/>
      <c r="AK193" s="1"/>
    </row>
    <row r="194" spans="1:37">
      <c r="A194" s="134">
        <v>45348</v>
      </c>
      <c r="B194" s="133">
        <v>942.55</v>
      </c>
      <c r="C194" s="133">
        <f t="shared" si="21"/>
        <v>2.0904413755754137E-2</v>
      </c>
      <c r="D194" s="133">
        <v>22122.05</v>
      </c>
      <c r="E194" s="133">
        <f t="shared" si="22"/>
        <v>-4.0809987079464261E-3</v>
      </c>
      <c r="F194" s="135">
        <v>19064.2</v>
      </c>
      <c r="G194" s="67">
        <f t="shared" si="23"/>
        <v>-5.6519549731958163E-3</v>
      </c>
      <c r="W194" s="2">
        <v>45348</v>
      </c>
      <c r="X194" s="3">
        <f t="shared" si="24"/>
        <v>942.55</v>
      </c>
      <c r="Y194" s="119">
        <f t="shared" si="25"/>
        <v>2.0904413755754137E-2</v>
      </c>
      <c r="Z194" s="1"/>
      <c r="AA194" s="1"/>
      <c r="AB194" s="1"/>
      <c r="AC194" s="1"/>
      <c r="AD194" s="1"/>
      <c r="AE194" s="1"/>
      <c r="AF194" s="1"/>
      <c r="AG194" s="1"/>
      <c r="AH194" s="1"/>
      <c r="AI194" s="1"/>
      <c r="AJ194" s="1"/>
      <c r="AK194" s="1"/>
    </row>
    <row r="195" spans="1:37">
      <c r="A195" s="134">
        <v>45345</v>
      </c>
      <c r="B195" s="133">
        <v>923.25</v>
      </c>
      <c r="C195" s="133">
        <f t="shared" si="21"/>
        <v>2.0955435143204637E-2</v>
      </c>
      <c r="D195" s="133">
        <v>22212.7</v>
      </c>
      <c r="E195" s="133">
        <f t="shared" si="22"/>
        <v>-2.1379591267223219E-4</v>
      </c>
      <c r="F195" s="135">
        <v>18956.45</v>
      </c>
      <c r="G195" s="67">
        <f t="shared" si="23"/>
        <v>4.8505917510925922E-3</v>
      </c>
      <c r="W195" s="2">
        <v>45345</v>
      </c>
      <c r="X195" s="3">
        <f t="shared" si="24"/>
        <v>923.25</v>
      </c>
      <c r="Y195" s="119">
        <f t="shared" si="25"/>
        <v>2.0955435143204637E-2</v>
      </c>
      <c r="Z195" s="1"/>
      <c r="AA195" s="1"/>
      <c r="AB195" s="1"/>
      <c r="AC195" s="1"/>
      <c r="AD195" s="1"/>
      <c r="AE195" s="1"/>
      <c r="AF195" s="1"/>
      <c r="AG195" s="1"/>
      <c r="AH195" s="1"/>
      <c r="AI195" s="1"/>
      <c r="AJ195" s="1"/>
      <c r="AK195" s="1"/>
    </row>
    <row r="196" spans="1:37">
      <c r="A196" s="134">
        <v>45344</v>
      </c>
      <c r="B196" s="133">
        <v>904.3</v>
      </c>
      <c r="C196" s="133">
        <f t="shared" si="21"/>
        <v>1.1747594540165496E-2</v>
      </c>
      <c r="D196" s="133">
        <v>22217.45</v>
      </c>
      <c r="E196" s="133">
        <f t="shared" si="22"/>
        <v>7.3633929644232321E-3</v>
      </c>
      <c r="F196" s="135">
        <v>19048.400000000001</v>
      </c>
      <c r="G196" s="67">
        <f t="shared" si="23"/>
        <v>-4.1447050670923025E-3</v>
      </c>
      <c r="W196" s="2">
        <v>45344</v>
      </c>
      <c r="X196" s="3">
        <f t="shared" si="24"/>
        <v>904.3</v>
      </c>
      <c r="Y196" s="119">
        <f t="shared" si="25"/>
        <v>1.1747594540165496E-2</v>
      </c>
      <c r="Z196" s="1"/>
      <c r="AA196" s="1"/>
      <c r="AB196" s="1"/>
      <c r="AC196" s="1"/>
      <c r="AD196" s="1"/>
      <c r="AE196" s="1"/>
      <c r="AF196" s="1"/>
      <c r="AG196" s="1"/>
      <c r="AH196" s="1"/>
      <c r="AI196" s="1"/>
      <c r="AJ196" s="1"/>
      <c r="AK196" s="1"/>
    </row>
    <row r="197" spans="1:37">
      <c r="A197" s="134">
        <v>45343</v>
      </c>
      <c r="B197" s="133">
        <v>893.8</v>
      </c>
      <c r="C197" s="133">
        <f t="shared" si="21"/>
        <v>-2.17694669271562E-3</v>
      </c>
      <c r="D197" s="133">
        <v>22055.05</v>
      </c>
      <c r="E197" s="133">
        <f t="shared" si="22"/>
        <v>-6.3927701778848656E-3</v>
      </c>
      <c r="F197" s="135">
        <v>18969.45</v>
      </c>
      <c r="G197" s="67">
        <f t="shared" si="23"/>
        <v>-2.7939660875776484E-3</v>
      </c>
      <c r="W197" s="2">
        <v>45343</v>
      </c>
      <c r="X197" s="3">
        <f t="shared" si="24"/>
        <v>893.8</v>
      </c>
      <c r="Y197" s="119">
        <f t="shared" si="25"/>
        <v>-2.17694669271562E-3</v>
      </c>
      <c r="Z197" s="1"/>
      <c r="AA197" s="1"/>
      <c r="AB197" s="1"/>
      <c r="AC197" s="1"/>
      <c r="AD197" s="1"/>
      <c r="AE197" s="1"/>
      <c r="AF197" s="1"/>
      <c r="AG197" s="1"/>
      <c r="AH197" s="1"/>
      <c r="AI197" s="1"/>
      <c r="AJ197" s="1"/>
      <c r="AK197" s="1"/>
    </row>
    <row r="198" spans="1:37">
      <c r="A198" s="134">
        <v>45342</v>
      </c>
      <c r="B198" s="133">
        <v>895.75</v>
      </c>
      <c r="C198" s="133">
        <f t="shared" si="21"/>
        <v>-1.3002038455181442E-2</v>
      </c>
      <c r="D198" s="133">
        <v>22196.95</v>
      </c>
      <c r="E198" s="133">
        <f t="shared" si="22"/>
        <v>3.3766908881329716E-3</v>
      </c>
      <c r="F198" s="135">
        <v>18916.45</v>
      </c>
      <c r="G198" s="67">
        <f t="shared" si="23"/>
        <v>4.0467423855956586E-3</v>
      </c>
      <c r="W198" s="2">
        <v>45342</v>
      </c>
      <c r="X198" s="3">
        <f t="shared" si="24"/>
        <v>895.75</v>
      </c>
      <c r="Y198" s="119">
        <f t="shared" si="25"/>
        <v>-1.3002038455181442E-2</v>
      </c>
      <c r="Z198" s="1"/>
      <c r="AA198" s="1"/>
      <c r="AB198" s="1"/>
      <c r="AC198" s="1"/>
      <c r="AD198" s="1"/>
      <c r="AE198" s="1"/>
      <c r="AF198" s="1"/>
      <c r="AG198" s="1"/>
      <c r="AH198" s="1"/>
      <c r="AI198" s="1"/>
      <c r="AJ198" s="1"/>
      <c r="AK198" s="1"/>
    </row>
    <row r="199" spans="1:37">
      <c r="A199" s="134">
        <v>45341</v>
      </c>
      <c r="B199" s="133">
        <v>907.55</v>
      </c>
      <c r="C199" s="133">
        <f t="shared" si="21"/>
        <v>1.7546810180513406E-2</v>
      </c>
      <c r="D199" s="133">
        <v>22122.25</v>
      </c>
      <c r="E199" s="133">
        <f t="shared" si="22"/>
        <v>3.6999732313400813E-3</v>
      </c>
      <c r="F199" s="135">
        <v>18993</v>
      </c>
      <c r="G199" s="67">
        <f t="shared" si="23"/>
        <v>2.3534986574000882E-3</v>
      </c>
      <c r="W199" s="2">
        <v>45341</v>
      </c>
      <c r="X199" s="3">
        <f t="shared" si="24"/>
        <v>907.55</v>
      </c>
      <c r="Y199" s="119">
        <f t="shared" si="25"/>
        <v>1.7546810180513406E-2</v>
      </c>
      <c r="Z199" s="1"/>
      <c r="AA199" s="1"/>
      <c r="AB199" s="1"/>
      <c r="AC199" s="1"/>
      <c r="AD199" s="1"/>
      <c r="AE199" s="1"/>
      <c r="AF199" s="1"/>
      <c r="AG199" s="1"/>
      <c r="AH199" s="1"/>
      <c r="AI199" s="1"/>
      <c r="AJ199" s="1"/>
      <c r="AK199" s="1"/>
    </row>
    <row r="200" spans="1:37">
      <c r="A200" s="134">
        <v>45338</v>
      </c>
      <c r="B200" s="133">
        <v>891.9</v>
      </c>
      <c r="C200" s="133">
        <f t="shared" si="21"/>
        <v>1.473348882188974E-2</v>
      </c>
      <c r="D200" s="133">
        <v>22040.7</v>
      </c>
      <c r="E200" s="133">
        <f t="shared" si="22"/>
        <v>5.9308786782743539E-3</v>
      </c>
      <c r="F200" s="135">
        <v>19037.7</v>
      </c>
      <c r="G200" s="67">
        <f t="shared" si="23"/>
        <v>-8.7668153190775255E-3</v>
      </c>
      <c r="W200" s="2">
        <v>45338</v>
      </c>
      <c r="X200" s="3">
        <f t="shared" si="24"/>
        <v>891.9</v>
      </c>
      <c r="Y200" s="119">
        <f t="shared" si="25"/>
        <v>1.473348882188974E-2</v>
      </c>
      <c r="Z200" s="1"/>
      <c r="AA200" s="1"/>
      <c r="AB200" s="1"/>
      <c r="AC200" s="1"/>
      <c r="AD200" s="1"/>
      <c r="AE200" s="1"/>
      <c r="AF200" s="1"/>
      <c r="AG200" s="1"/>
      <c r="AH200" s="1"/>
      <c r="AI200" s="1"/>
      <c r="AJ200" s="1"/>
      <c r="AK200" s="1"/>
    </row>
    <row r="201" spans="1:37">
      <c r="A201" s="134">
        <v>45337</v>
      </c>
      <c r="B201" s="133">
        <v>878.95</v>
      </c>
      <c r="C201" s="133">
        <f t="shared" ref="C201:C264" si="26">B201/B202-1</f>
        <v>1.2848582622724258E-2</v>
      </c>
      <c r="D201" s="133">
        <v>21910.75</v>
      </c>
      <c r="E201" s="133">
        <f t="shared" ref="E201:E264" si="27">D201/D202-1</f>
        <v>3.2371720760713263E-3</v>
      </c>
      <c r="F201" s="135">
        <v>18870.8</v>
      </c>
      <c r="G201" s="67">
        <f t="shared" ref="G201:G264" si="28">F202/F201-1</f>
        <v>-1.6061852173728686E-2</v>
      </c>
      <c r="W201" s="2">
        <v>45337</v>
      </c>
      <c r="X201" s="3">
        <f t="shared" si="24"/>
        <v>878.95</v>
      </c>
      <c r="Y201" s="119">
        <f t="shared" si="25"/>
        <v>1.2848582622724258E-2</v>
      </c>
      <c r="Z201" s="1"/>
      <c r="AA201" s="1"/>
      <c r="AB201" s="1"/>
      <c r="AC201" s="1"/>
      <c r="AD201" s="1"/>
      <c r="AE201" s="1"/>
      <c r="AF201" s="1"/>
      <c r="AG201" s="1"/>
      <c r="AH201" s="1"/>
      <c r="AI201" s="1"/>
      <c r="AJ201" s="1"/>
      <c r="AK201" s="1"/>
    </row>
    <row r="202" spans="1:37">
      <c r="A202" s="134">
        <v>45336</v>
      </c>
      <c r="B202" s="133">
        <v>867.8</v>
      </c>
      <c r="C202" s="133">
        <f t="shared" si="26"/>
        <v>1.1657729074376233E-2</v>
      </c>
      <c r="D202" s="133">
        <v>21840.05</v>
      </c>
      <c r="E202" s="133">
        <f t="shared" si="27"/>
        <v>4.4519563542708696E-3</v>
      </c>
      <c r="F202" s="135">
        <v>18567.7</v>
      </c>
      <c r="G202" s="67">
        <f t="shared" si="28"/>
        <v>8.9671849502082068E-4</v>
      </c>
      <c r="W202" s="2">
        <v>45336</v>
      </c>
      <c r="X202" s="3">
        <f t="shared" ref="X202:X261" si="29">B202</f>
        <v>867.8</v>
      </c>
      <c r="Y202" s="119">
        <f t="shared" ref="Y202:Y260" si="30">X202/X203-1</f>
        <v>1.1657729074376233E-2</v>
      </c>
      <c r="Z202" s="1"/>
      <c r="AA202" s="1"/>
      <c r="AB202" s="1"/>
      <c r="AC202" s="1"/>
      <c r="AD202" s="1"/>
      <c r="AE202" s="1"/>
      <c r="AF202" s="1"/>
      <c r="AG202" s="1"/>
      <c r="AH202" s="1"/>
      <c r="AI202" s="1"/>
      <c r="AJ202" s="1"/>
      <c r="AK202" s="1"/>
    </row>
    <row r="203" spans="1:37">
      <c r="A203" s="134">
        <v>45335</v>
      </c>
      <c r="B203" s="133">
        <v>857.8</v>
      </c>
      <c r="C203" s="133">
        <f t="shared" si="26"/>
        <v>1.3424385688436402E-3</v>
      </c>
      <c r="D203" s="133">
        <v>21743.25</v>
      </c>
      <c r="E203" s="133">
        <f t="shared" si="27"/>
        <v>5.8845163663112654E-3</v>
      </c>
      <c r="F203" s="135">
        <v>18584.349999999999</v>
      </c>
      <c r="G203" s="67">
        <f t="shared" si="28"/>
        <v>9.1259581314386828E-3</v>
      </c>
      <c r="W203" s="2">
        <v>45335</v>
      </c>
      <c r="X203" s="3">
        <f t="shared" si="29"/>
        <v>857.8</v>
      </c>
      <c r="Y203" s="119">
        <f t="shared" si="30"/>
        <v>1.3424385688436402E-3</v>
      </c>
      <c r="Z203" s="1"/>
      <c r="AA203" s="1"/>
      <c r="AB203" s="1"/>
      <c r="AC203" s="1"/>
      <c r="AD203" s="1"/>
      <c r="AE203" s="1"/>
      <c r="AF203" s="1"/>
      <c r="AG203" s="1"/>
      <c r="AH203" s="1"/>
      <c r="AI203" s="1"/>
      <c r="AJ203" s="1"/>
      <c r="AK203" s="1"/>
    </row>
    <row r="204" spans="1:37">
      <c r="A204" s="134">
        <v>45334</v>
      </c>
      <c r="B204" s="133">
        <v>856.65</v>
      </c>
      <c r="C204" s="133">
        <f t="shared" si="26"/>
        <v>6.409539780137874E-2</v>
      </c>
      <c r="D204" s="133">
        <v>21616.05</v>
      </c>
      <c r="E204" s="133">
        <f t="shared" si="27"/>
        <v>-7.6414552966831417E-3</v>
      </c>
      <c r="F204" s="135">
        <v>18753.95</v>
      </c>
      <c r="G204" s="67">
        <f t="shared" si="28"/>
        <v>-4.5003852521736665E-3</v>
      </c>
      <c r="W204" s="2">
        <v>45334</v>
      </c>
      <c r="X204" s="3">
        <f t="shared" si="29"/>
        <v>856.65</v>
      </c>
      <c r="Y204" s="119">
        <f t="shared" si="30"/>
        <v>6.409539780137874E-2</v>
      </c>
      <c r="Z204" s="1"/>
      <c r="AA204" s="1"/>
      <c r="AB204" s="1"/>
      <c r="AC204" s="1"/>
      <c r="AD204" s="1"/>
      <c r="AE204" s="1"/>
      <c r="AF204" s="1"/>
      <c r="AG204" s="1"/>
      <c r="AH204" s="1"/>
      <c r="AI204" s="1"/>
      <c r="AJ204" s="1"/>
      <c r="AK204" s="1"/>
    </row>
    <row r="205" spans="1:37">
      <c r="A205" s="134">
        <v>45331</v>
      </c>
      <c r="B205" s="133">
        <v>805.05</v>
      </c>
      <c r="C205" s="133">
        <f t="shared" si="26"/>
        <v>3.7404151860855883E-3</v>
      </c>
      <c r="D205" s="133">
        <v>21782.5</v>
      </c>
      <c r="E205" s="133">
        <f t="shared" si="27"/>
        <v>2.9721958103781088E-3</v>
      </c>
      <c r="F205" s="135">
        <v>18669.55</v>
      </c>
      <c r="G205" s="67">
        <f t="shared" si="28"/>
        <v>-2.8093874785413142E-3</v>
      </c>
      <c r="W205" s="2">
        <v>45331</v>
      </c>
      <c r="X205" s="3">
        <f t="shared" si="29"/>
        <v>805.05</v>
      </c>
      <c r="Y205" s="119">
        <f t="shared" si="30"/>
        <v>3.7404151860855883E-3</v>
      </c>
      <c r="Z205" s="1"/>
      <c r="AA205" s="1"/>
      <c r="AB205" s="1"/>
      <c r="AC205" s="1"/>
      <c r="AD205" s="1"/>
      <c r="AE205" s="1"/>
      <c r="AF205" s="1"/>
      <c r="AG205" s="1"/>
      <c r="AH205" s="1"/>
      <c r="AI205" s="1"/>
      <c r="AJ205" s="1"/>
      <c r="AK205" s="1"/>
    </row>
    <row r="206" spans="1:37">
      <c r="A206" s="134">
        <v>45330</v>
      </c>
      <c r="B206" s="133">
        <v>802.05</v>
      </c>
      <c r="C206" s="133">
        <f t="shared" si="26"/>
        <v>1.3201111672561883E-2</v>
      </c>
      <c r="D206" s="133">
        <v>21717.95</v>
      </c>
      <c r="E206" s="133">
        <f t="shared" si="27"/>
        <v>-9.6919814869701471E-3</v>
      </c>
      <c r="F206" s="135">
        <v>18617.099999999999</v>
      </c>
      <c r="G206" s="67">
        <f t="shared" si="28"/>
        <v>-5.199520870597385E-3</v>
      </c>
      <c r="W206" s="2">
        <v>45330</v>
      </c>
      <c r="X206" s="3">
        <f t="shared" si="29"/>
        <v>802.05</v>
      </c>
      <c r="Y206" s="119">
        <f t="shared" si="30"/>
        <v>1.3201111672561883E-2</v>
      </c>
      <c r="Z206" s="1"/>
      <c r="AA206" s="1"/>
      <c r="AB206" s="1"/>
      <c r="AC206" s="1"/>
      <c r="AD206" s="1"/>
      <c r="AE206" s="1"/>
      <c r="AF206" s="1"/>
      <c r="AG206" s="1"/>
      <c r="AH206" s="1"/>
      <c r="AI206" s="1"/>
      <c r="AJ206" s="1"/>
      <c r="AK206" s="1"/>
    </row>
    <row r="207" spans="1:37">
      <c r="A207" s="134">
        <v>45329</v>
      </c>
      <c r="B207" s="133">
        <v>791.6</v>
      </c>
      <c r="C207" s="133">
        <f t="shared" si="26"/>
        <v>-7.2736393278153288E-3</v>
      </c>
      <c r="D207" s="133">
        <v>21930.5</v>
      </c>
      <c r="E207" s="133">
        <f t="shared" si="27"/>
        <v>5.0160971116319786E-5</v>
      </c>
      <c r="F207" s="135">
        <v>18520.3</v>
      </c>
      <c r="G207" s="67">
        <f t="shared" si="28"/>
        <v>2.4054685939212117E-3</v>
      </c>
      <c r="W207" s="2">
        <v>45329</v>
      </c>
      <c r="X207" s="3">
        <f t="shared" si="29"/>
        <v>791.6</v>
      </c>
      <c r="Y207" s="119">
        <f t="shared" si="30"/>
        <v>-7.2736393278153288E-3</v>
      </c>
      <c r="Z207" s="1"/>
      <c r="AA207" s="1"/>
      <c r="AB207" s="1"/>
      <c r="AC207" s="1"/>
      <c r="AD207" s="1"/>
      <c r="AE207" s="1"/>
      <c r="AF207" s="1"/>
      <c r="AG207" s="1"/>
      <c r="AH207" s="1"/>
      <c r="AI207" s="1"/>
      <c r="AJ207" s="1"/>
      <c r="AK207" s="1"/>
    </row>
    <row r="208" spans="1:37">
      <c r="A208" s="134">
        <v>45328</v>
      </c>
      <c r="B208" s="133">
        <v>797.4</v>
      </c>
      <c r="C208" s="133">
        <f t="shared" si="26"/>
        <v>4.7969509791036868E-2</v>
      </c>
      <c r="D208" s="133">
        <v>21929.4</v>
      </c>
      <c r="E208" s="133">
        <f t="shared" si="27"/>
        <v>7.2433480160023489E-3</v>
      </c>
      <c r="F208" s="135">
        <v>18564.849999999999</v>
      </c>
      <c r="G208" s="67">
        <f t="shared" si="28"/>
        <v>-4.1368500149475684E-3</v>
      </c>
      <c r="W208" s="2">
        <v>45328</v>
      </c>
      <c r="X208" s="3">
        <f t="shared" si="29"/>
        <v>797.4</v>
      </c>
      <c r="Y208" s="119">
        <f t="shared" si="30"/>
        <v>4.7969509791036868E-2</v>
      </c>
      <c r="Z208" s="1"/>
      <c r="AA208" s="1"/>
      <c r="AB208" s="1"/>
      <c r="AC208" s="1"/>
      <c r="AD208" s="1"/>
      <c r="AE208" s="1"/>
      <c r="AF208" s="1"/>
      <c r="AG208" s="1"/>
      <c r="AH208" s="1"/>
      <c r="AI208" s="1"/>
      <c r="AJ208" s="1"/>
      <c r="AK208" s="1"/>
    </row>
    <row r="209" spans="1:37">
      <c r="A209" s="134">
        <v>45327</v>
      </c>
      <c r="B209" s="133">
        <v>760.9</v>
      </c>
      <c r="C209" s="133">
        <f t="shared" si="26"/>
        <v>-3.2845037114892506E-4</v>
      </c>
      <c r="D209" s="133">
        <v>21771.7</v>
      </c>
      <c r="E209" s="133">
        <f t="shared" si="27"/>
        <v>-3.756783717248191E-3</v>
      </c>
      <c r="F209" s="135">
        <v>18488.05</v>
      </c>
      <c r="G209" s="67">
        <f t="shared" si="28"/>
        <v>-1.0552762460075527E-2</v>
      </c>
      <c r="W209" s="2">
        <v>45327</v>
      </c>
      <c r="X209" s="3">
        <f t="shared" si="29"/>
        <v>760.9</v>
      </c>
      <c r="Y209" s="119">
        <f t="shared" si="30"/>
        <v>-3.2845037114892506E-4</v>
      </c>
      <c r="Z209" s="1"/>
      <c r="AA209" s="1"/>
      <c r="AB209" s="1"/>
      <c r="AC209" s="1"/>
      <c r="AD209" s="1"/>
      <c r="AE209" s="1"/>
      <c r="AF209" s="1"/>
      <c r="AG209" s="1"/>
      <c r="AH209" s="1"/>
      <c r="AI209" s="1"/>
      <c r="AJ209" s="1"/>
      <c r="AK209" s="1"/>
    </row>
    <row r="210" spans="1:37">
      <c r="A210" s="134">
        <v>45324</v>
      </c>
      <c r="B210" s="133">
        <v>761.15</v>
      </c>
      <c r="C210" s="133">
        <f t="shared" si="26"/>
        <v>2.1065104338096052E-3</v>
      </c>
      <c r="D210" s="133">
        <v>21853.8</v>
      </c>
      <c r="E210" s="133">
        <f t="shared" si="27"/>
        <v>7.2059159025599229E-3</v>
      </c>
      <c r="F210" s="135">
        <v>18292.95</v>
      </c>
      <c r="G210" s="67">
        <f t="shared" si="28"/>
        <v>-1.7539543922658885E-2</v>
      </c>
      <c r="W210" s="2">
        <v>45324</v>
      </c>
      <c r="X210" s="3">
        <f t="shared" si="29"/>
        <v>761.15</v>
      </c>
      <c r="Y210" s="119">
        <f t="shared" si="30"/>
        <v>2.1065104338096052E-3</v>
      </c>
      <c r="Z210" s="1"/>
      <c r="AA210" s="1"/>
      <c r="AB210" s="1"/>
      <c r="AC210" s="1"/>
      <c r="AD210" s="1"/>
      <c r="AE210" s="1"/>
      <c r="AF210" s="1"/>
      <c r="AG210" s="1"/>
      <c r="AH210" s="1"/>
      <c r="AI210" s="1"/>
      <c r="AJ210" s="1"/>
      <c r="AK210" s="1"/>
    </row>
    <row r="211" spans="1:37">
      <c r="A211" s="134">
        <v>45323</v>
      </c>
      <c r="B211" s="133">
        <v>759.55</v>
      </c>
      <c r="C211" s="133">
        <f t="shared" si="26"/>
        <v>-1.6430073606730211E-3</v>
      </c>
      <c r="D211" s="133">
        <v>21697.45</v>
      </c>
      <c r="E211" s="133">
        <f t="shared" si="27"/>
        <v>-1.3003033273956133E-3</v>
      </c>
      <c r="F211" s="135">
        <v>17972.099999999999</v>
      </c>
      <c r="G211" s="67">
        <f t="shared" si="28"/>
        <v>-7.394795265995513E-3</v>
      </c>
      <c r="W211" s="2">
        <v>45323</v>
      </c>
      <c r="X211" s="3">
        <f t="shared" si="29"/>
        <v>759.55</v>
      </c>
      <c r="Y211" s="119">
        <f t="shared" si="30"/>
        <v>-1.6430073606730211E-3</v>
      </c>
      <c r="Z211" s="1"/>
      <c r="AA211" s="1"/>
      <c r="AB211" s="1"/>
      <c r="AC211" s="1"/>
      <c r="AD211" s="1"/>
      <c r="AE211" s="1"/>
      <c r="AF211" s="1"/>
      <c r="AG211" s="1"/>
      <c r="AH211" s="1"/>
      <c r="AI211" s="1"/>
      <c r="AJ211" s="1"/>
      <c r="AK211" s="1"/>
    </row>
    <row r="212" spans="1:37">
      <c r="A212" s="134">
        <v>45322</v>
      </c>
      <c r="B212" s="133">
        <v>760.8</v>
      </c>
      <c r="C212" s="133">
        <f t="shared" si="26"/>
        <v>6.4823389337214099E-3</v>
      </c>
      <c r="D212" s="133">
        <v>21725.7</v>
      </c>
      <c r="E212" s="133">
        <f t="shared" si="27"/>
        <v>9.4600433972522602E-3</v>
      </c>
      <c r="F212" s="135">
        <v>17839.2</v>
      </c>
      <c r="G212" s="67">
        <f t="shared" si="28"/>
        <v>5.5748015606080781E-3</v>
      </c>
      <c r="W212" s="2">
        <v>45322</v>
      </c>
      <c r="X212" s="3">
        <f t="shared" si="29"/>
        <v>760.8</v>
      </c>
      <c r="Y212" s="119">
        <f t="shared" si="30"/>
        <v>6.4823389337214099E-3</v>
      </c>
      <c r="Z212" s="1"/>
      <c r="AA212" s="1"/>
      <c r="AB212" s="1"/>
      <c r="AC212" s="1"/>
      <c r="AD212" s="1"/>
      <c r="AE212" s="1"/>
      <c r="AF212" s="1"/>
      <c r="AG212" s="1"/>
      <c r="AH212" s="1"/>
      <c r="AI212" s="1"/>
      <c r="AJ212" s="1"/>
      <c r="AK212" s="1"/>
    </row>
    <row r="213" spans="1:37">
      <c r="A213" s="134">
        <v>45321</v>
      </c>
      <c r="B213" s="133">
        <v>755.9</v>
      </c>
      <c r="C213" s="133">
        <f t="shared" si="26"/>
        <v>9.8864395457580745E-3</v>
      </c>
      <c r="D213" s="133">
        <v>21522.1</v>
      </c>
      <c r="E213" s="133">
        <f t="shared" si="27"/>
        <v>-9.9136979243338308E-3</v>
      </c>
      <c r="F213" s="135">
        <v>17938.650000000001</v>
      </c>
      <c r="G213" s="67">
        <f t="shared" si="28"/>
        <v>-2.611679251225707E-2</v>
      </c>
      <c r="W213" s="2">
        <v>45321</v>
      </c>
      <c r="X213" s="3">
        <f t="shared" si="29"/>
        <v>755.9</v>
      </c>
      <c r="Y213" s="119">
        <f t="shared" si="30"/>
        <v>9.8864395457580745E-3</v>
      </c>
      <c r="Z213" s="1"/>
      <c r="AA213" s="1"/>
      <c r="AB213" s="1"/>
      <c r="AC213" s="1"/>
      <c r="AD213" s="1"/>
      <c r="AE213" s="1"/>
      <c r="AF213" s="1"/>
      <c r="AG213" s="1"/>
      <c r="AH213" s="1"/>
      <c r="AI213" s="1"/>
      <c r="AJ213" s="1"/>
      <c r="AK213" s="1"/>
    </row>
    <row r="214" spans="1:37">
      <c r="A214" s="134">
        <v>45320</v>
      </c>
      <c r="B214" s="133">
        <v>748.5</v>
      </c>
      <c r="C214" s="133">
        <f t="shared" si="26"/>
        <v>1.6293279022403295E-2</v>
      </c>
      <c r="D214" s="133">
        <v>21737.599999999999</v>
      </c>
      <c r="E214" s="133">
        <f t="shared" si="27"/>
        <v>1.8030591122392581E-2</v>
      </c>
      <c r="F214" s="135">
        <v>17470.150000000001</v>
      </c>
      <c r="G214" s="67">
        <f t="shared" si="28"/>
        <v>8.7835536615310517E-3</v>
      </c>
      <c r="W214" s="2">
        <v>45320</v>
      </c>
      <c r="X214" s="3">
        <f t="shared" si="29"/>
        <v>748.5</v>
      </c>
      <c r="Y214" s="119">
        <f t="shared" si="30"/>
        <v>1.6293279022403295E-2</v>
      </c>
      <c r="Z214" s="1"/>
      <c r="AA214" s="1"/>
      <c r="AB214" s="1"/>
      <c r="AC214" s="1"/>
      <c r="AD214" s="1"/>
      <c r="AE214" s="1"/>
      <c r="AF214" s="1"/>
      <c r="AG214" s="1"/>
      <c r="AH214" s="1"/>
      <c r="AI214" s="1"/>
      <c r="AJ214" s="1"/>
      <c r="AK214" s="1"/>
    </row>
    <row r="215" spans="1:37">
      <c r="A215" s="134">
        <v>45316</v>
      </c>
      <c r="B215" s="133">
        <v>736.5</v>
      </c>
      <c r="C215" s="133">
        <f t="shared" si="26"/>
        <v>-2.1132376395534225E-2</v>
      </c>
      <c r="D215" s="133">
        <v>21352.6</v>
      </c>
      <c r="E215" s="133">
        <f t="shared" si="27"/>
        <v>-4.7240717909756702E-3</v>
      </c>
      <c r="F215" s="135">
        <v>17623.599999999999</v>
      </c>
      <c r="G215" s="67">
        <f t="shared" si="28"/>
        <v>-5.1663678249619371E-3</v>
      </c>
      <c r="W215" s="2">
        <v>45316</v>
      </c>
      <c r="X215" s="3">
        <f t="shared" si="29"/>
        <v>736.5</v>
      </c>
      <c r="Y215" s="119">
        <f t="shared" si="30"/>
        <v>-2.1132376395534225E-2</v>
      </c>
      <c r="Z215" s="1"/>
      <c r="AA215" s="1"/>
      <c r="AB215" s="1"/>
      <c r="AC215" s="1"/>
      <c r="AD215" s="1"/>
      <c r="AE215" s="1"/>
      <c r="AF215" s="1"/>
      <c r="AG215" s="1"/>
      <c r="AH215" s="1"/>
      <c r="AI215" s="1"/>
      <c r="AJ215" s="1"/>
      <c r="AK215" s="1"/>
    </row>
    <row r="216" spans="1:37">
      <c r="A216" s="134">
        <v>45315</v>
      </c>
      <c r="B216" s="133">
        <v>752.4</v>
      </c>
      <c r="C216" s="133">
        <f t="shared" si="26"/>
        <v>3.1886443118699814E-2</v>
      </c>
      <c r="D216" s="133">
        <v>21453.95</v>
      </c>
      <c r="E216" s="133">
        <f t="shared" si="27"/>
        <v>1.0130045011959243E-2</v>
      </c>
      <c r="F216" s="135">
        <v>17532.55</v>
      </c>
      <c r="G216" s="67">
        <f t="shared" si="28"/>
        <v>1.3184049097250572E-2</v>
      </c>
      <c r="W216" s="2">
        <v>45315</v>
      </c>
      <c r="X216" s="3">
        <f t="shared" si="29"/>
        <v>752.4</v>
      </c>
      <c r="Y216" s="119">
        <f t="shared" si="30"/>
        <v>3.1886443118699814E-2</v>
      </c>
      <c r="Z216" s="1"/>
      <c r="AA216" s="1"/>
      <c r="AB216" s="1"/>
      <c r="AC216" s="1"/>
      <c r="AD216" s="1"/>
      <c r="AE216" s="1"/>
      <c r="AF216" s="1"/>
      <c r="AG216" s="1"/>
      <c r="AH216" s="1"/>
      <c r="AI216" s="1"/>
      <c r="AJ216" s="1"/>
      <c r="AK216" s="1"/>
    </row>
    <row r="217" spans="1:37">
      <c r="A217" s="134">
        <v>45314</v>
      </c>
      <c r="B217" s="133">
        <v>729.15</v>
      </c>
      <c r="C217" s="133">
        <f t="shared" si="26"/>
        <v>3.6092362344582574E-2</v>
      </c>
      <c r="D217" s="133">
        <v>21238.799999999999</v>
      </c>
      <c r="E217" s="133">
        <f t="shared" si="27"/>
        <v>-1.5436820293160514E-2</v>
      </c>
      <c r="F217" s="135">
        <v>17763.7</v>
      </c>
      <c r="G217" s="67">
        <f t="shared" si="28"/>
        <v>-1.3702100350715285E-2</v>
      </c>
      <c r="W217" s="2">
        <v>45314</v>
      </c>
      <c r="X217" s="3">
        <f t="shared" si="29"/>
        <v>729.15</v>
      </c>
      <c r="Y217" s="119">
        <f t="shared" si="30"/>
        <v>3.6092362344582574E-2</v>
      </c>
      <c r="Z217" s="1"/>
      <c r="AA217" s="1"/>
      <c r="AB217" s="1"/>
      <c r="AC217" s="1"/>
      <c r="AD217" s="1"/>
      <c r="AE217" s="1"/>
      <c r="AF217" s="1"/>
      <c r="AG217" s="1"/>
      <c r="AH217" s="1"/>
      <c r="AI217" s="1"/>
      <c r="AJ217" s="1"/>
      <c r="AK217" s="1"/>
    </row>
    <row r="218" spans="1:37">
      <c r="A218" s="134">
        <v>45311</v>
      </c>
      <c r="B218" s="133">
        <v>703.75</v>
      </c>
      <c r="C218" s="133">
        <f t="shared" si="26"/>
        <v>-2.3315522864478466E-2</v>
      </c>
      <c r="D218" s="133">
        <v>21571.8</v>
      </c>
      <c r="E218" s="133">
        <f t="shared" si="27"/>
        <v>-2.3401657540329523E-3</v>
      </c>
      <c r="F218" s="135">
        <v>17520.3</v>
      </c>
      <c r="G218" s="67">
        <f t="shared" si="28"/>
        <v>-1.62896754051014E-2</v>
      </c>
      <c r="W218" s="2">
        <v>45311</v>
      </c>
      <c r="X218" s="3">
        <f t="shared" si="29"/>
        <v>703.75</v>
      </c>
      <c r="Y218" s="119">
        <f t="shared" si="30"/>
        <v>-2.3315522864478466E-2</v>
      </c>
      <c r="Z218" s="1"/>
      <c r="AA218" s="1"/>
      <c r="AB218" s="1"/>
      <c r="AC218" s="1"/>
      <c r="AD218" s="1"/>
      <c r="AE218" s="1"/>
      <c r="AF218" s="1"/>
      <c r="AG218" s="1"/>
      <c r="AH218" s="1"/>
      <c r="AI218" s="1"/>
      <c r="AJ218" s="1"/>
      <c r="AK218" s="1"/>
    </row>
    <row r="219" spans="1:37">
      <c r="A219" s="134">
        <v>45310</v>
      </c>
      <c r="B219" s="133">
        <v>720.55</v>
      </c>
      <c r="C219" s="133">
        <f t="shared" si="26"/>
        <v>1.6433911694174075E-2</v>
      </c>
      <c r="D219" s="133">
        <v>21622.400000000001</v>
      </c>
      <c r="E219" s="133">
        <f t="shared" si="27"/>
        <v>7.4619389858938678E-3</v>
      </c>
      <c r="F219" s="135">
        <v>17234.900000000001</v>
      </c>
      <c r="G219" s="67">
        <f t="shared" si="28"/>
        <v>8.8831382833667316E-3</v>
      </c>
      <c r="W219" s="2">
        <v>45310</v>
      </c>
      <c r="X219" s="3">
        <f t="shared" si="29"/>
        <v>720.55</v>
      </c>
      <c r="Y219" s="119">
        <f t="shared" si="30"/>
        <v>1.6433911694174075E-2</v>
      </c>
      <c r="Z219" s="1"/>
      <c r="AA219" s="1"/>
      <c r="AB219" s="1"/>
      <c r="AC219" s="1"/>
      <c r="AD219" s="1"/>
      <c r="AE219" s="1"/>
      <c r="AF219" s="1"/>
      <c r="AG219" s="1"/>
      <c r="AH219" s="1"/>
      <c r="AI219" s="1"/>
      <c r="AJ219" s="1"/>
      <c r="AK219" s="1"/>
    </row>
    <row r="220" spans="1:37">
      <c r="A220" s="134">
        <v>45309</v>
      </c>
      <c r="B220" s="133">
        <v>708.9</v>
      </c>
      <c r="C220" s="133">
        <f t="shared" si="26"/>
        <v>-1.1272368606454197E-3</v>
      </c>
      <c r="D220" s="133">
        <v>21462.25</v>
      </c>
      <c r="E220" s="133">
        <f t="shared" si="27"/>
        <v>-5.0853075405793424E-3</v>
      </c>
      <c r="F220" s="135">
        <v>17388</v>
      </c>
      <c r="G220" s="67">
        <f t="shared" si="28"/>
        <v>-3.2637451115712368E-3</v>
      </c>
      <c r="W220" s="2">
        <v>45309</v>
      </c>
      <c r="X220" s="3">
        <f t="shared" si="29"/>
        <v>708.9</v>
      </c>
      <c r="Y220" s="119">
        <f t="shared" si="30"/>
        <v>-1.1272368606454197E-3</v>
      </c>
      <c r="Z220" s="1"/>
      <c r="AA220" s="1"/>
      <c r="AB220" s="1"/>
      <c r="AC220" s="1"/>
      <c r="AD220" s="1"/>
      <c r="AE220" s="1"/>
      <c r="AF220" s="1"/>
      <c r="AG220" s="1"/>
      <c r="AH220" s="1"/>
      <c r="AI220" s="1"/>
      <c r="AJ220" s="1"/>
      <c r="AK220" s="1"/>
    </row>
    <row r="221" spans="1:37">
      <c r="A221" s="134">
        <v>45308</v>
      </c>
      <c r="B221" s="133">
        <v>709.7</v>
      </c>
      <c r="C221" s="133">
        <f t="shared" si="26"/>
        <v>4.0319728372355534E-3</v>
      </c>
      <c r="D221" s="133">
        <v>21571.95</v>
      </c>
      <c r="E221" s="133">
        <f t="shared" si="27"/>
        <v>-2.0894323334377241E-2</v>
      </c>
      <c r="F221" s="135">
        <v>17331.25</v>
      </c>
      <c r="G221" s="67">
        <f t="shared" si="28"/>
        <v>-1.0227190768121175E-2</v>
      </c>
      <c r="W221" s="2">
        <v>45308</v>
      </c>
      <c r="X221" s="3">
        <f t="shared" si="29"/>
        <v>709.7</v>
      </c>
      <c r="Y221" s="119">
        <f t="shared" si="30"/>
        <v>4.0319728372355534E-3</v>
      </c>
      <c r="Z221" s="1"/>
      <c r="AA221" s="1"/>
      <c r="AB221" s="1"/>
      <c r="AC221" s="1"/>
      <c r="AD221" s="1"/>
      <c r="AE221" s="1"/>
      <c r="AF221" s="1"/>
      <c r="AG221" s="1"/>
      <c r="AH221" s="1"/>
      <c r="AI221" s="1"/>
      <c r="AJ221" s="1"/>
      <c r="AK221" s="1"/>
    </row>
    <row r="222" spans="1:37">
      <c r="A222" s="134">
        <v>45307</v>
      </c>
      <c r="B222" s="133">
        <v>706.85</v>
      </c>
      <c r="C222" s="133">
        <f t="shared" si="26"/>
        <v>-1.3949919787961229E-2</v>
      </c>
      <c r="D222" s="133">
        <v>22032.3</v>
      </c>
      <c r="E222" s="133">
        <f t="shared" si="27"/>
        <v>-2.9483039898269281E-3</v>
      </c>
      <c r="F222" s="135">
        <v>17154</v>
      </c>
      <c r="G222" s="67">
        <f t="shared" si="28"/>
        <v>9.6857875714120301E-3</v>
      </c>
      <c r="W222" s="2">
        <v>45307</v>
      </c>
      <c r="X222" s="3">
        <f t="shared" si="29"/>
        <v>706.85</v>
      </c>
      <c r="Y222" s="119">
        <f t="shared" si="30"/>
        <v>-1.3949919787961229E-2</v>
      </c>
      <c r="Z222" s="1"/>
      <c r="AA222" s="1"/>
      <c r="AB222" s="1"/>
      <c r="AC222" s="1"/>
      <c r="AD222" s="1"/>
      <c r="AE222" s="1"/>
      <c r="AF222" s="1"/>
      <c r="AG222" s="1"/>
      <c r="AH222" s="1"/>
      <c r="AI222" s="1"/>
      <c r="AJ222" s="1"/>
      <c r="AK222" s="1"/>
    </row>
    <row r="223" spans="1:37">
      <c r="A223" s="134">
        <v>45306</v>
      </c>
      <c r="B223" s="133">
        <v>716.85</v>
      </c>
      <c r="C223" s="133">
        <f t="shared" si="26"/>
        <v>1.8325165139569499E-2</v>
      </c>
      <c r="D223" s="133">
        <v>22097.45</v>
      </c>
      <c r="E223" s="133">
        <f t="shared" si="27"/>
        <v>9.2671463903117868E-3</v>
      </c>
      <c r="F223" s="135">
        <v>17320.150000000001</v>
      </c>
      <c r="G223" s="67">
        <f t="shared" si="28"/>
        <v>1.1564564972012414E-2</v>
      </c>
      <c r="W223" s="2">
        <v>45306</v>
      </c>
      <c r="X223" s="3">
        <f t="shared" si="29"/>
        <v>716.85</v>
      </c>
      <c r="Y223" s="119">
        <f t="shared" si="30"/>
        <v>1.8325165139569499E-2</v>
      </c>
      <c r="Z223" s="1"/>
      <c r="AA223" s="1"/>
      <c r="AB223" s="1"/>
      <c r="AC223" s="1"/>
      <c r="AD223" s="1"/>
      <c r="AE223" s="1"/>
      <c r="AF223" s="1"/>
      <c r="AG223" s="1"/>
      <c r="AH223" s="1"/>
      <c r="AI223" s="1"/>
      <c r="AJ223" s="1"/>
      <c r="AK223" s="1"/>
    </row>
    <row r="224" spans="1:37">
      <c r="A224" s="134">
        <v>45303</v>
      </c>
      <c r="B224" s="133">
        <v>703.95</v>
      </c>
      <c r="C224" s="133">
        <f t="shared" si="26"/>
        <v>-4.2598509052171885E-4</v>
      </c>
      <c r="D224" s="133">
        <v>21894.55</v>
      </c>
      <c r="E224" s="133">
        <f t="shared" si="27"/>
        <v>1.1426420045086649E-2</v>
      </c>
      <c r="F224" s="135">
        <v>17520.45</v>
      </c>
      <c r="G224" s="67">
        <f t="shared" si="28"/>
        <v>-9.8741756062201702E-3</v>
      </c>
      <c r="W224" s="2">
        <v>45303</v>
      </c>
      <c r="X224" s="3">
        <f t="shared" si="29"/>
        <v>703.95</v>
      </c>
      <c r="Y224" s="119">
        <f t="shared" si="30"/>
        <v>-4.2598509052171885E-4</v>
      </c>
      <c r="Z224" s="1"/>
      <c r="AA224" s="1"/>
      <c r="AB224" s="1"/>
      <c r="AC224" s="1"/>
      <c r="AD224" s="1"/>
      <c r="AE224" s="1"/>
      <c r="AF224" s="1"/>
      <c r="AG224" s="1"/>
      <c r="AH224" s="1"/>
      <c r="AI224" s="1"/>
      <c r="AJ224" s="1"/>
      <c r="AK224" s="1"/>
    </row>
    <row r="225" spans="1:37">
      <c r="A225" s="134">
        <v>45302</v>
      </c>
      <c r="B225" s="133">
        <v>704.25</v>
      </c>
      <c r="C225" s="133">
        <f t="shared" si="26"/>
        <v>-3.7487622011599386E-3</v>
      </c>
      <c r="D225" s="133">
        <v>21647.200000000001</v>
      </c>
      <c r="E225" s="133">
        <f t="shared" si="27"/>
        <v>1.3183031357111297E-3</v>
      </c>
      <c r="F225" s="135">
        <v>17347.45</v>
      </c>
      <c r="G225" s="67">
        <f t="shared" si="28"/>
        <v>1.9080614153663689E-3</v>
      </c>
      <c r="W225" s="2">
        <v>45302</v>
      </c>
      <c r="X225" s="3">
        <f t="shared" si="29"/>
        <v>704.25</v>
      </c>
      <c r="Y225" s="119">
        <f t="shared" si="30"/>
        <v>-3.7487622011599386E-3</v>
      </c>
      <c r="Z225" s="1"/>
      <c r="AA225" s="1"/>
      <c r="AB225" s="1"/>
      <c r="AC225" s="1"/>
      <c r="AD225" s="1"/>
      <c r="AE225" s="1"/>
      <c r="AF225" s="1"/>
      <c r="AG225" s="1"/>
      <c r="AH225" s="1"/>
      <c r="AI225" s="1"/>
      <c r="AJ225" s="1"/>
      <c r="AK225" s="1"/>
    </row>
    <row r="226" spans="1:37">
      <c r="A226" s="134">
        <v>45301</v>
      </c>
      <c r="B226" s="133">
        <v>706.9</v>
      </c>
      <c r="C226" s="133">
        <f t="shared" si="26"/>
        <v>-8.5553997194951492E-3</v>
      </c>
      <c r="D226" s="133">
        <v>21618.7</v>
      </c>
      <c r="E226" s="133">
        <f t="shared" si="27"/>
        <v>3.4277333098164942E-3</v>
      </c>
      <c r="F226" s="135">
        <v>17380.55</v>
      </c>
      <c r="G226" s="67">
        <f t="shared" si="28"/>
        <v>1.2283846023286582E-3</v>
      </c>
      <c r="W226" s="2">
        <v>45301</v>
      </c>
      <c r="X226" s="3">
        <f t="shared" si="29"/>
        <v>706.9</v>
      </c>
      <c r="Y226" s="119">
        <f t="shared" si="30"/>
        <v>-8.5553997194951492E-3</v>
      </c>
      <c r="Z226" s="1"/>
      <c r="AA226" s="1"/>
      <c r="AB226" s="1"/>
      <c r="AC226" s="1"/>
      <c r="AD226" s="1"/>
      <c r="AE226" s="1"/>
      <c r="AF226" s="1"/>
      <c r="AG226" s="1"/>
      <c r="AH226" s="1"/>
      <c r="AI226" s="1"/>
      <c r="AJ226" s="1"/>
      <c r="AK226" s="1"/>
    </row>
    <row r="227" spans="1:37">
      <c r="A227" s="134">
        <v>45300</v>
      </c>
      <c r="B227" s="133">
        <v>713</v>
      </c>
      <c r="C227" s="133">
        <f t="shared" si="26"/>
        <v>3.2362459546924072E-3</v>
      </c>
      <c r="D227" s="133">
        <v>21544.85</v>
      </c>
      <c r="E227" s="133">
        <f t="shared" si="27"/>
        <v>1.4805001626922998E-3</v>
      </c>
      <c r="F227" s="135">
        <v>17401.900000000001</v>
      </c>
      <c r="G227" s="67">
        <f t="shared" si="28"/>
        <v>-3.195053413707849E-3</v>
      </c>
      <c r="W227" s="2">
        <v>45300</v>
      </c>
      <c r="X227" s="3">
        <f t="shared" si="29"/>
        <v>713</v>
      </c>
      <c r="Y227" s="119">
        <f t="shared" si="30"/>
        <v>3.2362459546924072E-3</v>
      </c>
      <c r="Z227" s="1"/>
      <c r="AA227" s="1"/>
      <c r="AB227" s="1"/>
      <c r="AC227" s="1"/>
      <c r="AD227" s="1"/>
      <c r="AE227" s="1"/>
      <c r="AF227" s="1"/>
      <c r="AG227" s="1"/>
      <c r="AH227" s="1"/>
      <c r="AI227" s="1"/>
      <c r="AJ227" s="1"/>
      <c r="AK227" s="1"/>
    </row>
    <row r="228" spans="1:37">
      <c r="A228" s="134">
        <v>45299</v>
      </c>
      <c r="B228" s="133">
        <v>710.7</v>
      </c>
      <c r="C228" s="133">
        <f t="shared" si="26"/>
        <v>-4.9702485124255569E-3</v>
      </c>
      <c r="D228" s="133">
        <v>21513</v>
      </c>
      <c r="E228" s="133">
        <f t="shared" si="27"/>
        <v>-9.1106730290915205E-3</v>
      </c>
      <c r="F228" s="135">
        <v>17346.3</v>
      </c>
      <c r="G228" s="67">
        <f t="shared" si="28"/>
        <v>-8.6675544640643087E-3</v>
      </c>
      <c r="W228" s="2">
        <v>45299</v>
      </c>
      <c r="X228" s="3">
        <f t="shared" si="29"/>
        <v>710.7</v>
      </c>
      <c r="Y228" s="119">
        <f t="shared" si="30"/>
        <v>-4.9702485124255569E-3</v>
      </c>
      <c r="Z228" s="1"/>
      <c r="AA228" s="1"/>
      <c r="AB228" s="1"/>
      <c r="AC228" s="1"/>
      <c r="AD228" s="1"/>
      <c r="AE228" s="1"/>
      <c r="AF228" s="1"/>
      <c r="AG228" s="1"/>
      <c r="AH228" s="1"/>
      <c r="AI228" s="1"/>
      <c r="AJ228" s="1"/>
      <c r="AK228" s="1"/>
    </row>
    <row r="229" spans="1:37">
      <c r="A229" s="134">
        <v>45296</v>
      </c>
      <c r="B229" s="133">
        <v>714.25</v>
      </c>
      <c r="C229" s="133">
        <f t="shared" si="26"/>
        <v>7.1917083832757633E-3</v>
      </c>
      <c r="D229" s="133">
        <v>21710.799999999999</v>
      </c>
      <c r="E229" s="133">
        <f t="shared" si="27"/>
        <v>2.4101280784538659E-3</v>
      </c>
      <c r="F229" s="135">
        <v>17195.95</v>
      </c>
      <c r="G229" s="67">
        <f t="shared" si="28"/>
        <v>9.4586225244897015E-3</v>
      </c>
      <c r="W229" s="2">
        <v>45296</v>
      </c>
      <c r="X229" s="3">
        <f t="shared" si="29"/>
        <v>714.25</v>
      </c>
      <c r="Y229" s="119">
        <f t="shared" si="30"/>
        <v>7.1917083832757633E-3</v>
      </c>
      <c r="Z229" s="1"/>
      <c r="AA229" s="1"/>
      <c r="AB229" s="1"/>
      <c r="AC229" s="1"/>
      <c r="AD229" s="1"/>
      <c r="AE229" s="1"/>
      <c r="AF229" s="1"/>
      <c r="AG229" s="1"/>
      <c r="AH229" s="1"/>
      <c r="AI229" s="1"/>
      <c r="AJ229" s="1"/>
      <c r="AK229" s="1"/>
    </row>
    <row r="230" spans="1:37">
      <c r="A230" s="134">
        <v>45295</v>
      </c>
      <c r="B230" s="133">
        <v>709.15</v>
      </c>
      <c r="C230" s="133">
        <f t="shared" si="26"/>
        <v>-1.7595720720721131E-3</v>
      </c>
      <c r="D230" s="133">
        <v>21658.6</v>
      </c>
      <c r="E230" s="133">
        <f t="shared" si="27"/>
        <v>6.5644700671783074E-3</v>
      </c>
      <c r="F230" s="135">
        <v>17358.599999999999</v>
      </c>
      <c r="G230" s="67">
        <f t="shared" si="28"/>
        <v>3.1454149528189479E-3</v>
      </c>
      <c r="W230" s="2">
        <v>45295</v>
      </c>
      <c r="X230" s="3">
        <f t="shared" si="29"/>
        <v>709.15</v>
      </c>
      <c r="Y230" s="119">
        <f t="shared" si="30"/>
        <v>-1.7595720720721131E-3</v>
      </c>
      <c r="Z230" s="1"/>
      <c r="AA230" s="1"/>
      <c r="AB230" s="1"/>
      <c r="AC230" s="1"/>
      <c r="AD230" s="1"/>
      <c r="AE230" s="1"/>
      <c r="AF230" s="1"/>
      <c r="AG230" s="1"/>
      <c r="AH230" s="1"/>
      <c r="AI230" s="1"/>
      <c r="AJ230" s="1"/>
      <c r="AK230" s="1"/>
    </row>
    <row r="231" spans="1:37">
      <c r="A231" s="134">
        <v>45294</v>
      </c>
      <c r="B231" s="133">
        <v>710.4</v>
      </c>
      <c r="C231" s="133">
        <f t="shared" si="26"/>
        <v>-2.5974025974025983E-3</v>
      </c>
      <c r="D231" s="133">
        <v>21517.35</v>
      </c>
      <c r="E231" s="133">
        <f t="shared" si="27"/>
        <v>-6.8518125340398806E-3</v>
      </c>
      <c r="F231" s="135">
        <v>17413.2</v>
      </c>
      <c r="G231" s="67">
        <f t="shared" si="28"/>
        <v>-1.9180851308203684E-3</v>
      </c>
      <c r="W231" s="2">
        <v>45294</v>
      </c>
      <c r="X231" s="3">
        <f t="shared" si="29"/>
        <v>710.4</v>
      </c>
      <c r="Y231" s="119">
        <f t="shared" si="30"/>
        <v>-2.5974025974025983E-3</v>
      </c>
      <c r="Z231" s="1"/>
      <c r="AA231" s="1"/>
      <c r="AB231" s="1"/>
      <c r="AC231" s="1"/>
      <c r="AD231" s="1"/>
      <c r="AE231" s="1"/>
      <c r="AF231" s="1"/>
      <c r="AG231" s="1"/>
      <c r="AH231" s="1"/>
      <c r="AI231" s="1"/>
      <c r="AJ231" s="1"/>
      <c r="AK231" s="1"/>
    </row>
    <row r="232" spans="1:37">
      <c r="A232" s="134">
        <v>45293</v>
      </c>
      <c r="B232" s="133">
        <v>712.25</v>
      </c>
      <c r="C232" s="133">
        <f t="shared" si="26"/>
        <v>1.8737037831652703E-2</v>
      </c>
      <c r="D232" s="133">
        <v>21665.8</v>
      </c>
      <c r="E232" s="133">
        <f t="shared" si="27"/>
        <v>-3.5001540803702991E-3</v>
      </c>
      <c r="F232" s="135">
        <v>17379.8</v>
      </c>
      <c r="G232" s="67">
        <f t="shared" si="28"/>
        <v>-6.0702654806153999E-3</v>
      </c>
      <c r="W232" s="2">
        <v>45293</v>
      </c>
      <c r="X232" s="3">
        <f t="shared" si="29"/>
        <v>712.25</v>
      </c>
      <c r="Y232" s="119">
        <f t="shared" si="30"/>
        <v>1.8737037831652703E-2</v>
      </c>
      <c r="Z232" s="1"/>
      <c r="AA232" s="1"/>
      <c r="AB232" s="1"/>
      <c r="AC232" s="1"/>
      <c r="AD232" s="1"/>
      <c r="AE232" s="1"/>
      <c r="AF232" s="1"/>
      <c r="AG232" s="1"/>
      <c r="AH232" s="1"/>
      <c r="AI232" s="1"/>
      <c r="AJ232" s="1"/>
      <c r="AK232" s="1"/>
    </row>
    <row r="233" spans="1:37">
      <c r="A233" s="134">
        <v>45292</v>
      </c>
      <c r="B233" s="133">
        <v>699.15</v>
      </c>
      <c r="C233" s="133">
        <f t="shared" si="26"/>
        <v>1.4437028438769595E-2</v>
      </c>
      <c r="D233" s="133">
        <v>21741.9</v>
      </c>
      <c r="E233" s="133">
        <f t="shared" si="27"/>
        <v>4.8317181589774272E-4</v>
      </c>
      <c r="F233" s="135">
        <v>17274.3</v>
      </c>
      <c r="G233" s="67">
        <f t="shared" si="28"/>
        <v>-2.4055967535587475E-2</v>
      </c>
      <c r="W233" s="2">
        <v>45292</v>
      </c>
      <c r="X233" s="3">
        <f t="shared" si="29"/>
        <v>699.15</v>
      </c>
      <c r="Y233" s="119">
        <f t="shared" si="30"/>
        <v>1.4437028438769595E-2</v>
      </c>
      <c r="Z233" s="1"/>
      <c r="AA233" s="1"/>
      <c r="AB233" s="1"/>
      <c r="AC233" s="1"/>
      <c r="AD233" s="1"/>
      <c r="AE233" s="1"/>
      <c r="AF233" s="1"/>
      <c r="AG233" s="1"/>
      <c r="AH233" s="1"/>
      <c r="AI233" s="1"/>
      <c r="AJ233" s="1"/>
      <c r="AK233" s="1"/>
    </row>
    <row r="234" spans="1:37">
      <c r="A234" s="134">
        <v>45289</v>
      </c>
      <c r="B234" s="133">
        <v>689.2</v>
      </c>
      <c r="C234" s="133">
        <f t="shared" si="26"/>
        <v>4.0792540792542464E-3</v>
      </c>
      <c r="D234" s="133">
        <v>21731.4</v>
      </c>
      <c r="E234" s="133">
        <f t="shared" si="27"/>
        <v>-2.1718468044464867E-3</v>
      </c>
      <c r="F234" s="135">
        <v>16858.75</v>
      </c>
      <c r="G234" s="67">
        <f t="shared" si="28"/>
        <v>-1.5985764069104125E-3</v>
      </c>
      <c r="W234" s="2">
        <v>45289</v>
      </c>
      <c r="X234" s="3">
        <f t="shared" si="29"/>
        <v>689.2</v>
      </c>
      <c r="Y234" s="119">
        <f t="shared" si="30"/>
        <v>4.0792540792542464E-3</v>
      </c>
      <c r="Z234" s="1"/>
      <c r="AA234" s="1"/>
      <c r="AB234" s="1"/>
      <c r="AC234" s="1"/>
      <c r="AD234" s="1"/>
      <c r="AE234" s="1"/>
      <c r="AF234" s="1"/>
      <c r="AG234" s="1"/>
      <c r="AH234" s="1"/>
      <c r="AI234" s="1"/>
      <c r="AJ234" s="1"/>
      <c r="AK234" s="1"/>
    </row>
    <row r="235" spans="1:37">
      <c r="A235" s="134">
        <v>45288</v>
      </c>
      <c r="B235" s="133">
        <v>686.4</v>
      </c>
      <c r="C235" s="133">
        <f t="shared" si="26"/>
        <v>-3.2672620344151859E-3</v>
      </c>
      <c r="D235" s="133">
        <v>21778.7</v>
      </c>
      <c r="E235" s="133">
        <f t="shared" si="27"/>
        <v>5.7239173853311787E-3</v>
      </c>
      <c r="F235" s="135">
        <v>16831.8</v>
      </c>
      <c r="G235" s="67">
        <f t="shared" si="28"/>
        <v>1.7258997849307622E-3</v>
      </c>
      <c r="W235" s="2">
        <v>45288</v>
      </c>
      <c r="X235" s="3">
        <f t="shared" si="29"/>
        <v>686.4</v>
      </c>
      <c r="Y235" s="119">
        <f t="shared" si="30"/>
        <v>-3.2672620344151859E-3</v>
      </c>
      <c r="Z235" s="1"/>
      <c r="AA235" s="1"/>
      <c r="AB235" s="1"/>
      <c r="AC235" s="1"/>
      <c r="AD235" s="1"/>
      <c r="AE235" s="1"/>
      <c r="AF235" s="1"/>
      <c r="AG235" s="1"/>
      <c r="AH235" s="1"/>
      <c r="AI235" s="1"/>
      <c r="AJ235" s="1"/>
      <c r="AK235" s="1"/>
    </row>
    <row r="236" spans="1:37">
      <c r="A236" s="134">
        <v>45287</v>
      </c>
      <c r="B236" s="133">
        <v>688.65</v>
      </c>
      <c r="C236" s="133">
        <f t="shared" si="26"/>
        <v>1.8411712511091194E-2</v>
      </c>
      <c r="D236" s="133">
        <v>21654.75</v>
      </c>
      <c r="E236" s="133">
        <f t="shared" si="27"/>
        <v>9.9527315211029865E-3</v>
      </c>
      <c r="F236" s="135">
        <v>16860.849999999999</v>
      </c>
      <c r="G236" s="67">
        <f t="shared" si="28"/>
        <v>-1.215241224493413E-2</v>
      </c>
      <c r="W236" s="2">
        <v>45287</v>
      </c>
      <c r="X236" s="3">
        <f t="shared" si="29"/>
        <v>688.65</v>
      </c>
      <c r="Y236" s="119">
        <f t="shared" si="30"/>
        <v>1.8411712511091194E-2</v>
      </c>
      <c r="Z236" s="1"/>
      <c r="AA236" s="1"/>
      <c r="AB236" s="1"/>
      <c r="AC236" s="1"/>
      <c r="AD236" s="1"/>
      <c r="AE236" s="1"/>
      <c r="AF236" s="1"/>
      <c r="AG236" s="1"/>
      <c r="AH236" s="1"/>
      <c r="AI236" s="1"/>
      <c r="AJ236" s="1"/>
      <c r="AK236" s="1"/>
    </row>
    <row r="237" spans="1:37">
      <c r="A237" s="134">
        <v>45286</v>
      </c>
      <c r="B237" s="133">
        <v>676.2</v>
      </c>
      <c r="C237" s="133">
        <f t="shared" si="26"/>
        <v>-5.5151114052504058E-3</v>
      </c>
      <c r="D237" s="133">
        <v>21441.35</v>
      </c>
      <c r="E237" s="133">
        <f t="shared" si="27"/>
        <v>4.306912606443225E-3</v>
      </c>
      <c r="F237" s="135">
        <v>16655.95</v>
      </c>
      <c r="G237" s="67">
        <f t="shared" si="28"/>
        <v>-5.6046037602179855E-3</v>
      </c>
      <c r="W237" s="2">
        <v>45286</v>
      </c>
      <c r="X237" s="3">
        <f t="shared" si="29"/>
        <v>676.2</v>
      </c>
      <c r="Y237" s="119">
        <f t="shared" si="30"/>
        <v>-5.5151114052504058E-3</v>
      </c>
      <c r="Z237" s="1"/>
      <c r="AA237" s="1"/>
      <c r="AB237" s="1"/>
      <c r="AC237" s="1"/>
      <c r="AD237" s="1"/>
      <c r="AE237" s="1"/>
      <c r="AF237" s="1"/>
      <c r="AG237" s="1"/>
      <c r="AH237" s="1"/>
      <c r="AI237" s="1"/>
      <c r="AJ237" s="1"/>
      <c r="AK237" s="1"/>
    </row>
    <row r="238" spans="1:37">
      <c r="A238" s="134">
        <v>45282</v>
      </c>
      <c r="B238" s="133">
        <v>679.95</v>
      </c>
      <c r="C238" s="133">
        <f t="shared" si="26"/>
        <v>1.2659170452006929E-2</v>
      </c>
      <c r="D238" s="133">
        <v>21349.4</v>
      </c>
      <c r="E238" s="133">
        <f t="shared" si="27"/>
        <v>4.4389450977533329E-3</v>
      </c>
      <c r="F238" s="135">
        <v>16562.599999999999</v>
      </c>
      <c r="G238" s="67">
        <f t="shared" si="28"/>
        <v>-1.0158429232125399E-2</v>
      </c>
      <c r="W238" s="2">
        <v>45282</v>
      </c>
      <c r="X238" s="3">
        <f t="shared" si="29"/>
        <v>679.95</v>
      </c>
      <c r="Y238" s="119">
        <f t="shared" si="30"/>
        <v>1.2659170452006929E-2</v>
      </c>
      <c r="Z238" s="1"/>
      <c r="AA238" s="1"/>
      <c r="AB238" s="1"/>
      <c r="AC238" s="1"/>
      <c r="AD238" s="1"/>
      <c r="AE238" s="1"/>
      <c r="AF238" s="1"/>
      <c r="AG238" s="1"/>
      <c r="AH238" s="1"/>
      <c r="AI238" s="1"/>
      <c r="AJ238" s="1"/>
      <c r="AK238" s="1"/>
    </row>
    <row r="239" spans="1:37">
      <c r="A239" s="134">
        <v>45281</v>
      </c>
      <c r="B239" s="133">
        <v>671.45</v>
      </c>
      <c r="C239" s="133">
        <f t="shared" si="26"/>
        <v>1.1600753295668564E-2</v>
      </c>
      <c r="D239" s="133">
        <v>21255.05</v>
      </c>
      <c r="E239" s="133">
        <f t="shared" si="27"/>
        <v>4.9597756989903097E-3</v>
      </c>
      <c r="F239" s="135">
        <v>16394.349999999999</v>
      </c>
      <c r="G239" s="67">
        <f t="shared" si="28"/>
        <v>-9.5276726433191072E-3</v>
      </c>
      <c r="W239" s="2">
        <v>45281</v>
      </c>
      <c r="X239" s="3">
        <f t="shared" si="29"/>
        <v>671.45</v>
      </c>
      <c r="Y239" s="119">
        <f t="shared" si="30"/>
        <v>1.1600753295668564E-2</v>
      </c>
      <c r="Z239" s="1"/>
      <c r="AA239" s="1"/>
      <c r="AB239" s="1"/>
      <c r="AC239" s="1"/>
      <c r="AD239" s="1"/>
      <c r="AE239" s="1"/>
      <c r="AF239" s="1"/>
      <c r="AG239" s="1"/>
      <c r="AH239" s="1"/>
      <c r="AI239" s="1"/>
      <c r="AJ239" s="1"/>
      <c r="AK239" s="1"/>
    </row>
    <row r="240" spans="1:37">
      <c r="A240" s="134">
        <v>45280</v>
      </c>
      <c r="B240" s="133">
        <v>663.75</v>
      </c>
      <c r="C240" s="133">
        <f t="shared" si="26"/>
        <v>-3.2222789239629734E-2</v>
      </c>
      <c r="D240" s="133">
        <v>21150.15</v>
      </c>
      <c r="E240" s="133">
        <f t="shared" si="27"/>
        <v>-1.4121502253753415E-2</v>
      </c>
      <c r="F240" s="135">
        <v>16238.15</v>
      </c>
      <c r="G240" s="67">
        <f t="shared" si="28"/>
        <v>-7.1990959561279988E-3</v>
      </c>
      <c r="W240" s="2">
        <v>45280</v>
      </c>
      <c r="X240" s="3">
        <f t="shared" si="29"/>
        <v>663.75</v>
      </c>
      <c r="Y240" s="119">
        <f t="shared" si="30"/>
        <v>-3.2222789239629734E-2</v>
      </c>
      <c r="Z240" s="1"/>
      <c r="AA240" s="1"/>
      <c r="AB240" s="1"/>
      <c r="AC240" s="1"/>
      <c r="AD240" s="1"/>
      <c r="AE240" s="1"/>
      <c r="AF240" s="1"/>
      <c r="AG240" s="1"/>
      <c r="AH240" s="1"/>
      <c r="AI240" s="1"/>
      <c r="AJ240" s="1"/>
      <c r="AK240" s="1"/>
    </row>
    <row r="241" spans="1:37">
      <c r="A241" s="134">
        <v>45279</v>
      </c>
      <c r="B241" s="133">
        <v>685.85</v>
      </c>
      <c r="C241" s="133">
        <f t="shared" si="26"/>
        <v>7.7137819570967103E-3</v>
      </c>
      <c r="D241" s="133">
        <v>21453.1</v>
      </c>
      <c r="E241" s="133">
        <f t="shared" si="27"/>
        <v>1.6084113611267714E-3</v>
      </c>
      <c r="F241" s="135">
        <v>16121.25</v>
      </c>
      <c r="G241" s="67">
        <f t="shared" si="28"/>
        <v>1.6748080949057886E-2</v>
      </c>
      <c r="W241" s="2">
        <v>45279</v>
      </c>
      <c r="X241" s="3">
        <f t="shared" si="29"/>
        <v>685.85</v>
      </c>
      <c r="Y241" s="119">
        <f t="shared" si="30"/>
        <v>7.7137819570967103E-3</v>
      </c>
      <c r="Z241" s="1"/>
      <c r="AA241" s="1"/>
      <c r="AB241" s="1"/>
      <c r="AC241" s="1"/>
      <c r="AD241" s="1"/>
      <c r="AE241" s="1"/>
      <c r="AF241" s="1"/>
      <c r="AG241" s="1"/>
      <c r="AH241" s="1"/>
      <c r="AI241" s="1"/>
      <c r="AJ241" s="1"/>
      <c r="AK241" s="1"/>
    </row>
    <row r="242" spans="1:37">
      <c r="A242" s="134">
        <v>45278</v>
      </c>
      <c r="B242" s="133">
        <v>680.6</v>
      </c>
      <c r="C242" s="133">
        <f t="shared" si="26"/>
        <v>5.3723486607833992E-2</v>
      </c>
      <c r="D242" s="133">
        <v>21418.65</v>
      </c>
      <c r="E242" s="133">
        <f t="shared" si="27"/>
        <v>-1.7710127163373945E-3</v>
      </c>
      <c r="F242" s="135">
        <v>16391.25</v>
      </c>
      <c r="G242" s="67">
        <f t="shared" si="28"/>
        <v>-3.6055822466255494E-3</v>
      </c>
      <c r="W242" s="2">
        <v>45278</v>
      </c>
      <c r="X242" s="3">
        <f t="shared" si="29"/>
        <v>680.6</v>
      </c>
      <c r="Y242" s="119">
        <f t="shared" si="30"/>
        <v>5.3723486607833992E-2</v>
      </c>
      <c r="Z242" s="1"/>
      <c r="AA242" s="1"/>
      <c r="AB242" s="1"/>
      <c r="AC242" s="1"/>
      <c r="AD242" s="1"/>
      <c r="AE242" s="1"/>
      <c r="AF242" s="1"/>
      <c r="AG242" s="1"/>
      <c r="AH242" s="1"/>
      <c r="AI242" s="1"/>
      <c r="AJ242" s="1"/>
      <c r="AK242" s="1"/>
    </row>
    <row r="243" spans="1:37">
      <c r="A243" s="134">
        <v>45275</v>
      </c>
      <c r="B243" s="133">
        <v>645.9</v>
      </c>
      <c r="C243" s="133">
        <f t="shared" si="26"/>
        <v>3.2618825722274813E-3</v>
      </c>
      <c r="D243" s="133">
        <v>21456.65</v>
      </c>
      <c r="E243" s="133">
        <f t="shared" si="27"/>
        <v>1.2932723401643864E-2</v>
      </c>
      <c r="F243" s="135">
        <v>16332.15</v>
      </c>
      <c r="G243" s="67">
        <f t="shared" si="28"/>
        <v>-9.3282268409241587E-3</v>
      </c>
      <c r="W243" s="2">
        <v>45275</v>
      </c>
      <c r="X243" s="3">
        <f t="shared" si="29"/>
        <v>645.9</v>
      </c>
      <c r="Y243" s="119">
        <f t="shared" si="30"/>
        <v>3.2618825722274813E-3</v>
      </c>
      <c r="Z243" s="1"/>
      <c r="AA243" s="1"/>
      <c r="AB243" s="1"/>
      <c r="AC243" s="1"/>
      <c r="AD243" s="1"/>
      <c r="AE243" s="1"/>
      <c r="AF243" s="1"/>
      <c r="AG243" s="1"/>
      <c r="AH243" s="1"/>
      <c r="AI243" s="1"/>
      <c r="AJ243" s="1"/>
      <c r="AK243" s="1"/>
    </row>
    <row r="244" spans="1:37">
      <c r="A244" s="134">
        <v>45274</v>
      </c>
      <c r="B244" s="133">
        <v>643.79999999999995</v>
      </c>
      <c r="C244" s="133">
        <f t="shared" si="26"/>
        <v>2.1793275217931729E-3</v>
      </c>
      <c r="D244" s="133">
        <v>21182.7</v>
      </c>
      <c r="E244" s="133">
        <f t="shared" si="27"/>
        <v>1.2250105727946048E-2</v>
      </c>
      <c r="F244" s="135">
        <v>16179.8</v>
      </c>
      <c r="G244" s="67">
        <f t="shared" si="28"/>
        <v>-1.489511613246064E-3</v>
      </c>
      <c r="W244" s="2">
        <v>45274</v>
      </c>
      <c r="X244" s="3">
        <f t="shared" si="29"/>
        <v>643.79999999999995</v>
      </c>
      <c r="Y244" s="119">
        <f t="shared" si="30"/>
        <v>2.1793275217931729E-3</v>
      </c>
      <c r="Z244" s="1"/>
      <c r="AA244" s="1"/>
      <c r="AB244" s="1"/>
      <c r="AC244" s="1"/>
      <c r="AD244" s="1"/>
      <c r="AE244" s="1"/>
      <c r="AF244" s="1"/>
      <c r="AG244" s="1"/>
      <c r="AH244" s="1"/>
      <c r="AI244" s="1"/>
      <c r="AJ244" s="1"/>
      <c r="AK244" s="1"/>
    </row>
    <row r="245" spans="1:37">
      <c r="A245" s="134">
        <v>45273</v>
      </c>
      <c r="B245" s="133">
        <v>642.4</v>
      </c>
      <c r="C245" s="133">
        <f t="shared" si="26"/>
        <v>1.1016682404784373E-2</v>
      </c>
      <c r="D245" s="133">
        <v>20926.349999999999</v>
      </c>
      <c r="E245" s="133">
        <f t="shared" si="27"/>
        <v>9.5425324302600423E-4</v>
      </c>
      <c r="F245" s="135">
        <v>16155.7</v>
      </c>
      <c r="G245" s="67">
        <f t="shared" si="28"/>
        <v>-8.2323885687407561E-4</v>
      </c>
      <c r="W245" s="2">
        <v>45273</v>
      </c>
      <c r="X245" s="3">
        <f t="shared" si="29"/>
        <v>642.4</v>
      </c>
      <c r="Y245" s="119">
        <f t="shared" si="30"/>
        <v>1.1016682404784373E-2</v>
      </c>
      <c r="Z245" s="1"/>
      <c r="AA245" s="1"/>
      <c r="AB245" s="1"/>
      <c r="AC245" s="1"/>
      <c r="AD245" s="1"/>
      <c r="AE245" s="1"/>
      <c r="AF245" s="1"/>
      <c r="AG245" s="1"/>
      <c r="AH245" s="1"/>
      <c r="AI245" s="1"/>
      <c r="AJ245" s="1"/>
      <c r="AK245" s="1"/>
    </row>
    <row r="246" spans="1:37">
      <c r="A246" s="134">
        <v>45272</v>
      </c>
      <c r="B246" s="133">
        <v>635.4</v>
      </c>
      <c r="C246" s="133">
        <f t="shared" si="26"/>
        <v>2.8409090909089496E-3</v>
      </c>
      <c r="D246" s="133">
        <v>20906.400000000001</v>
      </c>
      <c r="E246" s="133">
        <f t="shared" si="27"/>
        <v>-4.3196441413336784E-3</v>
      </c>
      <c r="F246" s="135">
        <v>16142.4</v>
      </c>
      <c r="G246" s="67">
        <f t="shared" si="28"/>
        <v>-1.1082614728912699E-2</v>
      </c>
      <c r="W246" s="2">
        <v>45272</v>
      </c>
      <c r="X246" s="3">
        <f t="shared" si="29"/>
        <v>635.4</v>
      </c>
      <c r="Y246" s="119">
        <f t="shared" si="30"/>
        <v>2.8409090909089496E-3</v>
      </c>
      <c r="Z246" s="1"/>
      <c r="AA246" s="1"/>
      <c r="AB246" s="1"/>
      <c r="AC246" s="1"/>
      <c r="AD246" s="1"/>
      <c r="AE246" s="1"/>
      <c r="AF246" s="1"/>
      <c r="AG246" s="1"/>
      <c r="AH246" s="1"/>
      <c r="AI246" s="1"/>
      <c r="AJ246" s="1"/>
      <c r="AK246" s="1"/>
    </row>
    <row r="247" spans="1:37">
      <c r="A247" s="134">
        <v>45271</v>
      </c>
      <c r="B247" s="133">
        <v>633.6</v>
      </c>
      <c r="C247" s="133">
        <f t="shared" si="26"/>
        <v>-7.7519379844960268E-3</v>
      </c>
      <c r="D247" s="133">
        <v>20997.1</v>
      </c>
      <c r="E247" s="133">
        <f t="shared" si="27"/>
        <v>1.3209724646388032E-3</v>
      </c>
      <c r="F247" s="135">
        <v>15963.5</v>
      </c>
      <c r="G247" s="67">
        <f t="shared" si="28"/>
        <v>4.7859178751525899E-3</v>
      </c>
      <c r="W247" s="2">
        <v>45271</v>
      </c>
      <c r="X247" s="3">
        <f t="shared" si="29"/>
        <v>633.6</v>
      </c>
      <c r="Y247" s="119">
        <f t="shared" si="30"/>
        <v>-7.7519379844960268E-3</v>
      </c>
      <c r="Z247" s="1"/>
      <c r="AA247" s="1"/>
      <c r="AB247" s="1"/>
      <c r="AC247" s="1"/>
      <c r="AD247" s="1"/>
      <c r="AE247" s="1"/>
      <c r="AF247" s="1"/>
      <c r="AG247" s="1"/>
      <c r="AH247" s="1"/>
      <c r="AI247" s="1"/>
      <c r="AJ247" s="1"/>
      <c r="AK247" s="1"/>
    </row>
    <row r="248" spans="1:37">
      <c r="A248" s="134">
        <v>45268</v>
      </c>
      <c r="B248" s="133">
        <v>638.54999999999995</v>
      </c>
      <c r="C248" s="133">
        <f t="shared" si="26"/>
        <v>-2.9485523216050025E-2</v>
      </c>
      <c r="D248" s="133">
        <v>20969.400000000001</v>
      </c>
      <c r="E248" s="133">
        <f t="shared" si="27"/>
        <v>3.2653705657343934E-3</v>
      </c>
      <c r="F248" s="135">
        <v>16039.9</v>
      </c>
      <c r="G248" s="67">
        <f t="shared" si="28"/>
        <v>7.683963116976944E-3</v>
      </c>
      <c r="W248" s="2">
        <v>45268</v>
      </c>
      <c r="X248" s="3">
        <f t="shared" si="29"/>
        <v>638.54999999999995</v>
      </c>
      <c r="Y248" s="119">
        <f t="shared" si="30"/>
        <v>-2.9485523216050025E-2</v>
      </c>
      <c r="Z248" s="1"/>
      <c r="AA248" s="1"/>
      <c r="AB248" s="1"/>
      <c r="AC248" s="1"/>
      <c r="AD248" s="1"/>
      <c r="AE248" s="1"/>
      <c r="AF248" s="1"/>
      <c r="AG248" s="1"/>
      <c r="AH248" s="1"/>
      <c r="AI248" s="1"/>
      <c r="AJ248" s="1"/>
      <c r="AK248" s="1"/>
    </row>
    <row r="249" spans="1:37">
      <c r="A249" s="134">
        <v>45267</v>
      </c>
      <c r="B249" s="133">
        <v>657.95</v>
      </c>
      <c r="C249" s="133">
        <f t="shared" si="26"/>
        <v>3.5407978597844059E-2</v>
      </c>
      <c r="D249" s="133">
        <v>20901.150000000001</v>
      </c>
      <c r="E249" s="133">
        <f t="shared" si="27"/>
        <v>-1.7456549668778409E-3</v>
      </c>
      <c r="F249" s="135">
        <v>16163.15</v>
      </c>
      <c r="G249" s="67">
        <f t="shared" si="28"/>
        <v>8.1079492549411825E-3</v>
      </c>
      <c r="W249" s="2">
        <v>45267</v>
      </c>
      <c r="X249" s="3">
        <f t="shared" si="29"/>
        <v>657.95</v>
      </c>
      <c r="Y249" s="119">
        <f t="shared" si="30"/>
        <v>3.5407978597844059E-2</v>
      </c>
      <c r="Z249" s="1"/>
      <c r="AA249" s="1"/>
      <c r="AB249" s="1"/>
      <c r="AC249" s="1"/>
      <c r="AD249" s="1"/>
      <c r="AE249" s="1"/>
      <c r="AF249" s="1"/>
      <c r="AG249" s="1"/>
      <c r="AH249" s="1"/>
      <c r="AI249" s="1"/>
      <c r="AJ249" s="1"/>
      <c r="AK249" s="1"/>
    </row>
    <row r="250" spans="1:37">
      <c r="A250" s="134">
        <v>45266</v>
      </c>
      <c r="B250" s="133">
        <v>635.45000000000005</v>
      </c>
      <c r="C250" s="133">
        <f t="shared" si="26"/>
        <v>2.2080277580633911E-3</v>
      </c>
      <c r="D250" s="133">
        <v>20937.7</v>
      </c>
      <c r="E250" s="133">
        <f t="shared" si="27"/>
        <v>3.9606619004464161E-3</v>
      </c>
      <c r="F250" s="135">
        <v>16294.2</v>
      </c>
      <c r="G250" s="67">
        <f t="shared" si="28"/>
        <v>-7.6499613359355401E-3</v>
      </c>
      <c r="W250" s="2">
        <v>45266</v>
      </c>
      <c r="X250" s="3">
        <f t="shared" si="29"/>
        <v>635.45000000000005</v>
      </c>
      <c r="Y250" s="119">
        <f t="shared" si="30"/>
        <v>2.2080277580633911E-3</v>
      </c>
      <c r="Z250" s="1"/>
      <c r="AA250" s="1"/>
      <c r="AB250" s="1"/>
      <c r="AC250" s="1"/>
      <c r="AD250" s="1"/>
      <c r="AE250" s="1"/>
      <c r="AF250" s="1"/>
      <c r="AG250" s="1"/>
      <c r="AH250" s="1"/>
      <c r="AI250" s="1"/>
      <c r="AJ250" s="1"/>
      <c r="AK250" s="1"/>
    </row>
    <row r="251" spans="1:37">
      <c r="A251" s="134">
        <v>45265</v>
      </c>
      <c r="B251" s="133">
        <v>634.04999999999995</v>
      </c>
      <c r="C251" s="133">
        <f t="shared" si="26"/>
        <v>1.0262077676033154E-3</v>
      </c>
      <c r="D251" s="133">
        <v>20855.099999999999</v>
      </c>
      <c r="E251" s="133">
        <f t="shared" si="27"/>
        <v>8.1356227159348204E-3</v>
      </c>
      <c r="F251" s="135">
        <v>16169.55</v>
      </c>
      <c r="G251" s="67">
        <f t="shared" si="28"/>
        <v>3.7168628687873628E-3</v>
      </c>
      <c r="W251" s="2">
        <v>45265</v>
      </c>
      <c r="X251" s="3">
        <f t="shared" si="29"/>
        <v>634.04999999999995</v>
      </c>
      <c r="Y251" s="119">
        <f t="shared" si="30"/>
        <v>1.0262077676033154E-3</v>
      </c>
      <c r="Z251" s="1"/>
      <c r="AA251" s="1"/>
      <c r="AB251" s="1"/>
      <c r="AC251" s="1"/>
      <c r="AD251" s="1"/>
      <c r="AE251" s="1"/>
      <c r="AF251" s="1"/>
      <c r="AG251" s="1"/>
      <c r="AH251" s="1"/>
      <c r="AI251" s="1"/>
      <c r="AJ251" s="1"/>
      <c r="AK251" s="1"/>
    </row>
    <row r="252" spans="1:37">
      <c r="A252" s="134">
        <v>45264</v>
      </c>
      <c r="B252" s="133">
        <v>633.4</v>
      </c>
      <c r="C252" s="133">
        <f t="shared" si="26"/>
        <v>-9.8483664217603462E-3</v>
      </c>
      <c r="D252" s="133">
        <v>20686.8</v>
      </c>
      <c r="E252" s="133">
        <f t="shared" si="27"/>
        <v>2.0668150129021567E-2</v>
      </c>
      <c r="F252" s="135">
        <v>16229.65</v>
      </c>
      <c r="G252" s="67">
        <f t="shared" si="28"/>
        <v>-7.7019529071797876E-5</v>
      </c>
      <c r="W252" s="2">
        <v>45264</v>
      </c>
      <c r="X252" s="3">
        <f t="shared" si="29"/>
        <v>633.4</v>
      </c>
      <c r="Y252" s="119">
        <f t="shared" si="30"/>
        <v>-9.8483664217603462E-3</v>
      </c>
      <c r="Z252" s="1"/>
      <c r="AA252" s="1"/>
      <c r="AB252" s="1"/>
      <c r="AC252" s="1"/>
      <c r="AD252" s="1"/>
      <c r="AE252" s="1"/>
      <c r="AF252" s="1"/>
      <c r="AG252" s="1"/>
      <c r="AH252" s="1"/>
      <c r="AI252" s="1"/>
      <c r="AJ252" s="1"/>
      <c r="AK252" s="1"/>
    </row>
    <row r="253" spans="1:37">
      <c r="A253" s="134">
        <v>45261</v>
      </c>
      <c r="B253" s="133">
        <v>639.70000000000005</v>
      </c>
      <c r="C253" s="133">
        <f t="shared" si="26"/>
        <v>3.3722845267039059E-3</v>
      </c>
      <c r="D253" s="133">
        <v>20267.900000000001</v>
      </c>
      <c r="E253" s="133">
        <f t="shared" si="27"/>
        <v>6.6929417403636116E-3</v>
      </c>
      <c r="F253" s="135">
        <v>16228.4</v>
      </c>
      <c r="G253" s="67">
        <f t="shared" si="28"/>
        <v>1.7654235784181349E-3</v>
      </c>
      <c r="W253" s="2">
        <v>45261</v>
      </c>
      <c r="X253" s="3">
        <f t="shared" si="29"/>
        <v>639.70000000000005</v>
      </c>
      <c r="Y253" s="119">
        <f t="shared" si="30"/>
        <v>3.3722845267039059E-3</v>
      </c>
      <c r="Z253" s="1"/>
      <c r="AA253" s="1"/>
      <c r="AB253" s="1"/>
      <c r="AC253" s="1"/>
      <c r="AD253" s="1"/>
      <c r="AE253" s="1"/>
      <c r="AF253" s="1"/>
      <c r="AG253" s="1"/>
      <c r="AH253" s="1"/>
      <c r="AI253" s="1"/>
      <c r="AJ253" s="1"/>
      <c r="AK253" s="1"/>
    </row>
    <row r="254" spans="1:37">
      <c r="A254" s="134">
        <v>45260</v>
      </c>
      <c r="B254" s="133">
        <v>637.54999999999995</v>
      </c>
      <c r="C254" s="133">
        <f t="shared" si="26"/>
        <v>3.9366978978032652E-3</v>
      </c>
      <c r="D254" s="133">
        <v>20133.150000000001</v>
      </c>
      <c r="E254" s="133">
        <f t="shared" si="27"/>
        <v>1.8187156036346686E-3</v>
      </c>
      <c r="F254" s="135">
        <v>16257.05</v>
      </c>
      <c r="G254" s="67">
        <f t="shared" si="28"/>
        <v>-1.1164387142809096E-3</v>
      </c>
      <c r="W254" s="2">
        <v>45260</v>
      </c>
      <c r="X254" s="3">
        <f t="shared" si="29"/>
        <v>637.54999999999995</v>
      </c>
      <c r="Y254" s="119">
        <f t="shared" si="30"/>
        <v>3.9366978978032652E-3</v>
      </c>
      <c r="Z254" s="1"/>
      <c r="AA254" s="1"/>
      <c r="AB254" s="1"/>
      <c r="AC254" s="1"/>
      <c r="AD254" s="1"/>
      <c r="AE254" s="1"/>
      <c r="AF254" s="1"/>
      <c r="AG254" s="1"/>
      <c r="AH254" s="1"/>
      <c r="AI254" s="1"/>
      <c r="AJ254" s="1"/>
      <c r="AK254" s="1"/>
    </row>
    <row r="255" spans="1:37">
      <c r="A255" s="134">
        <v>45259</v>
      </c>
      <c r="B255" s="133">
        <v>635.04999999999995</v>
      </c>
      <c r="C255" s="133">
        <f t="shared" si="26"/>
        <v>8.3359796760875682E-3</v>
      </c>
      <c r="D255" s="133">
        <v>20096.599999999999</v>
      </c>
      <c r="E255" s="133">
        <f t="shared" si="27"/>
        <v>1.04023690653956E-2</v>
      </c>
      <c r="F255" s="135">
        <v>16238.9</v>
      </c>
      <c r="G255" s="67">
        <f t="shared" si="28"/>
        <v>-1.5321234812702755E-2</v>
      </c>
      <c r="W255" s="2">
        <v>45259</v>
      </c>
      <c r="X255" s="3">
        <f t="shared" si="29"/>
        <v>635.04999999999995</v>
      </c>
      <c r="Y255" s="119">
        <f t="shared" si="30"/>
        <v>8.3359796760875682E-3</v>
      </c>
      <c r="Z255" s="1"/>
      <c r="AA255" s="1"/>
      <c r="AB255" s="1"/>
      <c r="AC255" s="1"/>
      <c r="AD255" s="1"/>
      <c r="AE255" s="1"/>
      <c r="AF255" s="1"/>
      <c r="AG255" s="1"/>
      <c r="AH255" s="1"/>
      <c r="AI255" s="1"/>
      <c r="AJ255" s="1"/>
      <c r="AK255" s="1"/>
    </row>
    <row r="256" spans="1:37">
      <c r="A256" s="134">
        <v>45258</v>
      </c>
      <c r="B256" s="133">
        <v>629.79999999999995</v>
      </c>
      <c r="C256" s="133">
        <f t="shared" si="26"/>
        <v>-1.5783716205657217E-2</v>
      </c>
      <c r="D256" s="133">
        <v>19889.7</v>
      </c>
      <c r="E256" s="133">
        <f t="shared" si="27"/>
        <v>4.7992644495749026E-3</v>
      </c>
      <c r="F256" s="135">
        <v>15990.1</v>
      </c>
      <c r="G256" s="67">
        <f t="shared" si="28"/>
        <v>-5.6159748844598623E-3</v>
      </c>
      <c r="W256" s="2">
        <v>45258</v>
      </c>
      <c r="X256" s="3">
        <f t="shared" si="29"/>
        <v>629.79999999999995</v>
      </c>
      <c r="Y256" s="119">
        <f t="shared" si="30"/>
        <v>-1.5783716205657217E-2</v>
      </c>
      <c r="Z256" s="1"/>
      <c r="AA256" s="1"/>
      <c r="AB256" s="1"/>
      <c r="AC256" s="1"/>
      <c r="AD256" s="1"/>
      <c r="AE256" s="1"/>
      <c r="AF256" s="1"/>
      <c r="AG256" s="1"/>
      <c r="AH256" s="1"/>
      <c r="AI256" s="1"/>
      <c r="AJ256" s="1"/>
      <c r="AK256" s="1"/>
    </row>
    <row r="257" spans="1:37">
      <c r="A257" s="134">
        <v>45254</v>
      </c>
      <c r="B257" s="133">
        <v>639.9</v>
      </c>
      <c r="C257" s="133">
        <f t="shared" si="26"/>
        <v>1.3141228625712431E-2</v>
      </c>
      <c r="D257" s="133">
        <v>19794.7</v>
      </c>
      <c r="E257" s="133">
        <f t="shared" si="27"/>
        <v>-3.6864963135030404E-4</v>
      </c>
      <c r="F257" s="136">
        <v>15900.3</v>
      </c>
      <c r="G257" s="137">
        <f t="shared" si="28"/>
        <v>3.4087407155840577E-3</v>
      </c>
      <c r="W257" s="2">
        <v>45254</v>
      </c>
      <c r="X257" s="3">
        <f t="shared" si="29"/>
        <v>639.9</v>
      </c>
      <c r="Y257" s="119">
        <f t="shared" si="30"/>
        <v>1.3141228625712431E-2</v>
      </c>
      <c r="Z257" s="1"/>
      <c r="AA257" s="1"/>
      <c r="AB257" s="1"/>
      <c r="AC257" s="1"/>
      <c r="AD257" s="1"/>
      <c r="AE257" s="1"/>
      <c r="AF257" s="1"/>
      <c r="AG257" s="1"/>
      <c r="AH257" s="1"/>
      <c r="AI257" s="1"/>
      <c r="AJ257" s="1"/>
      <c r="AK257" s="1"/>
    </row>
    <row r="258" spans="1:37">
      <c r="A258" s="134">
        <v>45253</v>
      </c>
      <c r="B258" s="133">
        <v>631.6</v>
      </c>
      <c r="C258" s="133">
        <f t="shared" si="26"/>
        <v>-1.6275990966435505E-2</v>
      </c>
      <c r="D258" s="133">
        <v>19802</v>
      </c>
      <c r="E258" s="133">
        <f t="shared" si="27"/>
        <v>-4.971771944567438E-4</v>
      </c>
      <c r="F258" s="135">
        <v>15954.5</v>
      </c>
      <c r="G258" s="67">
        <f t="shared" si="28"/>
        <v>-8.5900529631137701E-3</v>
      </c>
      <c r="W258" s="2">
        <v>45253</v>
      </c>
      <c r="X258" s="3">
        <f t="shared" si="29"/>
        <v>631.6</v>
      </c>
      <c r="Y258" s="119">
        <f t="shared" si="30"/>
        <v>-1.6275990966435505E-2</v>
      </c>
      <c r="Z258" s="1"/>
      <c r="AA258" s="1"/>
      <c r="AB258" s="1"/>
      <c r="AC258" s="1"/>
      <c r="AD258" s="1"/>
      <c r="AE258" s="1"/>
      <c r="AF258" s="1"/>
      <c r="AG258" s="1"/>
      <c r="AH258" s="1"/>
      <c r="AI258" s="1"/>
      <c r="AJ258" s="1"/>
      <c r="AK258" s="1"/>
    </row>
    <row r="259" spans="1:37">
      <c r="A259" s="134">
        <v>45252</v>
      </c>
      <c r="B259" s="133">
        <v>642.04999999999995</v>
      </c>
      <c r="C259" s="133">
        <f t="shared" si="26"/>
        <v>4.6944683514591468E-3</v>
      </c>
      <c r="D259" s="133">
        <v>19811.849999999999</v>
      </c>
      <c r="E259" s="133">
        <f t="shared" si="27"/>
        <v>1.4380743451578581E-3</v>
      </c>
      <c r="F259" s="135">
        <v>15817.45</v>
      </c>
      <c r="G259" s="67">
        <f t="shared" si="28"/>
        <v>1.5953899016592388E-2</v>
      </c>
      <c r="W259" s="2">
        <v>45252</v>
      </c>
      <c r="X259" s="3">
        <f t="shared" si="29"/>
        <v>642.04999999999995</v>
      </c>
      <c r="Y259" s="119">
        <f t="shared" si="30"/>
        <v>4.6944683514591468E-3</v>
      </c>
      <c r="Z259" s="1"/>
      <c r="AA259" s="1"/>
      <c r="AB259" s="1"/>
      <c r="AC259" s="1"/>
      <c r="AD259" s="1"/>
      <c r="AE259" s="1"/>
      <c r="AF259" s="1"/>
      <c r="AG259" s="1"/>
      <c r="AH259" s="1"/>
      <c r="AI259" s="1"/>
      <c r="AJ259" s="1"/>
      <c r="AK259" s="1"/>
    </row>
    <row r="260" spans="1:37">
      <c r="A260" s="134">
        <v>45251</v>
      </c>
      <c r="B260" s="133">
        <v>639.04999999999995</v>
      </c>
      <c r="C260" s="133">
        <f t="shared" si="26"/>
        <v>4.7955974842766036E-3</v>
      </c>
      <c r="D260" s="133">
        <v>19783.400000000001</v>
      </c>
      <c r="E260" s="133">
        <f t="shared" si="27"/>
        <v>4.5394536407028507E-3</v>
      </c>
      <c r="F260" s="135">
        <v>16069.8</v>
      </c>
      <c r="G260" s="67">
        <f t="shared" si="28"/>
        <v>-6.2788584798815217E-3</v>
      </c>
      <c r="W260" s="2">
        <v>45251</v>
      </c>
      <c r="X260" s="3">
        <f t="shared" si="29"/>
        <v>639.04999999999995</v>
      </c>
      <c r="Y260" s="119">
        <f t="shared" si="30"/>
        <v>4.7955974842766036E-3</v>
      </c>
      <c r="Z260" s="1"/>
      <c r="AA260" s="1"/>
      <c r="AB260" s="1"/>
      <c r="AC260" s="1"/>
      <c r="AD260" s="1"/>
      <c r="AE260" s="1"/>
      <c r="AF260" s="1"/>
      <c r="AG260" s="1"/>
      <c r="AH260" s="1"/>
      <c r="AI260" s="1"/>
      <c r="AJ260" s="1"/>
      <c r="AK260" s="1"/>
    </row>
    <row r="261" spans="1:37">
      <c r="A261" s="134">
        <v>45250</v>
      </c>
      <c r="B261" s="133">
        <v>636</v>
      </c>
      <c r="C261" s="133">
        <f t="shared" si="26"/>
        <v>-8.6403267614476587E-4</v>
      </c>
      <c r="D261" s="133">
        <v>19694</v>
      </c>
      <c r="E261" s="133">
        <f t="shared" si="27"/>
        <v>-1.915689394784037E-3</v>
      </c>
      <c r="F261" s="135">
        <v>15968.9</v>
      </c>
      <c r="G261" s="67">
        <f t="shared" si="28"/>
        <v>-1.0154112055307474E-2</v>
      </c>
      <c r="W261" s="2">
        <v>45250</v>
      </c>
      <c r="X261" s="3">
        <f t="shared" si="29"/>
        <v>636</v>
      </c>
      <c r="Y261" s="1"/>
      <c r="Z261" s="1"/>
      <c r="AA261" s="1"/>
      <c r="AB261" s="1"/>
      <c r="AC261" s="1"/>
      <c r="AD261" s="1"/>
      <c r="AE261" s="1"/>
      <c r="AF261" s="1"/>
      <c r="AG261" s="1"/>
      <c r="AH261" s="1"/>
      <c r="AI261" s="1"/>
      <c r="AJ261" s="1"/>
      <c r="AK261" s="1"/>
    </row>
    <row r="262" spans="1:37">
      <c r="A262" s="134">
        <v>45247</v>
      </c>
      <c r="B262" s="133">
        <v>636.54999999999995</v>
      </c>
      <c r="C262" s="133">
        <f t="shared" si="26"/>
        <v>7.4384743214368498E-3</v>
      </c>
      <c r="D262" s="133">
        <v>19731.8</v>
      </c>
      <c r="E262" s="133">
        <f t="shared" si="27"/>
        <v>-1.6898387064133713E-3</v>
      </c>
      <c r="F262" s="136">
        <v>15806.75</v>
      </c>
      <c r="G262" s="137">
        <f t="shared" si="28"/>
        <v>-1.4234425166459452E-4</v>
      </c>
      <c r="W262" s="1"/>
      <c r="X262" s="1"/>
      <c r="Y262" s="1"/>
      <c r="Z262" s="1"/>
      <c r="AA262" s="1"/>
      <c r="AB262" s="1"/>
      <c r="AC262" s="1"/>
      <c r="AD262" s="1"/>
      <c r="AE262" s="1"/>
      <c r="AF262" s="1"/>
      <c r="AG262" s="1"/>
      <c r="AH262" s="1"/>
      <c r="AI262" s="1"/>
      <c r="AJ262" s="1"/>
      <c r="AK262" s="1"/>
    </row>
    <row r="263" spans="1:37">
      <c r="A263" s="134">
        <v>45246</v>
      </c>
      <c r="B263" s="133">
        <v>631.85</v>
      </c>
      <c r="C263" s="133">
        <f t="shared" si="26"/>
        <v>1.7226112855188047E-2</v>
      </c>
      <c r="D263" s="133">
        <v>19765.2</v>
      </c>
      <c r="E263" s="133">
        <f t="shared" si="27"/>
        <v>4.5615220998758144E-3</v>
      </c>
      <c r="F263" s="135">
        <v>15804.5</v>
      </c>
      <c r="G263" s="67">
        <f t="shared" si="28"/>
        <v>-9.7060963649593379E-3</v>
      </c>
    </row>
    <row r="264" spans="1:37">
      <c r="A264" s="134">
        <v>45245</v>
      </c>
      <c r="B264" s="133">
        <v>621.15</v>
      </c>
      <c r="C264" s="133">
        <f t="shared" si="26"/>
        <v>5.4767159034163626E-4</v>
      </c>
      <c r="D264" s="133">
        <v>19675.45</v>
      </c>
      <c r="E264" s="133">
        <f t="shared" si="27"/>
        <v>6.5404448627965905E-3</v>
      </c>
      <c r="F264" s="135">
        <v>15651.1</v>
      </c>
      <c r="G264" s="67">
        <f t="shared" si="28"/>
        <v>-8.6160078205366197E-3</v>
      </c>
    </row>
    <row r="265" spans="1:37">
      <c r="A265" s="134">
        <v>45244</v>
      </c>
      <c r="B265" s="154">
        <v>620.80999999999995</v>
      </c>
      <c r="C265" s="133">
        <f t="shared" ref="C265:C328" si="31">B265/B266-1</f>
        <v>9.0286174929454788E-4</v>
      </c>
      <c r="D265" s="133">
        <v>19547.599999999999</v>
      </c>
      <c r="E265" s="133">
        <f t="shared" ref="E265:E328" si="32">D265/D266-1</f>
        <v>5.3513890210377113E-3</v>
      </c>
      <c r="F265" s="135">
        <v>15516.25</v>
      </c>
      <c r="G265" s="67">
        <f t="shared" ref="G265:G328" si="33">F266/F265-1</f>
        <v>-1.230967534036953E-3</v>
      </c>
    </row>
    <row r="266" spans="1:37">
      <c r="A266" s="134">
        <v>45243</v>
      </c>
      <c r="B266" s="133">
        <v>620.25</v>
      </c>
      <c r="C266" s="133">
        <f t="shared" si="31"/>
        <v>-4.9731290607203382E-3</v>
      </c>
      <c r="D266" s="133">
        <v>19443.55</v>
      </c>
      <c r="E266" s="133">
        <f t="shared" si="32"/>
        <v>-4.1996256187405434E-3</v>
      </c>
      <c r="F266" s="136">
        <v>15497.15</v>
      </c>
      <c r="G266" s="137">
        <f t="shared" si="33"/>
        <v>1.2486166811316313E-3</v>
      </c>
    </row>
    <row r="267" spans="1:37">
      <c r="A267" s="134">
        <v>45242</v>
      </c>
      <c r="B267" s="133">
        <v>623.35</v>
      </c>
      <c r="C267" s="133">
        <f t="shared" si="31"/>
        <v>5.5654137764156175E-3</v>
      </c>
      <c r="D267" s="133">
        <v>19525.55</v>
      </c>
      <c r="E267" s="133">
        <f t="shared" si="32"/>
        <v>5.1582082176124811E-3</v>
      </c>
      <c r="F267" s="135">
        <v>15516.5</v>
      </c>
      <c r="G267" s="67">
        <f t="shared" si="33"/>
        <v>-1.588631456836298E-3</v>
      </c>
    </row>
    <row r="268" spans="1:37">
      <c r="A268" s="134">
        <v>45240</v>
      </c>
      <c r="B268" s="133">
        <v>619.9</v>
      </c>
      <c r="C268" s="133">
        <f t="shared" si="31"/>
        <v>1.2164258306800457E-2</v>
      </c>
      <c r="D268" s="133">
        <v>19425.349999999999</v>
      </c>
      <c r="E268" s="133">
        <f t="shared" si="32"/>
        <v>1.549344428804833E-3</v>
      </c>
      <c r="F268" s="135">
        <v>15491.85</v>
      </c>
      <c r="G268" s="67">
        <f t="shared" si="33"/>
        <v>3.4857037732738405E-4</v>
      </c>
    </row>
    <row r="269" spans="1:37">
      <c r="A269" s="134">
        <v>45239</v>
      </c>
      <c r="B269" s="133">
        <v>612.45000000000005</v>
      </c>
      <c r="C269" s="133">
        <f t="shared" si="31"/>
        <v>-2.039347408829173E-2</v>
      </c>
      <c r="D269" s="133">
        <v>19395.3</v>
      </c>
      <c r="E269" s="133">
        <f t="shared" si="32"/>
        <v>-2.4789775503382128E-3</v>
      </c>
      <c r="F269" s="135">
        <v>15497.25</v>
      </c>
      <c r="G269" s="67">
        <f t="shared" si="33"/>
        <v>-1.4550968720256852E-2</v>
      </c>
    </row>
    <row r="270" spans="1:37">
      <c r="A270" s="134">
        <v>45238</v>
      </c>
      <c r="B270" s="133">
        <v>625.20000000000005</v>
      </c>
      <c r="C270" s="133">
        <f t="shared" si="31"/>
        <v>4.6710195881466854E-2</v>
      </c>
      <c r="D270" s="133">
        <v>19443.5</v>
      </c>
      <c r="E270" s="133">
        <f t="shared" si="32"/>
        <v>1.8962523252279428E-3</v>
      </c>
      <c r="F270" s="135">
        <v>15271.75</v>
      </c>
      <c r="G270" s="67">
        <f t="shared" si="33"/>
        <v>-1.3060061878959583E-2</v>
      </c>
    </row>
    <row r="271" spans="1:37">
      <c r="A271" s="134">
        <v>45237</v>
      </c>
      <c r="B271" s="133">
        <v>597.29999999999995</v>
      </c>
      <c r="C271" s="133">
        <f t="shared" si="31"/>
        <v>2.1287509617850642E-2</v>
      </c>
      <c r="D271" s="133">
        <v>19406.7</v>
      </c>
      <c r="E271" s="133">
        <f t="shared" si="32"/>
        <v>-2.6015171223614519E-4</v>
      </c>
      <c r="F271" s="135">
        <v>15072.3</v>
      </c>
      <c r="G271" s="67">
        <f t="shared" si="33"/>
        <v>-1.2602588855051944E-2</v>
      </c>
    </row>
    <row r="272" spans="1:37">
      <c r="A272" s="134">
        <v>45236</v>
      </c>
      <c r="B272" s="133">
        <v>584.85</v>
      </c>
      <c r="C272" s="133">
        <f t="shared" si="31"/>
        <v>0</v>
      </c>
      <c r="D272" s="133">
        <v>19411.75</v>
      </c>
      <c r="E272" s="133">
        <f t="shared" si="32"/>
        <v>9.4198828949696445E-3</v>
      </c>
      <c r="F272" s="135">
        <v>14882.35</v>
      </c>
      <c r="G272" s="67">
        <f t="shared" si="33"/>
        <v>-3.2185777111813918E-3</v>
      </c>
    </row>
    <row r="273" spans="1:7">
      <c r="A273" s="134">
        <v>45233</v>
      </c>
      <c r="B273" s="133">
        <v>584.85</v>
      </c>
      <c r="C273" s="133">
        <f t="shared" si="31"/>
        <v>1.2201453790238848E-2</v>
      </c>
      <c r="D273" s="133">
        <v>19230.599999999999</v>
      </c>
      <c r="E273" s="133">
        <f t="shared" si="32"/>
        <v>5.0880012543608188E-3</v>
      </c>
      <c r="F273" s="135">
        <v>14834.45</v>
      </c>
      <c r="G273" s="67">
        <f t="shared" si="33"/>
        <v>-6.6871370357513005E-3</v>
      </c>
    </row>
    <row r="274" spans="1:7">
      <c r="A274" s="134">
        <v>45232</v>
      </c>
      <c r="B274" s="133">
        <v>577.79999999999995</v>
      </c>
      <c r="C274" s="133">
        <f t="shared" si="31"/>
        <v>4.1710114702815382E-3</v>
      </c>
      <c r="D274" s="133">
        <v>19133.25</v>
      </c>
      <c r="E274" s="133">
        <f t="shared" si="32"/>
        <v>7.5885439843277336E-3</v>
      </c>
      <c r="F274" s="135">
        <v>14735.25</v>
      </c>
      <c r="G274" s="67">
        <f t="shared" si="33"/>
        <v>-3.5018068916373712E-3</v>
      </c>
    </row>
    <row r="275" spans="1:7">
      <c r="A275" s="134">
        <v>45231</v>
      </c>
      <c r="B275" s="133">
        <v>575.4</v>
      </c>
      <c r="C275" s="133">
        <f t="shared" si="31"/>
        <v>3.2255252375557042E-3</v>
      </c>
      <c r="D275" s="133">
        <v>18989.150000000001</v>
      </c>
      <c r="E275" s="133">
        <f t="shared" si="32"/>
        <v>-4.740665422755086E-3</v>
      </c>
      <c r="F275" s="135">
        <v>14683.65</v>
      </c>
      <c r="G275" s="67">
        <f t="shared" si="33"/>
        <v>6.2620669928799E-3</v>
      </c>
    </row>
    <row r="276" spans="1:7">
      <c r="A276" s="134">
        <v>45230</v>
      </c>
      <c r="B276" s="133">
        <v>573.54999999999995</v>
      </c>
      <c r="C276" s="133">
        <f t="shared" si="31"/>
        <v>-1.1546747091770837E-2</v>
      </c>
      <c r="D276" s="133">
        <v>19079.599999999999</v>
      </c>
      <c r="E276" s="133">
        <f t="shared" si="32"/>
        <v>-3.2025662325179116E-3</v>
      </c>
      <c r="F276" s="135">
        <v>14775.6</v>
      </c>
      <c r="G276" s="67">
        <f t="shared" si="33"/>
        <v>-2.5108963426189179E-3</v>
      </c>
    </row>
    <row r="277" spans="1:7">
      <c r="A277" s="134">
        <v>45229</v>
      </c>
      <c r="B277" s="133">
        <v>580.25</v>
      </c>
      <c r="C277" s="133">
        <f t="shared" si="31"/>
        <v>9.0426919398314265E-3</v>
      </c>
      <c r="D277" s="133">
        <v>19140.900000000001</v>
      </c>
      <c r="E277" s="133">
        <f t="shared" si="32"/>
        <v>4.9167202614550654E-3</v>
      </c>
      <c r="F277" s="135">
        <v>14738.5</v>
      </c>
      <c r="G277" s="67">
        <f t="shared" si="33"/>
        <v>-6.1030634053669264E-3</v>
      </c>
    </row>
    <row r="278" spans="1:7">
      <c r="A278" s="134">
        <v>45226</v>
      </c>
      <c r="B278" s="133">
        <v>575.04999999999995</v>
      </c>
      <c r="C278" s="133">
        <f t="shared" si="31"/>
        <v>6.563976894801371E-3</v>
      </c>
      <c r="D278" s="133">
        <v>19047.25</v>
      </c>
      <c r="E278" s="133">
        <f t="shared" si="32"/>
        <v>1.0075700327460302E-2</v>
      </c>
      <c r="F278" s="135">
        <v>14648.55</v>
      </c>
      <c r="G278" s="67">
        <f t="shared" si="33"/>
        <v>1.0349147185216401E-2</v>
      </c>
    </row>
    <row r="279" spans="1:7">
      <c r="A279" s="134">
        <v>45225</v>
      </c>
      <c r="B279" s="133">
        <v>571.29999999999995</v>
      </c>
      <c r="C279" s="133">
        <f t="shared" si="31"/>
        <v>-5.9161301548635858E-3</v>
      </c>
      <c r="D279" s="133">
        <v>18857.25</v>
      </c>
      <c r="E279" s="133">
        <f t="shared" si="32"/>
        <v>-1.3853044767455636E-2</v>
      </c>
      <c r="F279" s="135">
        <v>14800.15</v>
      </c>
      <c r="G279" s="67">
        <f t="shared" si="33"/>
        <v>7.5337074286410122E-3</v>
      </c>
    </row>
    <row r="280" spans="1:7">
      <c r="A280" s="134">
        <v>45224</v>
      </c>
      <c r="B280" s="133">
        <v>574.70000000000005</v>
      </c>
      <c r="C280" s="133">
        <f t="shared" si="31"/>
        <v>7.6268957657579239E-3</v>
      </c>
      <c r="D280" s="133">
        <v>19122.150000000001</v>
      </c>
      <c r="E280" s="133">
        <f t="shared" si="32"/>
        <v>-8.2772569917148875E-3</v>
      </c>
      <c r="F280" s="135">
        <v>14911.65</v>
      </c>
      <c r="G280" s="67">
        <f t="shared" si="33"/>
        <v>1.3110554499334404E-2</v>
      </c>
    </row>
    <row r="281" spans="1:7">
      <c r="A281" s="134">
        <v>45222</v>
      </c>
      <c r="B281" s="133">
        <v>570.35</v>
      </c>
      <c r="C281" s="133">
        <f t="shared" si="31"/>
        <v>-1.4769390222836298E-2</v>
      </c>
      <c r="D281" s="133">
        <v>19281.75</v>
      </c>
      <c r="E281" s="133">
        <f t="shared" si="32"/>
        <v>-1.3350287704072983E-2</v>
      </c>
      <c r="F281" s="135">
        <v>15107.15</v>
      </c>
      <c r="G281" s="67">
        <f t="shared" si="33"/>
        <v>1.1004722929208954E-2</v>
      </c>
    </row>
    <row r="282" spans="1:7">
      <c r="A282" s="134">
        <v>45219</v>
      </c>
      <c r="B282" s="133">
        <v>578.9</v>
      </c>
      <c r="C282" s="133">
        <f t="shared" si="31"/>
        <v>-1.9146052185699869E-2</v>
      </c>
      <c r="D282" s="133">
        <v>19542.650000000001</v>
      </c>
      <c r="E282" s="133">
        <f t="shared" si="32"/>
        <v>-4.1809556324428065E-3</v>
      </c>
      <c r="F282" s="135">
        <v>15273.4</v>
      </c>
      <c r="G282" s="67">
        <f t="shared" si="33"/>
        <v>3.7909044482564713E-3</v>
      </c>
    </row>
    <row r="283" spans="1:7">
      <c r="A283" s="134">
        <v>45218</v>
      </c>
      <c r="B283" s="133">
        <v>590.20000000000005</v>
      </c>
      <c r="C283" s="133">
        <f t="shared" si="31"/>
        <v>1.0962658444672924E-2</v>
      </c>
      <c r="D283" s="133">
        <v>19624.7</v>
      </c>
      <c r="E283" s="133">
        <f t="shared" si="32"/>
        <v>-2.358790306591807E-3</v>
      </c>
      <c r="F283" s="135">
        <v>15331.3</v>
      </c>
      <c r="G283" s="67">
        <f t="shared" si="33"/>
        <v>-7.7847279747965681E-3</v>
      </c>
    </row>
    <row r="284" spans="1:7">
      <c r="A284" s="134">
        <v>45217</v>
      </c>
      <c r="B284" s="133">
        <v>583.79999999999995</v>
      </c>
      <c r="C284" s="133">
        <f t="shared" si="31"/>
        <v>-1.1011350160935129E-2</v>
      </c>
      <c r="D284" s="133">
        <v>19671.099999999999</v>
      </c>
      <c r="E284" s="133">
        <f t="shared" si="32"/>
        <v>-7.0867930242536348E-3</v>
      </c>
      <c r="F284" s="135">
        <v>15211.95</v>
      </c>
      <c r="G284" s="67">
        <f t="shared" si="33"/>
        <v>-3.102823766841234E-3</v>
      </c>
    </row>
    <row r="285" spans="1:7">
      <c r="A285" s="134">
        <v>45216</v>
      </c>
      <c r="B285" s="133">
        <v>590.29999999999995</v>
      </c>
      <c r="C285" s="133">
        <f t="shared" si="31"/>
        <v>-1.5223274695536082E-3</v>
      </c>
      <c r="D285" s="133">
        <v>19811.5</v>
      </c>
      <c r="E285" s="133">
        <f t="shared" si="32"/>
        <v>4.0417094276989918E-3</v>
      </c>
      <c r="F285" s="135">
        <v>15164.75</v>
      </c>
      <c r="G285" s="67">
        <f t="shared" si="33"/>
        <v>4.6357506717882302E-3</v>
      </c>
    </row>
    <row r="286" spans="1:7">
      <c r="A286" s="134">
        <v>45215</v>
      </c>
      <c r="B286" s="133">
        <v>591.20000000000005</v>
      </c>
      <c r="C286" s="133">
        <f t="shared" si="31"/>
        <v>-1.2669989019342687E-3</v>
      </c>
      <c r="D286" s="133">
        <v>19731.75</v>
      </c>
      <c r="E286" s="133">
        <f t="shared" si="32"/>
        <v>-9.7716323942265149E-4</v>
      </c>
      <c r="F286" s="135">
        <v>15235.05</v>
      </c>
      <c r="G286" s="67">
        <f t="shared" si="33"/>
        <v>-3.2064220334031557E-3</v>
      </c>
    </row>
    <row r="287" spans="1:7">
      <c r="A287" s="134">
        <v>45212</v>
      </c>
      <c r="B287" s="133">
        <v>591.95000000000005</v>
      </c>
      <c r="C287" s="133">
        <f t="shared" si="31"/>
        <v>-3.3672868086539465E-3</v>
      </c>
      <c r="D287" s="133">
        <v>19751.05</v>
      </c>
      <c r="E287" s="133">
        <f t="shared" si="32"/>
        <v>-2.1698494493280762E-3</v>
      </c>
      <c r="F287" s="135">
        <v>15186.2</v>
      </c>
      <c r="G287" s="67">
        <f t="shared" si="33"/>
        <v>-6.3215287563711531E-4</v>
      </c>
    </row>
    <row r="288" spans="1:7">
      <c r="A288" s="134">
        <v>45211</v>
      </c>
      <c r="B288" s="133">
        <v>593.95000000000005</v>
      </c>
      <c r="C288" s="133">
        <f t="shared" si="31"/>
        <v>-9.8357922814036325E-3</v>
      </c>
      <c r="D288" s="133">
        <v>19794</v>
      </c>
      <c r="E288" s="133">
        <f t="shared" si="32"/>
        <v>-8.7576061197236488E-4</v>
      </c>
      <c r="F288" s="135">
        <v>15176.6</v>
      </c>
      <c r="G288" s="67">
        <f t="shared" si="33"/>
        <v>-4.6057746794406773E-3</v>
      </c>
    </row>
    <row r="289" spans="1:7">
      <c r="A289" s="134">
        <v>45210</v>
      </c>
      <c r="B289" s="133">
        <v>599.85</v>
      </c>
      <c r="C289" s="133">
        <f t="shared" si="31"/>
        <v>-2.4999999999997247E-4</v>
      </c>
      <c r="D289" s="133">
        <v>19811.349999999999</v>
      </c>
      <c r="E289" s="133">
        <f t="shared" si="32"/>
        <v>6.1706920062876147E-3</v>
      </c>
      <c r="F289" s="135">
        <v>15106.7</v>
      </c>
      <c r="G289" s="67">
        <f t="shared" si="33"/>
        <v>-1.8865801266987337E-4</v>
      </c>
    </row>
    <row r="290" spans="1:7">
      <c r="A290" s="134">
        <v>45209</v>
      </c>
      <c r="B290" s="133">
        <v>600</v>
      </c>
      <c r="C290" s="133">
        <f t="shared" si="31"/>
        <v>-1.9960079840319889E-3</v>
      </c>
      <c r="D290" s="133">
        <v>19689.849999999999</v>
      </c>
      <c r="E290" s="133">
        <f t="shared" si="32"/>
        <v>9.096802794127834E-3</v>
      </c>
      <c r="F290" s="135">
        <v>15103.85</v>
      </c>
      <c r="G290" s="67">
        <f t="shared" si="33"/>
        <v>1.6287238022094641E-3</v>
      </c>
    </row>
    <row r="291" spans="1:7">
      <c r="A291" s="134">
        <v>45208</v>
      </c>
      <c r="B291" s="133">
        <v>601.20000000000005</v>
      </c>
      <c r="C291" s="133">
        <f t="shared" si="31"/>
        <v>-4.2236024844719555E-3</v>
      </c>
      <c r="D291" s="133">
        <v>19512.349999999999</v>
      </c>
      <c r="E291" s="133">
        <f t="shared" si="32"/>
        <v>-7.1819268832524763E-3</v>
      </c>
      <c r="F291" s="135">
        <v>15128.45</v>
      </c>
      <c r="G291" s="67">
        <f t="shared" si="33"/>
        <v>-7.0760719042599618E-3</v>
      </c>
    </row>
    <row r="292" spans="1:7">
      <c r="A292" s="134">
        <v>45205</v>
      </c>
      <c r="B292" s="133">
        <v>603.75</v>
      </c>
      <c r="C292" s="133">
        <f t="shared" si="31"/>
        <v>-2.1485827617551134E-3</v>
      </c>
      <c r="D292" s="133">
        <v>19653.5</v>
      </c>
      <c r="E292" s="133">
        <f t="shared" si="32"/>
        <v>5.5127073660514725E-3</v>
      </c>
      <c r="F292" s="135">
        <v>15021.4</v>
      </c>
      <c r="G292" s="67">
        <f t="shared" si="33"/>
        <v>3.0456548657249449E-3</v>
      </c>
    </row>
    <row r="293" spans="1:7">
      <c r="A293" s="134">
        <v>45204</v>
      </c>
      <c r="B293" s="133">
        <v>605.04999999999995</v>
      </c>
      <c r="C293" s="133">
        <f t="shared" si="31"/>
        <v>2.651420995939846E-3</v>
      </c>
      <c r="D293" s="133">
        <v>19545.75</v>
      </c>
      <c r="E293" s="133">
        <f t="shared" si="32"/>
        <v>5.6415638939910639E-3</v>
      </c>
      <c r="F293" s="135">
        <v>15067.15</v>
      </c>
      <c r="G293" s="67">
        <f t="shared" si="33"/>
        <v>1.4213039625941226E-2</v>
      </c>
    </row>
    <row r="294" spans="1:7">
      <c r="A294" s="134">
        <v>45203</v>
      </c>
      <c r="B294" s="133">
        <v>603.45000000000005</v>
      </c>
      <c r="C294" s="133">
        <f t="shared" si="31"/>
        <v>-1.2437607397103201E-2</v>
      </c>
      <c r="D294" s="133">
        <v>19436.099999999999</v>
      </c>
      <c r="E294" s="133">
        <f t="shared" si="32"/>
        <v>-4.7442872687705195E-3</v>
      </c>
      <c r="F294" s="135">
        <v>15281.3</v>
      </c>
      <c r="G294" s="67">
        <f t="shared" si="33"/>
        <v>9.2564114309647838E-3</v>
      </c>
    </row>
    <row r="295" spans="1:7">
      <c r="A295" s="134">
        <v>45202</v>
      </c>
      <c r="B295" s="133">
        <v>611.04999999999995</v>
      </c>
      <c r="C295" s="133">
        <f t="shared" si="31"/>
        <v>-6.4227642276423191E-3</v>
      </c>
      <c r="D295" s="133">
        <v>19528.75</v>
      </c>
      <c r="E295" s="133">
        <f t="shared" si="32"/>
        <v>-5.5783850944327584E-3</v>
      </c>
      <c r="F295" s="135">
        <v>15422.75</v>
      </c>
      <c r="G295" s="67">
        <f t="shared" si="33"/>
        <v>-2.5909776142387098E-2</v>
      </c>
    </row>
    <row r="296" spans="1:7">
      <c r="A296" s="134">
        <v>45198</v>
      </c>
      <c r="B296" s="133">
        <v>615</v>
      </c>
      <c r="C296" s="133">
        <f t="shared" si="31"/>
        <v>2.03235172127747E-2</v>
      </c>
      <c r="D296" s="133">
        <v>19638.3</v>
      </c>
      <c r="E296" s="133">
        <f t="shared" si="32"/>
        <v>5.8775171523621772E-3</v>
      </c>
      <c r="F296" s="135">
        <v>15023.15</v>
      </c>
      <c r="G296" s="67">
        <f t="shared" si="33"/>
        <v>9.0959618988029067E-3</v>
      </c>
    </row>
    <row r="297" spans="1:7">
      <c r="A297" s="134">
        <v>45197</v>
      </c>
      <c r="B297" s="133">
        <v>602.75</v>
      </c>
      <c r="C297" s="133">
        <f t="shared" si="31"/>
        <v>-3.9659588531768541E-3</v>
      </c>
      <c r="D297" s="133">
        <v>19523.55</v>
      </c>
      <c r="E297" s="133">
        <f t="shared" si="32"/>
        <v>-9.7837085276508695E-3</v>
      </c>
      <c r="F297" s="135">
        <v>15159.8</v>
      </c>
      <c r="G297" s="67">
        <f t="shared" si="33"/>
        <v>-1.1751474293856146E-2</v>
      </c>
    </row>
    <row r="298" spans="1:7">
      <c r="A298" s="134">
        <v>45196</v>
      </c>
      <c r="B298" s="133">
        <v>605.15</v>
      </c>
      <c r="C298" s="133">
        <f t="shared" si="31"/>
        <v>1.1871917063790649E-2</v>
      </c>
      <c r="D298" s="133">
        <v>19716.45</v>
      </c>
      <c r="E298" s="133">
        <f t="shared" si="32"/>
        <v>2.6316190941126916E-3</v>
      </c>
      <c r="F298" s="135">
        <v>14981.65</v>
      </c>
      <c r="G298" s="67">
        <f t="shared" si="33"/>
        <v>2.3862525155773362E-3</v>
      </c>
    </row>
    <row r="299" spans="1:7">
      <c r="A299" s="134">
        <v>45195</v>
      </c>
      <c r="B299" s="133">
        <v>598.04999999999995</v>
      </c>
      <c r="C299" s="133">
        <f t="shared" si="31"/>
        <v>-8.784287726858464E-3</v>
      </c>
      <c r="D299" s="133">
        <v>19664.7</v>
      </c>
      <c r="E299" s="133">
        <f t="shared" si="32"/>
        <v>-5.0064677464023433E-4</v>
      </c>
      <c r="F299" s="135">
        <v>15017.4</v>
      </c>
      <c r="G299" s="67">
        <f t="shared" si="33"/>
        <v>3.4426731657943854E-3</v>
      </c>
    </row>
    <row r="300" spans="1:7">
      <c r="A300" s="134">
        <v>45194</v>
      </c>
      <c r="B300" s="133">
        <v>603.35</v>
      </c>
      <c r="C300" s="133">
        <f t="shared" si="31"/>
        <v>1.3012088650100839E-2</v>
      </c>
      <c r="D300" s="133">
        <v>19674.55</v>
      </c>
      <c r="E300" s="133">
        <f t="shared" si="32"/>
        <v>1.5248357624786379E-5</v>
      </c>
      <c r="F300" s="135">
        <v>15069.1</v>
      </c>
      <c r="G300" s="67">
        <f t="shared" si="33"/>
        <v>1.5767365005209255E-2</v>
      </c>
    </row>
    <row r="301" spans="1:7">
      <c r="A301" s="134">
        <v>45191</v>
      </c>
      <c r="B301" s="133">
        <v>595.6</v>
      </c>
      <c r="C301" s="133">
        <f t="shared" si="31"/>
        <v>-3.2567205392674325E-2</v>
      </c>
      <c r="D301" s="133">
        <v>19674.25</v>
      </c>
      <c r="E301" s="133">
        <f t="shared" si="32"/>
        <v>-3.4494373770092013E-3</v>
      </c>
      <c r="F301" s="135">
        <v>15306.7</v>
      </c>
      <c r="G301" s="67">
        <f t="shared" si="33"/>
        <v>1.0028288265922836E-2</v>
      </c>
    </row>
    <row r="302" spans="1:7">
      <c r="A302" s="134">
        <v>45190</v>
      </c>
      <c r="B302" s="133">
        <v>615.65</v>
      </c>
      <c r="C302" s="133">
        <f t="shared" si="31"/>
        <v>-1.4565826330532272E-2</v>
      </c>
      <c r="D302" s="133">
        <v>19742.349999999999</v>
      </c>
      <c r="E302" s="133">
        <f t="shared" si="32"/>
        <v>-7.9919000673320806E-3</v>
      </c>
      <c r="F302" s="135">
        <v>15460.2</v>
      </c>
      <c r="G302" s="67">
        <f t="shared" si="33"/>
        <v>2.7975058537406117E-3</v>
      </c>
    </row>
    <row r="303" spans="1:7">
      <c r="A303" s="134">
        <v>45189</v>
      </c>
      <c r="B303" s="133">
        <v>624.75</v>
      </c>
      <c r="C303" s="133">
        <f t="shared" si="31"/>
        <v>-2.898663350948083E-2</v>
      </c>
      <c r="D303" s="133">
        <v>19901.400000000001</v>
      </c>
      <c r="E303" s="133">
        <f t="shared" si="32"/>
        <v>-1.1518230990448575E-2</v>
      </c>
      <c r="F303" s="135">
        <v>15503.45</v>
      </c>
      <c r="G303" s="67">
        <f t="shared" si="33"/>
        <v>5.1665919521137749E-3</v>
      </c>
    </row>
    <row r="304" spans="1:7">
      <c r="A304" s="134">
        <v>45187</v>
      </c>
      <c r="B304" s="133">
        <v>643.4</v>
      </c>
      <c r="C304" s="133">
        <f t="shared" si="31"/>
        <v>-3.0216161772682604E-3</v>
      </c>
      <c r="D304" s="133">
        <v>20133.3</v>
      </c>
      <c r="E304" s="133">
        <f t="shared" si="32"/>
        <v>-2.9243748251194246E-3</v>
      </c>
      <c r="F304" s="135">
        <v>15583.55</v>
      </c>
      <c r="G304" s="67">
        <f t="shared" si="33"/>
        <v>-6.0480442517911737E-3</v>
      </c>
    </row>
    <row r="305" spans="1:7">
      <c r="A305" s="134">
        <v>45184</v>
      </c>
      <c r="B305" s="133">
        <v>645.35</v>
      </c>
      <c r="C305" s="133">
        <f t="shared" si="31"/>
        <v>8.5169557743398627E-3</v>
      </c>
      <c r="D305" s="133">
        <v>20192.349999999999</v>
      </c>
      <c r="E305" s="133">
        <f t="shared" si="32"/>
        <v>4.4396137909079592E-3</v>
      </c>
      <c r="F305" s="135">
        <v>15489.3</v>
      </c>
      <c r="G305" s="67">
        <f t="shared" si="33"/>
        <v>-2.605024113420118E-3</v>
      </c>
    </row>
    <row r="306" spans="1:7">
      <c r="A306" s="134">
        <v>45183</v>
      </c>
      <c r="B306" s="133">
        <v>639.9</v>
      </c>
      <c r="C306" s="133">
        <f t="shared" si="31"/>
        <v>-5.2079284881462184E-3</v>
      </c>
      <c r="D306" s="133">
        <v>20103.099999999999</v>
      </c>
      <c r="E306" s="133">
        <f t="shared" si="32"/>
        <v>1.6492277030393243E-3</v>
      </c>
      <c r="F306" s="135">
        <v>15448.95</v>
      </c>
      <c r="G306" s="67">
        <f t="shared" si="33"/>
        <v>-7.7869369762993967E-3</v>
      </c>
    </row>
    <row r="307" spans="1:7">
      <c r="A307" s="134">
        <v>45182</v>
      </c>
      <c r="B307" s="133">
        <v>643.25</v>
      </c>
      <c r="C307" s="133">
        <f t="shared" si="31"/>
        <v>2.4691358024691468E-2</v>
      </c>
      <c r="D307" s="133">
        <v>20070</v>
      </c>
      <c r="E307" s="133">
        <f t="shared" si="32"/>
        <v>3.8413060440549707E-3</v>
      </c>
      <c r="F307" s="135">
        <v>15328.65</v>
      </c>
      <c r="G307" s="67">
        <f t="shared" si="33"/>
        <v>-1.2199378288367813E-3</v>
      </c>
    </row>
    <row r="308" spans="1:7">
      <c r="A308" s="134">
        <v>45181</v>
      </c>
      <c r="B308" s="133">
        <v>627.75</v>
      </c>
      <c r="C308" s="133">
        <f t="shared" si="31"/>
        <v>-1.2727706626362023E-3</v>
      </c>
      <c r="D308" s="133">
        <v>19993.2</v>
      </c>
      <c r="E308" s="133">
        <f t="shared" si="32"/>
        <v>-1.5752874899654934E-4</v>
      </c>
      <c r="F308" s="135">
        <v>15309.95</v>
      </c>
      <c r="G308" s="67">
        <f t="shared" si="33"/>
        <v>-3.8798297838987805E-3</v>
      </c>
    </row>
    <row r="309" spans="1:7">
      <c r="A309" s="134">
        <v>45180</v>
      </c>
      <c r="B309" s="133">
        <v>628.54999999999995</v>
      </c>
      <c r="C309" s="133">
        <f t="shared" si="31"/>
        <v>6.3679057549936857E-4</v>
      </c>
      <c r="D309" s="133">
        <v>19996.349999999999</v>
      </c>
      <c r="E309" s="133">
        <f t="shared" si="32"/>
        <v>8.9001233605532359E-3</v>
      </c>
      <c r="F309" s="135">
        <v>15250.55</v>
      </c>
      <c r="G309" s="67">
        <f t="shared" si="33"/>
        <v>3.6457701525518527E-3</v>
      </c>
    </row>
    <row r="310" spans="1:7">
      <c r="A310" s="134">
        <v>45177</v>
      </c>
      <c r="B310" s="133">
        <v>628.15</v>
      </c>
      <c r="C310" s="133">
        <f t="shared" si="31"/>
        <v>-7.66192733017379E-3</v>
      </c>
      <c r="D310" s="133">
        <v>19819.95</v>
      </c>
      <c r="E310" s="133">
        <f t="shared" si="32"/>
        <v>4.7092697590365162E-3</v>
      </c>
      <c r="F310" s="135">
        <v>15306.15</v>
      </c>
      <c r="G310" s="67">
        <f t="shared" si="33"/>
        <v>3.211127553303772E-3</v>
      </c>
    </row>
    <row r="311" spans="1:7">
      <c r="A311" s="134">
        <v>45176</v>
      </c>
      <c r="B311" s="133">
        <v>633</v>
      </c>
      <c r="C311" s="133">
        <f t="shared" si="31"/>
        <v>-5.3425518541797556E-3</v>
      </c>
      <c r="D311" s="133">
        <v>19727.05</v>
      </c>
      <c r="E311" s="133">
        <f t="shared" si="32"/>
        <v>5.91503259641879E-3</v>
      </c>
      <c r="F311" s="135">
        <v>15355.3</v>
      </c>
      <c r="G311" s="67">
        <f t="shared" si="33"/>
        <v>-8.9252570773609152E-3</v>
      </c>
    </row>
    <row r="312" spans="1:7">
      <c r="A312" s="134">
        <v>45175</v>
      </c>
      <c r="B312" s="133">
        <v>636.4</v>
      </c>
      <c r="C312" s="133">
        <f t="shared" si="31"/>
        <v>3.7063323081776289E-3</v>
      </c>
      <c r="D312" s="133">
        <v>19611.05</v>
      </c>
      <c r="E312" s="133">
        <f t="shared" si="32"/>
        <v>1.8467527292602703E-3</v>
      </c>
      <c r="F312" s="135">
        <v>15218.25</v>
      </c>
      <c r="G312" s="67">
        <f t="shared" si="33"/>
        <v>-1.0884957205986256E-2</v>
      </c>
    </row>
    <row r="313" spans="1:7">
      <c r="A313" s="134">
        <v>45174</v>
      </c>
      <c r="B313" s="133">
        <v>634.04999999999995</v>
      </c>
      <c r="C313" s="133">
        <f t="shared" si="31"/>
        <v>2.1837228041901691E-2</v>
      </c>
      <c r="D313" s="133">
        <v>19574.900000000001</v>
      </c>
      <c r="E313" s="133">
        <f t="shared" si="32"/>
        <v>2.3606161156857208E-3</v>
      </c>
      <c r="F313" s="135">
        <v>15052.6</v>
      </c>
      <c r="G313" s="67">
        <f t="shared" si="33"/>
        <v>-2.7104951968431878E-3</v>
      </c>
    </row>
    <row r="314" spans="1:7">
      <c r="A314" s="134">
        <v>45173</v>
      </c>
      <c r="B314" s="133">
        <v>620.5</v>
      </c>
      <c r="C314" s="133">
        <f t="shared" si="31"/>
        <v>1.0668621223226538E-2</v>
      </c>
      <c r="D314" s="133">
        <v>19528.8</v>
      </c>
      <c r="E314" s="133">
        <f t="shared" si="32"/>
        <v>4.8108338950261231E-3</v>
      </c>
      <c r="F314" s="135">
        <v>15011.8</v>
      </c>
      <c r="G314" s="67">
        <f t="shared" si="33"/>
        <v>5.6022595558160582E-3</v>
      </c>
    </row>
    <row r="315" spans="1:7">
      <c r="A315" s="134">
        <v>45170</v>
      </c>
      <c r="B315" s="133">
        <v>613.95000000000005</v>
      </c>
      <c r="C315" s="133">
        <f t="shared" si="31"/>
        <v>-1.9014140768554677E-2</v>
      </c>
      <c r="D315" s="133">
        <v>19435.3</v>
      </c>
      <c r="E315" s="133">
        <f t="shared" si="32"/>
        <v>9.4267105714196386E-3</v>
      </c>
      <c r="F315" s="135">
        <v>15095.9</v>
      </c>
      <c r="G315" s="67">
        <f t="shared" si="33"/>
        <v>1.9607973025788095E-3</v>
      </c>
    </row>
    <row r="316" spans="1:7">
      <c r="A316" s="134">
        <v>45169</v>
      </c>
      <c r="B316" s="133">
        <v>625.85</v>
      </c>
      <c r="C316" s="133">
        <f t="shared" si="31"/>
        <v>-3.582232128641949E-3</v>
      </c>
      <c r="D316" s="133">
        <v>19253.8</v>
      </c>
      <c r="E316" s="133">
        <f t="shared" si="32"/>
        <v>-4.840431167931758E-3</v>
      </c>
      <c r="F316" s="135">
        <v>15125.5</v>
      </c>
      <c r="G316" s="67">
        <f t="shared" si="33"/>
        <v>-2.9089947439753239E-4</v>
      </c>
    </row>
    <row r="317" spans="1:7">
      <c r="A317" s="134">
        <v>45168</v>
      </c>
      <c r="B317" s="133">
        <v>628.1</v>
      </c>
      <c r="C317" s="133">
        <f t="shared" si="31"/>
        <v>-6.0922541340295844E-3</v>
      </c>
      <c r="D317" s="133">
        <v>19347.45</v>
      </c>
      <c r="E317" s="133">
        <f t="shared" si="32"/>
        <v>2.4815627641494586E-4</v>
      </c>
      <c r="F317" s="135">
        <v>15121.1</v>
      </c>
      <c r="G317" s="67">
        <f t="shared" si="33"/>
        <v>2.6916031241113192E-3</v>
      </c>
    </row>
    <row r="318" spans="1:7">
      <c r="A318" s="134">
        <v>45167</v>
      </c>
      <c r="B318" s="133">
        <v>631.95000000000005</v>
      </c>
      <c r="C318" s="133">
        <f t="shared" si="31"/>
        <v>-3.7048715119027964E-3</v>
      </c>
      <c r="D318" s="133">
        <v>19342.650000000001</v>
      </c>
      <c r="E318" s="133">
        <f t="shared" si="32"/>
        <v>1.8957787843707496E-3</v>
      </c>
      <c r="F318" s="135">
        <v>15161.8</v>
      </c>
      <c r="G318" s="67">
        <f t="shared" si="33"/>
        <v>-9.0094843620149856E-3</v>
      </c>
    </row>
    <row r="319" spans="1:7">
      <c r="A319" s="134">
        <v>45166</v>
      </c>
      <c r="B319" s="133">
        <v>634.29999999999995</v>
      </c>
      <c r="C319" s="133">
        <f t="shared" si="31"/>
        <v>7.9453360877164148E-3</v>
      </c>
      <c r="D319" s="133">
        <v>19306.05</v>
      </c>
      <c r="E319" s="133">
        <f t="shared" si="32"/>
        <v>2.0891943236200916E-3</v>
      </c>
      <c r="F319" s="135">
        <v>15025.2</v>
      </c>
      <c r="G319" s="67">
        <f t="shared" si="33"/>
        <v>1.1177887815137177E-2</v>
      </c>
    </row>
    <row r="320" spans="1:7">
      <c r="A320" s="134">
        <v>45163</v>
      </c>
      <c r="B320" s="133">
        <v>629.29999999999995</v>
      </c>
      <c r="C320" s="133">
        <f t="shared" si="31"/>
        <v>-1.8022938285090273E-2</v>
      </c>
      <c r="D320" s="133">
        <v>19265.8</v>
      </c>
      <c r="E320" s="133">
        <f t="shared" si="32"/>
        <v>-6.2362341192674364E-3</v>
      </c>
      <c r="F320" s="135">
        <v>15193.15</v>
      </c>
      <c r="G320" s="67">
        <f t="shared" si="33"/>
        <v>5.8809397656180984E-3</v>
      </c>
    </row>
    <row r="321" spans="1:7">
      <c r="A321" s="134">
        <v>45162</v>
      </c>
      <c r="B321" s="133">
        <v>640.85</v>
      </c>
      <c r="C321" s="133">
        <f t="shared" si="31"/>
        <v>-6.9729604090803532E-3</v>
      </c>
      <c r="D321" s="133">
        <v>19386.7</v>
      </c>
      <c r="E321" s="133">
        <f t="shared" si="32"/>
        <v>-2.9469245011314316E-3</v>
      </c>
      <c r="F321" s="135">
        <v>15282.5</v>
      </c>
      <c r="G321" s="67">
        <f t="shared" si="33"/>
        <v>1.3152298380501026E-3</v>
      </c>
    </row>
    <row r="322" spans="1:7">
      <c r="A322" s="134">
        <v>45161</v>
      </c>
      <c r="B322" s="133">
        <v>645.35</v>
      </c>
      <c r="C322" s="133">
        <f t="shared" si="31"/>
        <v>-8.5266554002150219E-3</v>
      </c>
      <c r="D322" s="133">
        <v>19444</v>
      </c>
      <c r="E322" s="133">
        <f t="shared" si="32"/>
        <v>2.4514795233148146E-3</v>
      </c>
      <c r="F322" s="135">
        <v>15302.6</v>
      </c>
      <c r="G322" s="67">
        <f t="shared" si="33"/>
        <v>2.0094624442905662E-3</v>
      </c>
    </row>
    <row r="323" spans="1:7">
      <c r="A323" s="134">
        <v>45160</v>
      </c>
      <c r="B323" s="133">
        <v>650.9</v>
      </c>
      <c r="C323" s="133">
        <f t="shared" si="31"/>
        <v>-3.3685499923442608E-3</v>
      </c>
      <c r="D323" s="133">
        <v>19396.45</v>
      </c>
      <c r="E323" s="133">
        <f t="shared" si="32"/>
        <v>1.4695569672484865E-4</v>
      </c>
      <c r="F323" s="135">
        <v>15333.35</v>
      </c>
      <c r="G323" s="67">
        <f t="shared" si="33"/>
        <v>-4.0336912677269021E-3</v>
      </c>
    </row>
    <row r="324" spans="1:7">
      <c r="A324" s="134">
        <v>45159</v>
      </c>
      <c r="B324" s="133">
        <v>653.1</v>
      </c>
      <c r="C324" s="133">
        <f t="shared" si="31"/>
        <v>8.1037277147488762E-3</v>
      </c>
      <c r="D324" s="133">
        <v>19393.599999999999</v>
      </c>
      <c r="E324" s="133">
        <f t="shared" si="32"/>
        <v>4.3215614586109563E-3</v>
      </c>
      <c r="F324" s="135">
        <v>15271.5</v>
      </c>
      <c r="G324" s="67">
        <f t="shared" si="33"/>
        <v>5.6936122843205261E-3</v>
      </c>
    </row>
    <row r="325" spans="1:7">
      <c r="A325" s="134">
        <v>45156</v>
      </c>
      <c r="B325" s="133">
        <v>647.85</v>
      </c>
      <c r="C325" s="133">
        <f t="shared" si="31"/>
        <v>4.6522447080716844E-3</v>
      </c>
      <c r="D325" s="133">
        <v>19310.150000000001</v>
      </c>
      <c r="E325" s="133">
        <f t="shared" si="32"/>
        <v>-2.8453027975366973E-3</v>
      </c>
      <c r="F325" s="135">
        <v>15358.45</v>
      </c>
      <c r="G325" s="67">
        <f t="shared" si="33"/>
        <v>2.6272182414239786E-3</v>
      </c>
    </row>
    <row r="326" spans="1:7">
      <c r="A326" s="134">
        <v>45155</v>
      </c>
      <c r="B326" s="133">
        <v>644.85</v>
      </c>
      <c r="C326" s="133">
        <f t="shared" si="31"/>
        <v>-1.909035594767261E-2</v>
      </c>
      <c r="D326" s="133">
        <v>19365.25</v>
      </c>
      <c r="E326" s="133">
        <f t="shared" si="32"/>
        <v>-5.1245825841254034E-3</v>
      </c>
      <c r="F326" s="135">
        <v>15398.8</v>
      </c>
      <c r="G326" s="67">
        <f t="shared" si="33"/>
        <v>-6.0654076941060175E-3</v>
      </c>
    </row>
    <row r="327" spans="1:7">
      <c r="A327" s="134">
        <v>45154</v>
      </c>
      <c r="B327" s="133">
        <v>657.4</v>
      </c>
      <c r="C327" s="133">
        <f t="shared" si="31"/>
        <v>2.4546092106288553E-2</v>
      </c>
      <c r="D327" s="133">
        <v>19465</v>
      </c>
      <c r="E327" s="133">
        <f t="shared" si="32"/>
        <v>1.5667972759854099E-3</v>
      </c>
      <c r="F327" s="135">
        <v>15305.4</v>
      </c>
      <c r="G327" s="67">
        <f t="shared" si="33"/>
        <v>3.2733545023324595E-3</v>
      </c>
    </row>
    <row r="328" spans="1:7">
      <c r="A328" s="134">
        <v>45152</v>
      </c>
      <c r="B328" s="133">
        <v>641.65</v>
      </c>
      <c r="C328" s="133">
        <f t="shared" si="31"/>
        <v>-1.4286811583070991E-2</v>
      </c>
      <c r="D328" s="133">
        <v>19434.55</v>
      </c>
      <c r="E328" s="133">
        <f t="shared" si="32"/>
        <v>3.2169567074835648E-4</v>
      </c>
      <c r="F328" s="135">
        <v>15355.5</v>
      </c>
      <c r="G328" s="67">
        <f t="shared" si="33"/>
        <v>1.466575494122635E-2</v>
      </c>
    </row>
    <row r="329" spans="1:7">
      <c r="A329" s="134">
        <v>45149</v>
      </c>
      <c r="B329" s="133">
        <v>650.95000000000005</v>
      </c>
      <c r="C329" s="133">
        <f t="shared" ref="C329:C392" si="34">B329/B330-1</f>
        <v>-1.048871323249978E-2</v>
      </c>
      <c r="D329" s="133">
        <v>19428.3</v>
      </c>
      <c r="E329" s="133">
        <f t="shared" ref="E329:E392" si="35">D329/D330-1</f>
        <v>-5.8741960077981492E-3</v>
      </c>
      <c r="F329" s="135">
        <v>15580.7</v>
      </c>
      <c r="G329" s="67">
        <f t="shared" ref="G329:G392" si="36">F330/F329-1</f>
        <v>7.4547356665617404E-3</v>
      </c>
    </row>
    <row r="330" spans="1:7">
      <c r="A330" s="134">
        <v>45148</v>
      </c>
      <c r="B330" s="133">
        <v>657.85</v>
      </c>
      <c r="C330" s="133">
        <f t="shared" si="34"/>
        <v>-5.5929257047840908E-3</v>
      </c>
      <c r="D330" s="133">
        <v>19543.099999999999</v>
      </c>
      <c r="E330" s="133">
        <f t="shared" si="35"/>
        <v>-4.5562089489139534E-3</v>
      </c>
      <c r="F330" s="135">
        <v>15696.85</v>
      </c>
      <c r="G330" s="67">
        <f t="shared" si="36"/>
        <v>-7.5397293087466899E-3</v>
      </c>
    </row>
    <row r="331" spans="1:7">
      <c r="A331" s="134">
        <v>45147</v>
      </c>
      <c r="B331" s="133">
        <v>661.55</v>
      </c>
      <c r="C331" s="133">
        <f t="shared" si="34"/>
        <v>9.4605935759517479E-3</v>
      </c>
      <c r="D331" s="133">
        <v>19632.55</v>
      </c>
      <c r="E331" s="133">
        <f t="shared" si="35"/>
        <v>3.152647943242215E-3</v>
      </c>
      <c r="F331" s="135">
        <v>15578.5</v>
      </c>
      <c r="G331" s="67">
        <f t="shared" si="36"/>
        <v>-6.3709599768911884E-3</v>
      </c>
    </row>
    <row r="332" spans="1:7">
      <c r="A332" s="134">
        <v>45146</v>
      </c>
      <c r="B332" s="133">
        <v>655.35</v>
      </c>
      <c r="C332" s="133">
        <f t="shared" si="34"/>
        <v>2.2893772893772812E-4</v>
      </c>
      <c r="D332" s="133">
        <v>19570.849999999999</v>
      </c>
      <c r="E332" s="133">
        <f t="shared" si="35"/>
        <v>-1.3496757206350463E-3</v>
      </c>
      <c r="F332" s="135">
        <v>15479.25</v>
      </c>
      <c r="G332" s="67">
        <f t="shared" si="36"/>
        <v>-1.539157258911128E-2</v>
      </c>
    </row>
    <row r="333" spans="1:7">
      <c r="A333" s="134">
        <v>45145</v>
      </c>
      <c r="B333" s="133">
        <v>655.20000000000005</v>
      </c>
      <c r="C333" s="133">
        <f t="shared" si="34"/>
        <v>8.3878414774913868E-3</v>
      </c>
      <c r="D333" s="133">
        <v>19597.3</v>
      </c>
      <c r="E333" s="133">
        <f t="shared" si="35"/>
        <v>4.1143618383971958E-3</v>
      </c>
      <c r="F333" s="135">
        <v>15241</v>
      </c>
      <c r="G333" s="67">
        <f t="shared" si="36"/>
        <v>-9.3038514533166916E-3</v>
      </c>
    </row>
    <row r="334" spans="1:7">
      <c r="A334" s="134">
        <v>45142</v>
      </c>
      <c r="B334" s="133">
        <v>649.75</v>
      </c>
      <c r="C334" s="133">
        <f t="shared" si="34"/>
        <v>1.5234374999999911E-2</v>
      </c>
      <c r="D334" s="133">
        <v>19517</v>
      </c>
      <c r="E334" s="133">
        <f t="shared" si="35"/>
        <v>6.983409565233023E-3</v>
      </c>
      <c r="F334" s="135">
        <v>15099.2</v>
      </c>
      <c r="G334" s="67">
        <f t="shared" si="36"/>
        <v>-1.0318427466355917E-2</v>
      </c>
    </row>
    <row r="335" spans="1:7">
      <c r="A335" s="134">
        <v>45141</v>
      </c>
      <c r="B335" s="133">
        <v>640</v>
      </c>
      <c r="C335" s="133">
        <f t="shared" si="34"/>
        <v>1.8135539293668401E-2</v>
      </c>
      <c r="D335" s="133">
        <v>19381.650000000001</v>
      </c>
      <c r="E335" s="133">
        <f t="shared" si="35"/>
        <v>-7.4206657089961325E-3</v>
      </c>
      <c r="F335" s="135">
        <v>14943.4</v>
      </c>
      <c r="G335" s="67">
        <f t="shared" si="36"/>
        <v>3.8746202336816804E-3</v>
      </c>
    </row>
    <row r="336" spans="1:7">
      <c r="A336" s="134">
        <v>45140</v>
      </c>
      <c r="B336" s="133">
        <v>628.6</v>
      </c>
      <c r="C336" s="133">
        <f t="shared" si="34"/>
        <v>-8.3609402113897779E-3</v>
      </c>
      <c r="D336" s="133">
        <v>19526.55</v>
      </c>
      <c r="E336" s="133">
        <f t="shared" si="35"/>
        <v>-1.0489749690248296E-2</v>
      </c>
      <c r="F336" s="135">
        <v>15001.3</v>
      </c>
      <c r="G336" s="67">
        <f t="shared" si="36"/>
        <v>-6.0994713791473476E-4</v>
      </c>
    </row>
    <row r="337" spans="1:7">
      <c r="A337" s="134">
        <v>45139</v>
      </c>
      <c r="B337" s="133">
        <v>633.9</v>
      </c>
      <c r="C337" s="133">
        <f t="shared" si="34"/>
        <v>2.6097271648872766E-3</v>
      </c>
      <c r="D337" s="133">
        <v>19733.55</v>
      </c>
      <c r="E337" s="133">
        <f t="shared" si="35"/>
        <v>-1.0251192175683155E-3</v>
      </c>
      <c r="F337" s="135">
        <v>14992.15</v>
      </c>
      <c r="G337" s="67">
        <f t="shared" si="36"/>
        <v>-1.9743665851795766E-3</v>
      </c>
    </row>
    <row r="338" spans="1:7">
      <c r="A338" s="134">
        <v>45138</v>
      </c>
      <c r="B338" s="133">
        <v>632.25</v>
      </c>
      <c r="C338" s="133">
        <f t="shared" si="34"/>
        <v>-1.2880562060889944E-2</v>
      </c>
      <c r="D338" s="133">
        <v>19753.8</v>
      </c>
      <c r="E338" s="133">
        <f t="shared" si="35"/>
        <v>5.4845630546598301E-3</v>
      </c>
      <c r="F338" s="135">
        <v>14962.55</v>
      </c>
      <c r="G338" s="67">
        <f t="shared" si="36"/>
        <v>-2.8471082803398495E-3</v>
      </c>
    </row>
    <row r="339" spans="1:7">
      <c r="A339" s="134">
        <v>45135</v>
      </c>
      <c r="B339" s="133">
        <v>640.5</v>
      </c>
      <c r="C339" s="133">
        <f t="shared" si="34"/>
        <v>-1.3856812933025431E-2</v>
      </c>
      <c r="D339" s="133">
        <v>19646.05</v>
      </c>
      <c r="E339" s="133">
        <f t="shared" si="35"/>
        <v>-7.044796769059003E-4</v>
      </c>
      <c r="F339" s="135">
        <v>14919.95</v>
      </c>
      <c r="G339" s="67">
        <f t="shared" si="36"/>
        <v>-2.9597954416737293E-2</v>
      </c>
    </row>
    <row r="340" spans="1:7">
      <c r="A340" s="134">
        <v>45134</v>
      </c>
      <c r="B340" s="133">
        <v>649.5</v>
      </c>
      <c r="C340" s="133">
        <f t="shared" si="34"/>
        <v>4.295463669209143E-2</v>
      </c>
      <c r="D340" s="133">
        <v>19659.900000000001</v>
      </c>
      <c r="E340" s="133">
        <f t="shared" si="35"/>
        <v>-5.9863587871554769E-3</v>
      </c>
      <c r="F340" s="135">
        <v>14478.35</v>
      </c>
      <c r="G340" s="67">
        <f t="shared" si="36"/>
        <v>-6.5684280321998134E-3</v>
      </c>
    </row>
    <row r="341" spans="1:7">
      <c r="A341" s="134">
        <v>45133</v>
      </c>
      <c r="B341" s="133">
        <v>622.75</v>
      </c>
      <c r="C341" s="133">
        <f t="shared" si="34"/>
        <v>1.6083634901487009E-3</v>
      </c>
      <c r="D341" s="133">
        <v>19778.3</v>
      </c>
      <c r="E341" s="133">
        <f t="shared" si="35"/>
        <v>4.9642795443227694E-3</v>
      </c>
      <c r="F341" s="135">
        <v>14383.25</v>
      </c>
      <c r="G341" s="67">
        <f t="shared" si="36"/>
        <v>-3.5596961743695754E-3</v>
      </c>
    </row>
    <row r="342" spans="1:7">
      <c r="A342" s="134">
        <v>45132</v>
      </c>
      <c r="B342" s="133">
        <v>621.75</v>
      </c>
      <c r="C342" s="133">
        <f t="shared" si="34"/>
        <v>1.295210166177907E-2</v>
      </c>
      <c r="D342" s="133">
        <v>19680.599999999999</v>
      </c>
      <c r="E342" s="133">
        <f t="shared" si="35"/>
        <v>4.1937033450500927E-4</v>
      </c>
      <c r="F342" s="135">
        <v>14332.05</v>
      </c>
      <c r="G342" s="67">
        <f t="shared" si="36"/>
        <v>-4.0503626487486954E-3</v>
      </c>
    </row>
    <row r="343" spans="1:7">
      <c r="A343" s="134">
        <v>45131</v>
      </c>
      <c r="B343" s="133">
        <v>613.79999999999995</v>
      </c>
      <c r="C343" s="133">
        <f t="shared" si="34"/>
        <v>9.7847358121305739E-4</v>
      </c>
      <c r="D343" s="133">
        <v>19672.349999999999</v>
      </c>
      <c r="E343" s="133">
        <f t="shared" si="35"/>
        <v>-3.679412509496105E-3</v>
      </c>
      <c r="F343" s="135">
        <v>14274</v>
      </c>
      <c r="G343" s="67">
        <f t="shared" si="36"/>
        <v>1.7549390500208872E-3</v>
      </c>
    </row>
    <row r="344" spans="1:7">
      <c r="A344" s="134">
        <v>45128</v>
      </c>
      <c r="B344" s="133">
        <v>613.20000000000005</v>
      </c>
      <c r="C344" s="133">
        <f t="shared" si="34"/>
        <v>-7.0439640514936563E-3</v>
      </c>
      <c r="D344" s="133">
        <v>19745</v>
      </c>
      <c r="E344" s="133">
        <f t="shared" si="35"/>
        <v>-1.1719717805812602E-2</v>
      </c>
      <c r="F344" s="135">
        <v>14299.05</v>
      </c>
      <c r="G344" s="67">
        <f t="shared" si="36"/>
        <v>-1.4438022106363579E-2</v>
      </c>
    </row>
    <row r="345" spans="1:7">
      <c r="A345" s="134">
        <v>45127</v>
      </c>
      <c r="B345" s="133">
        <v>617.54999999999995</v>
      </c>
      <c r="C345" s="133">
        <f t="shared" si="34"/>
        <v>1.654320987654323E-2</v>
      </c>
      <c r="D345" s="133">
        <v>19979.150000000001</v>
      </c>
      <c r="E345" s="133">
        <f t="shared" si="35"/>
        <v>7.3614125844860823E-3</v>
      </c>
      <c r="F345" s="135">
        <v>14092.6</v>
      </c>
      <c r="G345" s="67">
        <f t="shared" si="36"/>
        <v>-5.3538736641925988E-3</v>
      </c>
    </row>
    <row r="346" spans="1:7">
      <c r="A346" s="134">
        <v>45126</v>
      </c>
      <c r="B346" s="133">
        <v>607.5</v>
      </c>
      <c r="C346" s="133">
        <f t="shared" si="34"/>
        <v>9.0524042853583619E-3</v>
      </c>
      <c r="D346" s="133">
        <v>19833.150000000001</v>
      </c>
      <c r="E346" s="133">
        <f t="shared" si="35"/>
        <v>4.248262592250418E-3</v>
      </c>
      <c r="F346" s="135">
        <v>14017.15</v>
      </c>
      <c r="G346" s="67">
        <f t="shared" si="36"/>
        <v>2.6075200736241921E-3</v>
      </c>
    </row>
    <row r="347" spans="1:7">
      <c r="A347" s="134">
        <v>45125</v>
      </c>
      <c r="B347" s="133">
        <v>602.04999999999995</v>
      </c>
      <c r="C347" s="133">
        <f t="shared" si="34"/>
        <v>-1.6582372937566925E-3</v>
      </c>
      <c r="D347" s="133">
        <v>19749.25</v>
      </c>
      <c r="E347" s="133">
        <f t="shared" si="35"/>
        <v>1.9176671427012515E-3</v>
      </c>
      <c r="F347" s="135">
        <v>14053.7</v>
      </c>
      <c r="G347" s="67">
        <f t="shared" si="36"/>
        <v>-7.6883667646243659E-3</v>
      </c>
    </row>
    <row r="348" spans="1:7">
      <c r="A348" s="134">
        <v>45124</v>
      </c>
      <c r="B348" s="133">
        <v>603.04999999999995</v>
      </c>
      <c r="C348" s="133">
        <f t="shared" si="34"/>
        <v>1.2933568489123859E-2</v>
      </c>
      <c r="D348" s="133">
        <v>19711.45</v>
      </c>
      <c r="E348" s="133">
        <f t="shared" si="35"/>
        <v>7.5110531830611116E-3</v>
      </c>
      <c r="F348" s="135">
        <v>13945.65</v>
      </c>
      <c r="G348" s="67">
        <f t="shared" si="36"/>
        <v>-4.9549501098908877E-3</v>
      </c>
    </row>
    <row r="349" spans="1:7">
      <c r="A349" s="134">
        <v>45121</v>
      </c>
      <c r="B349" s="133">
        <v>595.35</v>
      </c>
      <c r="C349" s="133">
        <f t="shared" si="34"/>
        <v>6.5939639868120015E-3</v>
      </c>
      <c r="D349" s="133">
        <v>19564.5</v>
      </c>
      <c r="E349" s="133">
        <f t="shared" si="35"/>
        <v>7.7651149314275081E-3</v>
      </c>
      <c r="F349" s="135">
        <v>13876.55</v>
      </c>
      <c r="G349" s="67">
        <f t="shared" si="36"/>
        <v>4.3346509038630909E-3</v>
      </c>
    </row>
    <row r="350" spans="1:7">
      <c r="A350" s="134">
        <v>45120</v>
      </c>
      <c r="B350" s="133">
        <v>591.45000000000005</v>
      </c>
      <c r="C350" s="133">
        <f t="shared" si="34"/>
        <v>-3.2861476238623677E-3</v>
      </c>
      <c r="D350" s="133">
        <v>19413.75</v>
      </c>
      <c r="E350" s="133">
        <f t="shared" si="35"/>
        <v>1.5192707500399916E-3</v>
      </c>
      <c r="F350" s="135">
        <v>13936.7</v>
      </c>
      <c r="G350" s="67">
        <f t="shared" si="36"/>
        <v>-2.9633987959847286E-3</v>
      </c>
    </row>
    <row r="351" spans="1:7">
      <c r="A351" s="134">
        <v>45119</v>
      </c>
      <c r="B351" s="133">
        <v>593.4</v>
      </c>
      <c r="C351" s="133">
        <f t="shared" si="34"/>
        <v>1.4619133111054117E-2</v>
      </c>
      <c r="D351" s="133">
        <v>19384.3</v>
      </c>
      <c r="E351" s="133">
        <f t="shared" si="35"/>
        <v>-2.8344496229308902E-3</v>
      </c>
      <c r="F351" s="135">
        <v>13895.4</v>
      </c>
      <c r="G351" s="67">
        <f t="shared" si="36"/>
        <v>-1.0334355254256855E-2</v>
      </c>
    </row>
    <row r="352" spans="1:7">
      <c r="A352" s="134">
        <v>45118</v>
      </c>
      <c r="B352" s="133">
        <v>584.85</v>
      </c>
      <c r="C352" s="133">
        <f t="shared" si="34"/>
        <v>5.5880330123796451E-3</v>
      </c>
      <c r="D352" s="133">
        <v>19439.400000000001</v>
      </c>
      <c r="E352" s="133">
        <f t="shared" si="35"/>
        <v>4.3139301194985435E-3</v>
      </c>
      <c r="F352" s="135">
        <v>13751.8</v>
      </c>
      <c r="G352" s="67">
        <f t="shared" si="36"/>
        <v>1.25074535697145E-3</v>
      </c>
    </row>
    <row r="353" spans="1:7">
      <c r="A353" s="134">
        <v>45117</v>
      </c>
      <c r="B353" s="133">
        <v>581.6</v>
      </c>
      <c r="C353" s="133">
        <f t="shared" si="34"/>
        <v>-1.1163589523399686E-3</v>
      </c>
      <c r="D353" s="133">
        <v>19355.900000000001</v>
      </c>
      <c r="E353" s="133">
        <f t="shared" si="35"/>
        <v>1.2466505964268126E-3</v>
      </c>
      <c r="F353" s="135">
        <v>13769</v>
      </c>
      <c r="G353" s="67">
        <f t="shared" si="36"/>
        <v>7.4515215338804008E-3</v>
      </c>
    </row>
    <row r="354" spans="1:7">
      <c r="A354" s="134">
        <v>45114</v>
      </c>
      <c r="B354" s="133">
        <v>582.25</v>
      </c>
      <c r="C354" s="133">
        <f t="shared" si="34"/>
        <v>-9.9472878762115746E-3</v>
      </c>
      <c r="D354" s="133">
        <v>19331.8</v>
      </c>
      <c r="E354" s="133">
        <f t="shared" si="35"/>
        <v>-8.4883547978438223E-3</v>
      </c>
      <c r="F354" s="135">
        <v>13871.6</v>
      </c>
      <c r="G354" s="67">
        <f t="shared" si="36"/>
        <v>-7.1801378355778045E-3</v>
      </c>
    </row>
    <row r="355" spans="1:7">
      <c r="A355" s="134">
        <v>45113</v>
      </c>
      <c r="B355" s="133">
        <v>588.1</v>
      </c>
      <c r="C355" s="133">
        <f t="shared" si="34"/>
        <v>5.2991452991453247E-3</v>
      </c>
      <c r="D355" s="133">
        <v>19497.3</v>
      </c>
      <c r="E355" s="133">
        <f t="shared" si="35"/>
        <v>5.0931773075237885E-3</v>
      </c>
      <c r="F355" s="135">
        <v>13772</v>
      </c>
      <c r="G355" s="67">
        <f t="shared" si="36"/>
        <v>-7.010601219866297E-3</v>
      </c>
    </row>
    <row r="356" spans="1:7">
      <c r="A356" s="134">
        <v>45112</v>
      </c>
      <c r="B356" s="133">
        <v>585</v>
      </c>
      <c r="C356" s="133">
        <f t="shared" si="34"/>
        <v>1.8986239331126864E-2</v>
      </c>
      <c r="D356" s="133">
        <v>19398.5</v>
      </c>
      <c r="E356" s="133">
        <f t="shared" si="35"/>
        <v>4.8996853886218439E-4</v>
      </c>
      <c r="F356" s="135">
        <v>13675.45</v>
      </c>
      <c r="G356" s="67">
        <f t="shared" si="36"/>
        <v>-4.4934535975050816E-3</v>
      </c>
    </row>
    <row r="357" spans="1:7">
      <c r="A357" s="134">
        <v>45111</v>
      </c>
      <c r="B357" s="133">
        <v>574.1</v>
      </c>
      <c r="C357" s="133">
        <f t="shared" si="34"/>
        <v>-7.4343015214384245E-3</v>
      </c>
      <c r="D357" s="133">
        <v>19389</v>
      </c>
      <c r="E357" s="133">
        <f t="shared" si="35"/>
        <v>3.4389870902133968E-3</v>
      </c>
      <c r="F357" s="135">
        <v>13614</v>
      </c>
      <c r="G357" s="67">
        <f t="shared" si="36"/>
        <v>1.1275157925664692E-2</v>
      </c>
    </row>
    <row r="358" spans="1:7">
      <c r="A358" s="134">
        <v>45110</v>
      </c>
      <c r="B358" s="133">
        <v>578.4</v>
      </c>
      <c r="C358" s="133">
        <f t="shared" si="34"/>
        <v>-7.9753022896835724E-3</v>
      </c>
      <c r="D358" s="133">
        <v>19322.55</v>
      </c>
      <c r="E358" s="133">
        <f t="shared" si="35"/>
        <v>6.9570927169402275E-3</v>
      </c>
      <c r="F358" s="135">
        <v>13767.5</v>
      </c>
      <c r="G358" s="67">
        <f t="shared" si="36"/>
        <v>-1.0513891410931508E-2</v>
      </c>
    </row>
    <row r="359" spans="1:7">
      <c r="A359" s="134">
        <v>45107</v>
      </c>
      <c r="B359" s="133">
        <v>583.04999999999995</v>
      </c>
      <c r="C359" s="133">
        <f t="shared" si="34"/>
        <v>1.0301313417460101E-3</v>
      </c>
      <c r="D359" s="133">
        <v>19189.05</v>
      </c>
      <c r="E359" s="133">
        <f t="shared" si="35"/>
        <v>1.1435212759789426E-2</v>
      </c>
      <c r="F359" s="135">
        <v>13622.75</v>
      </c>
      <c r="G359" s="67">
        <f t="shared" si="36"/>
        <v>-1.4376686058248156E-2</v>
      </c>
    </row>
    <row r="360" spans="1:7">
      <c r="A360" s="134">
        <v>45105</v>
      </c>
      <c r="B360" s="133">
        <v>582.45000000000005</v>
      </c>
      <c r="C360" s="133">
        <f t="shared" si="34"/>
        <v>2.0588750657087873E-2</v>
      </c>
      <c r="D360" s="133">
        <v>18972.099999999999</v>
      </c>
      <c r="E360" s="133">
        <f t="shared" si="35"/>
        <v>8.2211145004089659E-3</v>
      </c>
      <c r="F360" s="135">
        <v>13426.9</v>
      </c>
      <c r="G360" s="67">
        <f t="shared" si="36"/>
        <v>-2.8524827026341626E-3</v>
      </c>
    </row>
    <row r="361" spans="1:7">
      <c r="A361" s="134">
        <v>45104</v>
      </c>
      <c r="B361" s="133">
        <v>570.70000000000005</v>
      </c>
      <c r="C361" s="133">
        <f t="shared" si="34"/>
        <v>1.5841936632253528E-2</v>
      </c>
      <c r="D361" s="133">
        <v>18817.400000000001</v>
      </c>
      <c r="E361" s="133">
        <f t="shared" si="35"/>
        <v>6.7518404382811426E-3</v>
      </c>
      <c r="F361" s="135">
        <v>13388.6</v>
      </c>
      <c r="G361" s="67">
        <f t="shared" si="36"/>
        <v>-1.5109869590547276E-2</v>
      </c>
    </row>
    <row r="362" spans="1:7">
      <c r="A362" s="134">
        <v>45103</v>
      </c>
      <c r="B362" s="133">
        <v>561.79999999999995</v>
      </c>
      <c r="C362" s="133">
        <f t="shared" si="34"/>
        <v>8.4365464010049962E-3</v>
      </c>
      <c r="D362" s="133">
        <v>18691.2</v>
      </c>
      <c r="E362" s="133">
        <f t="shared" si="35"/>
        <v>1.3768717687712151E-3</v>
      </c>
      <c r="F362" s="135">
        <v>13186.3</v>
      </c>
      <c r="G362" s="67">
        <f t="shared" si="36"/>
        <v>-1.4750157360289284E-3</v>
      </c>
    </row>
    <row r="363" spans="1:7">
      <c r="A363" s="134">
        <v>45100</v>
      </c>
      <c r="B363" s="133">
        <v>557.1</v>
      </c>
      <c r="C363" s="133">
        <f t="shared" si="34"/>
        <v>7.596310363537695E-3</v>
      </c>
      <c r="D363" s="133">
        <v>18665.5</v>
      </c>
      <c r="E363" s="133">
        <f t="shared" si="35"/>
        <v>-5.6336152360657588E-3</v>
      </c>
      <c r="F363" s="135">
        <v>13166.85</v>
      </c>
      <c r="G363" s="67">
        <f t="shared" si="36"/>
        <v>6.1404208295834373E-3</v>
      </c>
    </row>
    <row r="364" spans="1:7">
      <c r="A364" s="134">
        <v>45099</v>
      </c>
      <c r="B364" s="133">
        <v>552.9</v>
      </c>
      <c r="C364" s="133">
        <f t="shared" si="34"/>
        <v>-1.2854847348687803E-2</v>
      </c>
      <c r="D364" s="133">
        <v>18771.25</v>
      </c>
      <c r="E364" s="133">
        <f t="shared" si="35"/>
        <v>-4.5394644386521632E-3</v>
      </c>
      <c r="F364" s="135">
        <v>13247.7</v>
      </c>
      <c r="G364" s="67">
        <f t="shared" si="36"/>
        <v>-6.6804049004731691E-4</v>
      </c>
    </row>
    <row r="365" spans="1:7">
      <c r="A365" s="134">
        <v>45098</v>
      </c>
      <c r="B365" s="133">
        <v>560.1</v>
      </c>
      <c r="C365" s="133">
        <f t="shared" si="34"/>
        <v>7.2835176692744863E-3</v>
      </c>
      <c r="D365" s="133">
        <v>18856.849999999999</v>
      </c>
      <c r="E365" s="133">
        <f t="shared" si="35"/>
        <v>2.1337428985952478E-3</v>
      </c>
      <c r="F365" s="135">
        <v>13238.85</v>
      </c>
      <c r="G365" s="67">
        <f t="shared" si="36"/>
        <v>1.9488097531128457E-3</v>
      </c>
    </row>
    <row r="366" spans="1:7">
      <c r="A366" s="134">
        <v>45097</v>
      </c>
      <c r="B366" s="133">
        <v>556.04999999999995</v>
      </c>
      <c r="C366" s="133">
        <f t="shared" si="34"/>
        <v>3.4286745466027835E-3</v>
      </c>
      <c r="D366" s="133">
        <v>18816.7</v>
      </c>
      <c r="E366" s="133">
        <f t="shared" si="35"/>
        <v>3.2657174314665305E-3</v>
      </c>
      <c r="F366" s="135">
        <v>13264.65</v>
      </c>
      <c r="G366" s="67">
        <f t="shared" si="36"/>
        <v>-1.7113154135238728E-3</v>
      </c>
    </row>
    <row r="367" spans="1:7">
      <c r="A367" s="134">
        <v>45096</v>
      </c>
      <c r="B367" s="133">
        <v>554.15</v>
      </c>
      <c r="C367" s="133">
        <f t="shared" si="34"/>
        <v>5.6256238090917066E-3</v>
      </c>
      <c r="D367" s="133">
        <v>18755.45</v>
      </c>
      <c r="E367" s="133">
        <f t="shared" si="35"/>
        <v>-3.7474768936576197E-3</v>
      </c>
      <c r="F367" s="135">
        <v>13241.95</v>
      </c>
      <c r="G367" s="67">
        <f t="shared" si="36"/>
        <v>-6.1433550194647246E-3</v>
      </c>
    </row>
    <row r="368" spans="1:7">
      <c r="A368" s="134">
        <v>45093</v>
      </c>
      <c r="B368" s="133">
        <v>551.04999999999995</v>
      </c>
      <c r="C368" s="133">
        <f t="shared" si="34"/>
        <v>3.4598925612310261E-3</v>
      </c>
      <c r="D368" s="133">
        <v>18826</v>
      </c>
      <c r="E368" s="133">
        <f t="shared" si="35"/>
        <v>7.3790272954448177E-3</v>
      </c>
      <c r="F368" s="135">
        <v>13160.6</v>
      </c>
      <c r="G368" s="67">
        <f t="shared" si="36"/>
        <v>-1.3965928605078837E-2</v>
      </c>
    </row>
    <row r="369" spans="1:7">
      <c r="A369" s="134">
        <v>45092</v>
      </c>
      <c r="B369" s="133">
        <v>549.15</v>
      </c>
      <c r="C369" s="133">
        <f t="shared" si="34"/>
        <v>3.155818540433919E-2</v>
      </c>
      <c r="D369" s="133">
        <v>18688.099999999999</v>
      </c>
      <c r="E369" s="133">
        <f t="shared" si="35"/>
        <v>-3.6148625232594878E-3</v>
      </c>
      <c r="F369" s="135">
        <v>12976.8</v>
      </c>
      <c r="G369" s="67">
        <f t="shared" si="36"/>
        <v>1.3061771777325148E-3</v>
      </c>
    </row>
    <row r="370" spans="1:7">
      <c r="A370" s="134">
        <v>45091</v>
      </c>
      <c r="B370" s="133">
        <v>532.35</v>
      </c>
      <c r="C370" s="133">
        <f t="shared" si="34"/>
        <v>2.8397565922920975E-2</v>
      </c>
      <c r="D370" s="133">
        <v>18755.900000000001</v>
      </c>
      <c r="E370" s="133">
        <f t="shared" si="35"/>
        <v>2.123834228727528E-3</v>
      </c>
      <c r="F370" s="135">
        <v>12993.75</v>
      </c>
      <c r="G370" s="67">
        <f t="shared" si="36"/>
        <v>-1.0597402597402605E-2</v>
      </c>
    </row>
    <row r="371" spans="1:7">
      <c r="A371" s="134">
        <v>45090</v>
      </c>
      <c r="B371" s="133">
        <v>517.65</v>
      </c>
      <c r="C371" s="133">
        <f t="shared" si="34"/>
        <v>1.4999999999999902E-2</v>
      </c>
      <c r="D371" s="133">
        <v>18716.150000000001</v>
      </c>
      <c r="E371" s="133">
        <f t="shared" si="35"/>
        <v>6.1634814396689386E-3</v>
      </c>
      <c r="F371" s="135">
        <v>12856.05</v>
      </c>
      <c r="G371" s="67">
        <f t="shared" si="36"/>
        <v>3.8892194725437257E-4</v>
      </c>
    </row>
    <row r="372" spans="1:7">
      <c r="A372" s="134">
        <v>45089</v>
      </c>
      <c r="B372" s="133">
        <v>510</v>
      </c>
      <c r="C372" s="133">
        <f t="shared" si="34"/>
        <v>4.4313146233383449E-3</v>
      </c>
      <c r="D372" s="133">
        <v>18601.5</v>
      </c>
      <c r="E372" s="133">
        <f t="shared" si="35"/>
        <v>2.0524257409741953E-3</v>
      </c>
      <c r="F372" s="135">
        <v>12861.05</v>
      </c>
      <c r="G372" s="67">
        <f t="shared" si="36"/>
        <v>3.9110337025360931E-3</v>
      </c>
    </row>
    <row r="373" spans="1:7">
      <c r="A373" s="134">
        <v>45086</v>
      </c>
      <c r="B373" s="133">
        <v>507.75</v>
      </c>
      <c r="C373" s="133">
        <f t="shared" si="34"/>
        <v>-1.013744029632524E-2</v>
      </c>
      <c r="D373" s="133">
        <v>18563.400000000001</v>
      </c>
      <c r="E373" s="133">
        <f t="shared" si="35"/>
        <v>-3.8181764518058214E-3</v>
      </c>
      <c r="F373" s="135">
        <v>12911.35</v>
      </c>
      <c r="G373" s="67">
        <f t="shared" si="36"/>
        <v>1.0401700829115512E-2</v>
      </c>
    </row>
    <row r="374" spans="1:7">
      <c r="A374" s="134">
        <v>45085</v>
      </c>
      <c r="B374" s="133">
        <v>512.95000000000005</v>
      </c>
      <c r="C374" s="133">
        <f t="shared" si="34"/>
        <v>-4.1739468064453389E-3</v>
      </c>
      <c r="D374" s="133">
        <v>18634.55</v>
      </c>
      <c r="E374" s="133">
        <f t="shared" si="35"/>
        <v>-4.9048402255640333E-3</v>
      </c>
      <c r="F374" s="135">
        <v>13045.65</v>
      </c>
      <c r="G374" s="67">
        <f t="shared" si="36"/>
        <v>-2.5104153491777303E-3</v>
      </c>
    </row>
    <row r="375" spans="1:7">
      <c r="A375" s="134">
        <v>45084</v>
      </c>
      <c r="B375" s="133">
        <v>515.1</v>
      </c>
      <c r="C375" s="133">
        <f t="shared" si="34"/>
        <v>-6.7901833349504059E-4</v>
      </c>
      <c r="D375" s="133">
        <v>18726.400000000001</v>
      </c>
      <c r="E375" s="133">
        <f t="shared" si="35"/>
        <v>6.8498306360558203E-3</v>
      </c>
      <c r="F375" s="135">
        <v>13012.9</v>
      </c>
      <c r="G375" s="67">
        <f t="shared" si="36"/>
        <v>-6.0247907845292215E-3</v>
      </c>
    </row>
    <row r="376" spans="1:7">
      <c r="A376" s="134">
        <v>45083</v>
      </c>
      <c r="B376" s="133">
        <v>515.45000000000005</v>
      </c>
      <c r="C376" s="133">
        <f t="shared" si="34"/>
        <v>1.0488139580474565E-2</v>
      </c>
      <c r="D376" s="133">
        <v>18599</v>
      </c>
      <c r="E376" s="133">
        <f t="shared" si="35"/>
        <v>2.7697330031184464E-4</v>
      </c>
      <c r="F376" s="135">
        <v>12934.5</v>
      </c>
      <c r="G376" s="67">
        <f t="shared" si="36"/>
        <v>-2.6208975994432837E-3</v>
      </c>
    </row>
    <row r="377" spans="1:7">
      <c r="A377" s="134">
        <v>45082</v>
      </c>
      <c r="B377" s="133">
        <v>510.1</v>
      </c>
      <c r="C377" s="133">
        <f t="shared" si="34"/>
        <v>-1.5250965250965254E-2</v>
      </c>
      <c r="D377" s="133">
        <v>18593.849999999999</v>
      </c>
      <c r="E377" s="133">
        <f t="shared" si="35"/>
        <v>3.223787505193032E-3</v>
      </c>
      <c r="F377" s="135">
        <v>12900.6</v>
      </c>
      <c r="G377" s="67">
        <f t="shared" si="36"/>
        <v>-6.8058849975970448E-3</v>
      </c>
    </row>
    <row r="378" spans="1:7">
      <c r="A378" s="134">
        <v>45079</v>
      </c>
      <c r="B378" s="133">
        <v>518</v>
      </c>
      <c r="C378" s="133">
        <f t="shared" si="34"/>
        <v>8.9598753408648424E-3</v>
      </c>
      <c r="D378" s="133">
        <v>18534.099999999999</v>
      </c>
      <c r="E378" s="133">
        <f t="shared" si="35"/>
        <v>2.507065489310456E-3</v>
      </c>
      <c r="F378" s="135">
        <v>12812.8</v>
      </c>
      <c r="G378" s="67">
        <f t="shared" si="36"/>
        <v>-1.0489510489510412E-2</v>
      </c>
    </row>
    <row r="379" spans="1:7">
      <c r="A379" s="134">
        <v>45078</v>
      </c>
      <c r="B379" s="133">
        <v>513.4</v>
      </c>
      <c r="C379" s="133">
        <f t="shared" si="34"/>
        <v>2.209834760103524E-2</v>
      </c>
      <c r="D379" s="133">
        <v>18487.75</v>
      </c>
      <c r="E379" s="133">
        <f t="shared" si="35"/>
        <v>-2.5169414709945714E-3</v>
      </c>
      <c r="F379" s="135">
        <v>12678.4</v>
      </c>
      <c r="G379" s="67">
        <f t="shared" si="36"/>
        <v>-5.813036345280076E-3</v>
      </c>
    </row>
    <row r="380" spans="1:7">
      <c r="A380" s="134">
        <v>45077</v>
      </c>
      <c r="B380" s="133">
        <v>502.3</v>
      </c>
      <c r="C380" s="133">
        <f t="shared" si="34"/>
        <v>-6.8215521502718035E-3</v>
      </c>
      <c r="D380" s="133">
        <v>18534.400000000001</v>
      </c>
      <c r="E380" s="133">
        <f t="shared" si="35"/>
        <v>-5.3370613158310043E-3</v>
      </c>
      <c r="F380" s="135">
        <v>12604.7</v>
      </c>
      <c r="G380" s="67">
        <f t="shared" si="36"/>
        <v>1.5470419764056498E-3</v>
      </c>
    </row>
    <row r="381" spans="1:7">
      <c r="A381" s="134">
        <v>45076</v>
      </c>
      <c r="B381" s="133">
        <v>505.75</v>
      </c>
      <c r="C381" s="133">
        <f t="shared" si="34"/>
        <v>-1.2303485987696372E-2</v>
      </c>
      <c r="D381" s="133">
        <v>18633.849999999999</v>
      </c>
      <c r="E381" s="133">
        <f t="shared" si="35"/>
        <v>1.8926104851695325E-3</v>
      </c>
      <c r="F381" s="135">
        <v>12624.2</v>
      </c>
      <c r="G381" s="67">
        <f t="shared" si="36"/>
        <v>-1.7941730961170688E-3</v>
      </c>
    </row>
    <row r="382" spans="1:7">
      <c r="A382" s="134">
        <v>45075</v>
      </c>
      <c r="B382" s="133">
        <v>512.04999999999995</v>
      </c>
      <c r="C382" s="133">
        <f t="shared" si="34"/>
        <v>7.4766355140185592E-3</v>
      </c>
      <c r="D382" s="133">
        <v>18598.650000000001</v>
      </c>
      <c r="E382" s="133">
        <f t="shared" si="35"/>
        <v>5.3677561644058791E-3</v>
      </c>
      <c r="F382" s="135">
        <v>12601.55</v>
      </c>
      <c r="G382" s="67">
        <f t="shared" si="36"/>
        <v>-1.1589844106478897E-2</v>
      </c>
    </row>
    <row r="383" spans="1:7">
      <c r="A383" s="134">
        <v>45072</v>
      </c>
      <c r="B383" s="133">
        <v>508.25</v>
      </c>
      <c r="C383" s="133">
        <f t="shared" si="34"/>
        <v>5.0425153252917632E-3</v>
      </c>
      <c r="D383" s="133">
        <v>18499.349999999999</v>
      </c>
      <c r="E383" s="133">
        <f t="shared" si="35"/>
        <v>9.7264636772254054E-3</v>
      </c>
      <c r="F383" s="135">
        <v>12455.5</v>
      </c>
      <c r="G383" s="67">
        <f t="shared" si="36"/>
        <v>-1.2083015535304664E-3</v>
      </c>
    </row>
    <row r="384" spans="1:7">
      <c r="A384" s="134">
        <v>45071</v>
      </c>
      <c r="B384" s="133">
        <v>505.7</v>
      </c>
      <c r="C384" s="133">
        <f t="shared" si="34"/>
        <v>3.4725667228892032E-3</v>
      </c>
      <c r="D384" s="133">
        <v>18321.150000000001</v>
      </c>
      <c r="E384" s="133">
        <f t="shared" si="35"/>
        <v>1.955111728482839E-3</v>
      </c>
      <c r="F384" s="135">
        <v>12440.45</v>
      </c>
      <c r="G384" s="67">
        <f t="shared" si="36"/>
        <v>-1.0148346723792168E-2</v>
      </c>
    </row>
    <row r="385" spans="1:7">
      <c r="A385" s="134">
        <v>45070</v>
      </c>
      <c r="B385" s="133">
        <v>503.95</v>
      </c>
      <c r="C385" s="133">
        <f t="shared" si="34"/>
        <v>-6.8972312543107428E-3</v>
      </c>
      <c r="D385" s="133">
        <v>18285.400000000001</v>
      </c>
      <c r="E385" s="133">
        <f t="shared" si="35"/>
        <v>-3.4118160017440058E-3</v>
      </c>
      <c r="F385" s="135">
        <v>12314.2</v>
      </c>
      <c r="G385" s="67">
        <f t="shared" si="36"/>
        <v>-5.6844943236263878E-3</v>
      </c>
    </row>
    <row r="386" spans="1:7">
      <c r="A386" s="134">
        <v>45069</v>
      </c>
      <c r="B386" s="133">
        <v>507.45</v>
      </c>
      <c r="C386" s="133">
        <f t="shared" si="34"/>
        <v>2.370370370370356E-3</v>
      </c>
      <c r="D386" s="133">
        <v>18348</v>
      </c>
      <c r="E386" s="133">
        <f t="shared" si="35"/>
        <v>1.834621936836589E-3</v>
      </c>
      <c r="F386" s="135">
        <v>12244.2</v>
      </c>
      <c r="G386" s="67">
        <f t="shared" si="36"/>
        <v>-9.7964750657454358E-3</v>
      </c>
    </row>
    <row r="387" spans="1:7">
      <c r="A387" s="134">
        <v>45068</v>
      </c>
      <c r="B387" s="133">
        <v>506.25</v>
      </c>
      <c r="C387" s="133">
        <f t="shared" si="34"/>
        <v>2.3347483323226115E-2</v>
      </c>
      <c r="D387" s="133">
        <v>18314.400000000001</v>
      </c>
      <c r="E387" s="133">
        <f t="shared" si="35"/>
        <v>6.0977619565576457E-3</v>
      </c>
      <c r="F387" s="135">
        <v>12124.25</v>
      </c>
      <c r="G387" s="67">
        <f t="shared" si="36"/>
        <v>9.6583293811989268E-3</v>
      </c>
    </row>
    <row r="388" spans="1:7">
      <c r="A388" s="134">
        <v>45065</v>
      </c>
      <c r="B388" s="133">
        <v>494.7</v>
      </c>
      <c r="C388" s="133">
        <f t="shared" si="34"/>
        <v>-2.6276941245940377E-2</v>
      </c>
      <c r="D388" s="133">
        <v>18203.400000000001</v>
      </c>
      <c r="E388" s="133">
        <f t="shared" si="35"/>
        <v>4.0513073670915833E-3</v>
      </c>
      <c r="F388" s="135">
        <v>12241.35</v>
      </c>
      <c r="G388" s="67">
        <f t="shared" si="36"/>
        <v>1.2841720888627339E-2</v>
      </c>
    </row>
    <row r="389" spans="1:7">
      <c r="A389" s="134">
        <v>45064</v>
      </c>
      <c r="B389" s="133">
        <v>508.05</v>
      </c>
      <c r="C389" s="133">
        <f t="shared" si="34"/>
        <v>-2.0720894371626719E-2</v>
      </c>
      <c r="D389" s="133">
        <v>18129.95</v>
      </c>
      <c r="E389" s="133">
        <f t="shared" si="35"/>
        <v>-2.8490106837900653E-3</v>
      </c>
      <c r="F389" s="135">
        <v>12398.55</v>
      </c>
      <c r="G389" s="67">
        <f t="shared" si="36"/>
        <v>4.5126244601183529E-3</v>
      </c>
    </row>
    <row r="390" spans="1:7">
      <c r="A390" s="134">
        <v>45063</v>
      </c>
      <c r="B390" s="133">
        <v>518.79999999999995</v>
      </c>
      <c r="C390" s="133">
        <f t="shared" si="34"/>
        <v>5.2315442743653406E-3</v>
      </c>
      <c r="D390" s="133">
        <v>18181.75</v>
      </c>
      <c r="E390" s="133">
        <f t="shared" si="35"/>
        <v>-5.7282694884204233E-3</v>
      </c>
      <c r="F390" s="135">
        <v>12454.5</v>
      </c>
      <c r="G390" s="67">
        <f t="shared" si="36"/>
        <v>2.6416154803483582E-3</v>
      </c>
    </row>
    <row r="391" spans="1:7">
      <c r="A391" s="134">
        <v>45062</v>
      </c>
      <c r="B391" s="133">
        <v>516.1</v>
      </c>
      <c r="C391" s="133">
        <f t="shared" si="34"/>
        <v>-3.1868662481892018E-3</v>
      </c>
      <c r="D391" s="133">
        <v>18286.5</v>
      </c>
      <c r="E391" s="133">
        <f t="shared" si="35"/>
        <v>-6.1063599083637232E-3</v>
      </c>
      <c r="F391" s="135">
        <v>12487.4</v>
      </c>
      <c r="G391" s="67">
        <f t="shared" si="36"/>
        <v>-5.6056504956880637E-5</v>
      </c>
    </row>
    <row r="392" spans="1:7">
      <c r="A392" s="134">
        <v>45061</v>
      </c>
      <c r="B392" s="133">
        <v>517.75</v>
      </c>
      <c r="C392" s="133">
        <f t="shared" si="34"/>
        <v>8.0802180685357605E-3</v>
      </c>
      <c r="D392" s="133">
        <v>18398.849999999999</v>
      </c>
      <c r="E392" s="133">
        <f t="shared" si="35"/>
        <v>4.5891847030816724E-3</v>
      </c>
      <c r="F392" s="135">
        <v>12486.7</v>
      </c>
      <c r="G392" s="67">
        <f t="shared" si="36"/>
        <v>5.6339945702226224E-3</v>
      </c>
    </row>
    <row r="393" spans="1:7">
      <c r="A393" s="134">
        <v>45058</v>
      </c>
      <c r="B393" s="133">
        <v>513.6</v>
      </c>
      <c r="C393" s="133">
        <f t="shared" ref="C393:C456" si="37">B393/B394-1</f>
        <v>-2.9197080291964994E-4</v>
      </c>
      <c r="D393" s="133">
        <v>18314.8</v>
      </c>
      <c r="E393" s="133">
        <f t="shared" ref="E393:E456" si="38">D393/D394-1</f>
        <v>9.7283707711648404E-4</v>
      </c>
      <c r="F393" s="135">
        <v>12557.05</v>
      </c>
      <c r="G393" s="67">
        <f t="shared" ref="G393:G456" si="39">F394/F393-1</f>
        <v>1.2729900733054356E-2</v>
      </c>
    </row>
    <row r="394" spans="1:7">
      <c r="A394" s="134">
        <v>45057</v>
      </c>
      <c r="B394" s="133">
        <v>513.75</v>
      </c>
      <c r="C394" s="133">
        <f t="shared" si="37"/>
        <v>-2.2545662100456609E-2</v>
      </c>
      <c r="D394" s="133">
        <v>18297</v>
      </c>
      <c r="E394" s="133">
        <f t="shared" si="38"/>
        <v>-9.8825559238002736E-4</v>
      </c>
      <c r="F394" s="135">
        <v>12716.9</v>
      </c>
      <c r="G394" s="67">
        <f t="shared" si="39"/>
        <v>-1.5727103303442291E-5</v>
      </c>
    </row>
    <row r="395" spans="1:7">
      <c r="A395" s="134">
        <v>45056</v>
      </c>
      <c r="B395" s="133">
        <v>525.6</v>
      </c>
      <c r="C395" s="133">
        <f t="shared" si="37"/>
        <v>1.2382131631583082E-3</v>
      </c>
      <c r="D395" s="133">
        <v>18315.099999999999</v>
      </c>
      <c r="E395" s="133">
        <f t="shared" si="38"/>
        <v>2.6907990003255389E-3</v>
      </c>
      <c r="F395" s="135">
        <v>12716.7</v>
      </c>
      <c r="G395" s="67">
        <f t="shared" si="39"/>
        <v>-4.2149299739712154E-3</v>
      </c>
    </row>
    <row r="396" spans="1:7">
      <c r="A396" s="134">
        <v>45055</v>
      </c>
      <c r="B396" s="133">
        <v>524.95000000000005</v>
      </c>
      <c r="C396" s="133">
        <f t="shared" si="37"/>
        <v>-8.5649029310985725E-4</v>
      </c>
      <c r="D396" s="133">
        <v>18265.95</v>
      </c>
      <c r="E396" s="133">
        <f t="shared" si="38"/>
        <v>8.4864545235596722E-5</v>
      </c>
      <c r="F396" s="135">
        <v>12663.1</v>
      </c>
      <c r="G396" s="67">
        <f t="shared" si="39"/>
        <v>-4.3235858518055892E-3</v>
      </c>
    </row>
    <row r="397" spans="1:7">
      <c r="A397" s="134">
        <v>45054</v>
      </c>
      <c r="B397" s="133">
        <v>525.4</v>
      </c>
      <c r="C397" s="133">
        <f t="shared" si="37"/>
        <v>1.6247582205028976E-2</v>
      </c>
      <c r="D397" s="133">
        <v>18264.400000000001</v>
      </c>
      <c r="E397" s="133">
        <f t="shared" si="38"/>
        <v>1.0814101499806439E-2</v>
      </c>
      <c r="F397" s="135">
        <v>12608.35</v>
      </c>
      <c r="G397" s="67">
        <f t="shared" si="39"/>
        <v>3.6721696336157184E-3</v>
      </c>
    </row>
    <row r="398" spans="1:7">
      <c r="A398" s="134">
        <v>45051</v>
      </c>
      <c r="B398" s="133">
        <v>517</v>
      </c>
      <c r="C398" s="133">
        <f t="shared" si="37"/>
        <v>-5.8648206903181288E-3</v>
      </c>
      <c r="D398" s="133">
        <v>18069</v>
      </c>
      <c r="E398" s="133">
        <f t="shared" si="38"/>
        <v>-1.0232364508813596E-2</v>
      </c>
      <c r="F398" s="135">
        <v>12654.65</v>
      </c>
      <c r="G398" s="67">
        <f t="shared" si="39"/>
        <v>-5.3616654747464798E-3</v>
      </c>
    </row>
    <row r="399" spans="1:7">
      <c r="A399" s="134">
        <v>45050</v>
      </c>
      <c r="B399" s="133">
        <v>520.04999999999995</v>
      </c>
      <c r="C399" s="133">
        <f t="shared" si="37"/>
        <v>-1.3442150744119585E-3</v>
      </c>
      <c r="D399" s="133">
        <v>18255.8</v>
      </c>
      <c r="E399" s="133">
        <f t="shared" si="38"/>
        <v>9.1736526284076358E-3</v>
      </c>
      <c r="F399" s="135">
        <v>12586.8</v>
      </c>
      <c r="G399" s="67">
        <f t="shared" si="39"/>
        <v>2.7806908825112053E-4</v>
      </c>
    </row>
    <row r="400" spans="1:7">
      <c r="A400" s="134">
        <v>45049</v>
      </c>
      <c r="B400" s="133">
        <v>520.75</v>
      </c>
      <c r="C400" s="133">
        <f t="shared" si="37"/>
        <v>7.3508076216266538E-3</v>
      </c>
      <c r="D400" s="133">
        <v>18089.849999999999</v>
      </c>
      <c r="E400" s="133">
        <f t="shared" si="38"/>
        <v>-3.1849853837826458E-3</v>
      </c>
      <c r="F400" s="135">
        <v>12590.3</v>
      </c>
      <c r="G400" s="67">
        <f t="shared" si="39"/>
        <v>1.8784302200902658E-3</v>
      </c>
    </row>
    <row r="401" spans="1:7">
      <c r="A401" s="134">
        <v>45048</v>
      </c>
      <c r="B401" s="133">
        <v>516.95000000000005</v>
      </c>
      <c r="C401" s="133">
        <f t="shared" si="37"/>
        <v>-5.6741681092516982E-3</v>
      </c>
      <c r="D401" s="133">
        <v>18147.650000000001</v>
      </c>
      <c r="E401" s="133">
        <f t="shared" si="38"/>
        <v>4.5751453086078087E-3</v>
      </c>
      <c r="F401" s="135">
        <v>12613.95</v>
      </c>
      <c r="G401" s="67">
        <f t="shared" si="39"/>
        <v>-7.4996333424502959E-3</v>
      </c>
    </row>
    <row r="402" spans="1:7">
      <c r="A402" s="134">
        <v>45044</v>
      </c>
      <c r="B402" s="133">
        <v>519.9</v>
      </c>
      <c r="C402" s="133">
        <f t="shared" si="37"/>
        <v>1.0201107548819532E-2</v>
      </c>
      <c r="D402" s="133">
        <v>18065</v>
      </c>
      <c r="E402" s="133">
        <f t="shared" si="38"/>
        <v>8.3700575772884811E-3</v>
      </c>
      <c r="F402" s="135">
        <v>12519.35</v>
      </c>
      <c r="G402" s="67">
        <f t="shared" si="39"/>
        <v>-4.9123956115932899E-3</v>
      </c>
    </row>
    <row r="403" spans="1:7">
      <c r="A403" s="134">
        <v>45043</v>
      </c>
      <c r="B403" s="133">
        <v>514.65</v>
      </c>
      <c r="C403" s="133">
        <f t="shared" si="37"/>
        <v>-3.9674859686472663E-3</v>
      </c>
      <c r="D403" s="133">
        <v>17915.05</v>
      </c>
      <c r="E403" s="133">
        <f t="shared" si="38"/>
        <v>5.6950868998968396E-3</v>
      </c>
      <c r="F403" s="135">
        <v>12457.85</v>
      </c>
      <c r="G403" s="67">
        <f t="shared" si="39"/>
        <v>-1.0033834088551963E-4</v>
      </c>
    </row>
    <row r="404" spans="1:7">
      <c r="A404" s="134">
        <v>45042</v>
      </c>
      <c r="B404" s="133">
        <v>516.70000000000005</v>
      </c>
      <c r="C404" s="133">
        <f t="shared" si="37"/>
        <v>-3.7597609177671965E-3</v>
      </c>
      <c r="D404" s="133">
        <v>17813.599999999999</v>
      </c>
      <c r="E404" s="133">
        <f t="shared" si="38"/>
        <v>2.4958847447134058E-3</v>
      </c>
      <c r="F404" s="135">
        <v>12456.6</v>
      </c>
      <c r="G404" s="67">
        <f t="shared" si="39"/>
        <v>-1.8062713742117431E-4</v>
      </c>
    </row>
    <row r="405" spans="1:7">
      <c r="A405" s="134">
        <v>45041</v>
      </c>
      <c r="B405" s="133">
        <v>518.65</v>
      </c>
      <c r="C405" s="133">
        <f t="shared" si="37"/>
        <v>3.2885191991487428E-3</v>
      </c>
      <c r="D405" s="133">
        <v>17769.25</v>
      </c>
      <c r="E405" s="133">
        <f t="shared" si="38"/>
        <v>1.4568797411995682E-3</v>
      </c>
      <c r="F405" s="135">
        <v>12454.35</v>
      </c>
      <c r="G405" s="67">
        <f t="shared" si="39"/>
        <v>7.3388013023560905E-3</v>
      </c>
    </row>
    <row r="406" spans="1:7">
      <c r="A406" s="134">
        <v>45040</v>
      </c>
      <c r="B406" s="133">
        <v>516.95000000000005</v>
      </c>
      <c r="C406" s="133">
        <f t="shared" si="37"/>
        <v>-3.4698795180722053E-3</v>
      </c>
      <c r="D406" s="133">
        <v>17743.400000000001</v>
      </c>
      <c r="E406" s="133">
        <f t="shared" si="38"/>
        <v>6.7719962210730511E-3</v>
      </c>
      <c r="F406" s="135">
        <v>12545.75</v>
      </c>
      <c r="G406" s="67">
        <f t="shared" si="39"/>
        <v>-4.8223501982742611E-3</v>
      </c>
    </row>
    <row r="407" spans="1:7">
      <c r="A407" s="134">
        <v>45037</v>
      </c>
      <c r="B407" s="133">
        <v>518.75</v>
      </c>
      <c r="C407" s="133">
        <f t="shared" si="37"/>
        <v>9.8306404516252943E-3</v>
      </c>
      <c r="D407" s="133">
        <v>17624.05</v>
      </c>
      <c r="E407" s="133">
        <f t="shared" si="38"/>
        <v>-2.2695743697065396E-5</v>
      </c>
      <c r="F407" s="135">
        <v>12485.25</v>
      </c>
      <c r="G407" s="67">
        <f t="shared" si="39"/>
        <v>1.1217236338879832E-2</v>
      </c>
    </row>
    <row r="408" spans="1:7">
      <c r="A408" s="134">
        <v>45036</v>
      </c>
      <c r="B408" s="133">
        <v>513.70000000000005</v>
      </c>
      <c r="C408" s="133">
        <f t="shared" si="37"/>
        <v>-6.5751305356797074E-3</v>
      </c>
      <c r="D408" s="133">
        <v>17624.45</v>
      </c>
      <c r="E408" s="133">
        <f t="shared" si="38"/>
        <v>3.2351897836124799E-4</v>
      </c>
      <c r="F408" s="135">
        <v>12625.3</v>
      </c>
      <c r="G408" s="67">
        <f t="shared" si="39"/>
        <v>-1.4217483940974773E-3</v>
      </c>
    </row>
    <row r="409" spans="1:7">
      <c r="A409" s="134">
        <v>45035</v>
      </c>
      <c r="B409" s="133">
        <v>517.1</v>
      </c>
      <c r="C409" s="133">
        <f t="shared" si="37"/>
        <v>2.3260321767786252E-3</v>
      </c>
      <c r="D409" s="133">
        <v>17618.75</v>
      </c>
      <c r="E409" s="133">
        <f t="shared" si="38"/>
        <v>-2.3442609490860189E-3</v>
      </c>
      <c r="F409" s="135">
        <v>12607.35</v>
      </c>
      <c r="G409" s="67">
        <f t="shared" si="39"/>
        <v>-1.6161207549564294E-2</v>
      </c>
    </row>
    <row r="410" spans="1:7">
      <c r="A410" s="134">
        <v>45034</v>
      </c>
      <c r="B410" s="133">
        <v>515.9</v>
      </c>
      <c r="C410" s="133">
        <f t="shared" si="37"/>
        <v>2.7484564827723545E-2</v>
      </c>
      <c r="D410" s="133">
        <v>17660.150000000001</v>
      </c>
      <c r="E410" s="133">
        <f t="shared" si="38"/>
        <v>-2.6373973914048943E-3</v>
      </c>
      <c r="F410" s="135">
        <v>12403.6</v>
      </c>
      <c r="G410" s="67">
        <f t="shared" si="39"/>
        <v>6.0708181495694458E-3</v>
      </c>
    </row>
    <row r="411" spans="1:7">
      <c r="A411" s="134">
        <v>45033</v>
      </c>
      <c r="B411" s="133">
        <v>502.1</v>
      </c>
      <c r="C411" s="133">
        <f t="shared" si="37"/>
        <v>-3.0775340017868968E-3</v>
      </c>
      <c r="D411" s="133">
        <v>17706.849999999999</v>
      </c>
      <c r="E411" s="133">
        <f t="shared" si="38"/>
        <v>-6.7954902400718664E-3</v>
      </c>
      <c r="F411" s="135">
        <v>12478.9</v>
      </c>
      <c r="G411" s="67">
        <f t="shared" si="39"/>
        <v>7.6368910721298366E-3</v>
      </c>
    </row>
    <row r="412" spans="1:7">
      <c r="A412" s="134">
        <v>45029</v>
      </c>
      <c r="B412" s="133">
        <v>503.65</v>
      </c>
      <c r="C412" s="133">
        <f t="shared" si="37"/>
        <v>-1.8826793499803207E-3</v>
      </c>
      <c r="D412" s="133">
        <v>17828</v>
      </c>
      <c r="E412" s="133">
        <f t="shared" si="38"/>
        <v>8.7579439042451135E-4</v>
      </c>
      <c r="F412" s="135">
        <v>12574.2</v>
      </c>
      <c r="G412" s="67">
        <f t="shared" si="39"/>
        <v>-2.1806556281910638E-2</v>
      </c>
    </row>
    <row r="413" spans="1:7">
      <c r="A413" s="134">
        <v>45028</v>
      </c>
      <c r="B413" s="133">
        <v>504.6</v>
      </c>
      <c r="C413" s="133">
        <f t="shared" si="37"/>
        <v>7.1856287425149379E-3</v>
      </c>
      <c r="D413" s="133">
        <v>17812.400000000001</v>
      </c>
      <c r="E413" s="133">
        <f t="shared" si="38"/>
        <v>5.083990227002344E-3</v>
      </c>
      <c r="F413" s="135">
        <v>12300</v>
      </c>
      <c r="G413" s="67">
        <f t="shared" si="39"/>
        <v>-1.016260162601812E-4</v>
      </c>
    </row>
    <row r="414" spans="1:7">
      <c r="A414" s="134">
        <v>45027</v>
      </c>
      <c r="B414" s="133">
        <v>501</v>
      </c>
      <c r="C414" s="133">
        <f t="shared" si="37"/>
        <v>9.0634441087613649E-3</v>
      </c>
      <c r="D414" s="133">
        <v>17722.3</v>
      </c>
      <c r="E414" s="133">
        <f t="shared" si="38"/>
        <v>5.5747685690858972E-3</v>
      </c>
      <c r="F414" s="135">
        <v>12298.75</v>
      </c>
      <c r="G414" s="67">
        <f t="shared" si="39"/>
        <v>-1.9839414574651659E-3</v>
      </c>
    </row>
    <row r="415" spans="1:7">
      <c r="A415" s="134">
        <v>45026</v>
      </c>
      <c r="B415" s="133">
        <v>496.5</v>
      </c>
      <c r="C415" s="133">
        <f t="shared" si="37"/>
        <v>4.7556409996964977E-3</v>
      </c>
      <c r="D415" s="133">
        <v>17624.05</v>
      </c>
      <c r="E415" s="133">
        <f t="shared" si="38"/>
        <v>1.4148410576646508E-3</v>
      </c>
      <c r="F415" s="135">
        <v>12274.35</v>
      </c>
      <c r="G415" s="67">
        <f t="shared" si="39"/>
        <v>-7.5360406050014594E-3</v>
      </c>
    </row>
    <row r="416" spans="1:7">
      <c r="A416" s="134">
        <v>45022</v>
      </c>
      <c r="B416" s="133">
        <v>494.15</v>
      </c>
      <c r="C416" s="133">
        <f t="shared" si="37"/>
        <v>2.129385520178273E-3</v>
      </c>
      <c r="D416" s="133">
        <v>17599.150000000001</v>
      </c>
      <c r="E416" s="133">
        <f t="shared" si="38"/>
        <v>2.3978971410345551E-3</v>
      </c>
      <c r="F416" s="135">
        <v>12181.85</v>
      </c>
      <c r="G416" s="67">
        <f t="shared" si="39"/>
        <v>-9.3499755784219873E-3</v>
      </c>
    </row>
    <row r="417" spans="1:7">
      <c r="A417" s="134">
        <v>45021</v>
      </c>
      <c r="B417" s="133">
        <v>493.1</v>
      </c>
      <c r="C417" s="133">
        <f t="shared" si="37"/>
        <v>1.4216084484159897E-3</v>
      </c>
      <c r="D417" s="133">
        <v>17557.05</v>
      </c>
      <c r="E417" s="133">
        <f t="shared" si="38"/>
        <v>9.1389552277409969E-3</v>
      </c>
      <c r="F417" s="135">
        <v>12067.95</v>
      </c>
      <c r="G417" s="67">
        <f t="shared" si="39"/>
        <v>-4.217783467780456E-3</v>
      </c>
    </row>
    <row r="418" spans="1:7">
      <c r="A418" s="134">
        <v>45019</v>
      </c>
      <c r="B418" s="133">
        <v>492.4</v>
      </c>
      <c r="C418" s="133">
        <f t="shared" si="37"/>
        <v>1.7292238836332796E-3</v>
      </c>
      <c r="D418" s="133">
        <v>17398.05</v>
      </c>
      <c r="E418" s="133">
        <f t="shared" si="38"/>
        <v>2.2062529702329137E-3</v>
      </c>
      <c r="F418" s="135">
        <v>12017.05</v>
      </c>
      <c r="G418" s="67">
        <f t="shared" si="39"/>
        <v>-6.203685596714581E-3</v>
      </c>
    </row>
    <row r="419" spans="1:7">
      <c r="A419" s="134">
        <v>45016</v>
      </c>
      <c r="B419" s="133">
        <v>491.55</v>
      </c>
      <c r="C419" s="133">
        <f t="shared" si="37"/>
        <v>2.4472315692871671E-3</v>
      </c>
      <c r="D419" s="133">
        <v>17359.75</v>
      </c>
      <c r="E419" s="133">
        <f t="shared" si="38"/>
        <v>1.6337152458622883E-2</v>
      </c>
      <c r="F419" s="135">
        <v>11942.5</v>
      </c>
      <c r="G419" s="67">
        <f t="shared" si="39"/>
        <v>-5.8028051078081733E-3</v>
      </c>
    </row>
    <row r="420" spans="1:7">
      <c r="A420" s="134">
        <v>45014</v>
      </c>
      <c r="B420" s="133">
        <v>490.35</v>
      </c>
      <c r="C420" s="133">
        <f t="shared" si="37"/>
        <v>1.1552346570397054E-2</v>
      </c>
      <c r="D420" s="133">
        <v>17080.7</v>
      </c>
      <c r="E420" s="133">
        <f t="shared" si="38"/>
        <v>7.6098562386073265E-3</v>
      </c>
      <c r="F420" s="135">
        <v>11873.2</v>
      </c>
      <c r="G420" s="67">
        <f t="shared" si="39"/>
        <v>8.0433244618127731E-4</v>
      </c>
    </row>
    <row r="421" spans="1:7">
      <c r="A421" s="134">
        <v>45013</v>
      </c>
      <c r="B421" s="133">
        <v>484.75</v>
      </c>
      <c r="C421" s="133">
        <f t="shared" si="37"/>
        <v>5.9140900601784008E-3</v>
      </c>
      <c r="D421" s="133">
        <v>16951.7</v>
      </c>
      <c r="E421" s="133">
        <f t="shared" si="38"/>
        <v>-2.0016837692883316E-3</v>
      </c>
      <c r="F421" s="135">
        <v>11882.75</v>
      </c>
      <c r="G421" s="67">
        <f t="shared" si="39"/>
        <v>-1.072142391281472E-2</v>
      </c>
    </row>
    <row r="422" spans="1:7">
      <c r="A422" s="134">
        <v>45012</v>
      </c>
      <c r="B422" s="133">
        <v>481.9</v>
      </c>
      <c r="C422" s="133">
        <f t="shared" si="37"/>
        <v>2.4963594757645424E-3</v>
      </c>
      <c r="D422" s="133">
        <v>16985.7</v>
      </c>
      <c r="E422" s="133">
        <f t="shared" si="38"/>
        <v>2.3989306611666983E-3</v>
      </c>
      <c r="F422" s="135">
        <v>11755.35</v>
      </c>
      <c r="G422" s="67">
        <f t="shared" si="39"/>
        <v>2.169225076241954E-3</v>
      </c>
    </row>
    <row r="423" spans="1:7">
      <c r="A423" s="134">
        <v>45009</v>
      </c>
      <c r="B423" s="133">
        <v>480.7</v>
      </c>
      <c r="C423" s="133">
        <f t="shared" si="37"/>
        <v>-3.3174372797014628E-3</v>
      </c>
      <c r="D423" s="133">
        <v>16945.05</v>
      </c>
      <c r="E423" s="133">
        <f t="shared" si="38"/>
        <v>-7.7209563796709624E-3</v>
      </c>
      <c r="F423" s="135">
        <v>11780.85</v>
      </c>
      <c r="G423" s="67">
        <f t="shared" si="39"/>
        <v>-2.2197040111706645E-3</v>
      </c>
    </row>
    <row r="424" spans="1:7">
      <c r="A424" s="134">
        <v>45008</v>
      </c>
      <c r="B424" s="133">
        <v>482.3</v>
      </c>
      <c r="C424" s="133">
        <f t="shared" si="37"/>
        <v>7.6256137052126416E-3</v>
      </c>
      <c r="D424" s="133">
        <v>17076.900000000001</v>
      </c>
      <c r="E424" s="133">
        <f t="shared" si="38"/>
        <v>-4.3726934042292998E-3</v>
      </c>
      <c r="F424" s="135">
        <v>11754.7</v>
      </c>
      <c r="G424" s="67">
        <f t="shared" si="39"/>
        <v>-1.0289501220788311E-2</v>
      </c>
    </row>
    <row r="425" spans="1:7">
      <c r="A425" s="134">
        <v>45007</v>
      </c>
      <c r="B425" s="133">
        <v>478.65</v>
      </c>
      <c r="C425" s="133">
        <f t="shared" si="37"/>
        <v>6.2715584822825576E-4</v>
      </c>
      <c r="D425" s="133">
        <v>17151.900000000001</v>
      </c>
      <c r="E425" s="133">
        <f t="shared" si="38"/>
        <v>2.5953529153881494E-3</v>
      </c>
      <c r="F425" s="135">
        <v>11633.75</v>
      </c>
      <c r="G425" s="67">
        <f t="shared" si="39"/>
        <v>2.540023638121891E-3</v>
      </c>
    </row>
    <row r="426" spans="1:7">
      <c r="A426" s="134">
        <v>45006</v>
      </c>
      <c r="B426" s="133">
        <v>478.35</v>
      </c>
      <c r="C426" s="133">
        <f t="shared" si="37"/>
        <v>4.5149097018060136E-3</v>
      </c>
      <c r="D426" s="133">
        <v>17107.5</v>
      </c>
      <c r="E426" s="133">
        <f t="shared" si="38"/>
        <v>7.0106661015751914E-3</v>
      </c>
      <c r="F426" s="135">
        <v>11663.3</v>
      </c>
      <c r="G426" s="67">
        <f t="shared" si="39"/>
        <v>1.1017465039910856E-3</v>
      </c>
    </row>
    <row r="427" spans="1:7">
      <c r="A427" s="134">
        <v>45005</v>
      </c>
      <c r="B427" s="133">
        <v>476.2</v>
      </c>
      <c r="C427" s="133">
        <f t="shared" si="37"/>
        <v>-2.4091337592961892E-3</v>
      </c>
      <c r="D427" s="133">
        <v>16988.400000000001</v>
      </c>
      <c r="E427" s="133">
        <f t="shared" si="38"/>
        <v>-6.5292206747932235E-3</v>
      </c>
      <c r="F427" s="135">
        <v>11676.15</v>
      </c>
      <c r="G427" s="67">
        <f t="shared" si="39"/>
        <v>5.7424750452848006E-3</v>
      </c>
    </row>
    <row r="428" spans="1:7">
      <c r="A428" s="134">
        <v>45002</v>
      </c>
      <c r="B428" s="133">
        <v>477.35</v>
      </c>
      <c r="C428" s="133">
        <f t="shared" si="37"/>
        <v>-4.7951631397893379E-3</v>
      </c>
      <c r="D428" s="133">
        <v>17100.05</v>
      </c>
      <c r="E428" s="133">
        <f t="shared" si="38"/>
        <v>6.7380604747551143E-3</v>
      </c>
      <c r="F428" s="135">
        <v>11743.2</v>
      </c>
      <c r="G428" s="67">
        <f t="shared" si="39"/>
        <v>-9.3032563526125323E-3</v>
      </c>
    </row>
    <row r="429" spans="1:7">
      <c r="A429" s="134">
        <v>45001</v>
      </c>
      <c r="B429" s="133">
        <v>479.65</v>
      </c>
      <c r="C429" s="133">
        <f t="shared" si="37"/>
        <v>1.3202365863962839E-2</v>
      </c>
      <c r="D429" s="133">
        <v>16985.599999999999</v>
      </c>
      <c r="E429" s="133">
        <f t="shared" si="38"/>
        <v>7.9247473066157426E-4</v>
      </c>
      <c r="F429" s="135">
        <v>11633.95</v>
      </c>
      <c r="G429" s="67">
        <f t="shared" si="39"/>
        <v>-3.0943918445583973E-3</v>
      </c>
    </row>
    <row r="430" spans="1:7">
      <c r="A430" s="134">
        <v>45000</v>
      </c>
      <c r="B430" s="133">
        <v>473.4</v>
      </c>
      <c r="C430" s="133">
        <f t="shared" si="37"/>
        <v>6.056742110296387E-3</v>
      </c>
      <c r="D430" s="133">
        <v>16972.150000000001</v>
      </c>
      <c r="E430" s="133">
        <f t="shared" si="38"/>
        <v>-4.1746610104849147E-3</v>
      </c>
      <c r="F430" s="135">
        <v>11597.95</v>
      </c>
      <c r="G430" s="67">
        <f t="shared" si="39"/>
        <v>-5.1733280450494412E-5</v>
      </c>
    </row>
    <row r="431" spans="1:7">
      <c r="A431" s="134">
        <v>44999</v>
      </c>
      <c r="B431" s="133">
        <v>470.55</v>
      </c>
      <c r="C431" s="133">
        <f t="shared" si="37"/>
        <v>9.3307593307594416E-3</v>
      </c>
      <c r="D431" s="133">
        <v>17043.3</v>
      </c>
      <c r="E431" s="133">
        <f t="shared" si="38"/>
        <v>-6.4706808205522437E-3</v>
      </c>
      <c r="F431" s="135">
        <v>11597.35</v>
      </c>
      <c r="G431" s="67">
        <f t="shared" si="39"/>
        <v>7.467223115625643E-3</v>
      </c>
    </row>
    <row r="432" spans="1:7">
      <c r="A432" s="134">
        <v>44998</v>
      </c>
      <c r="B432" s="133">
        <v>466.2</v>
      </c>
      <c r="C432" s="133">
        <f t="shared" si="37"/>
        <v>-1.8319646241313992E-2</v>
      </c>
      <c r="D432" s="133">
        <v>17154.3</v>
      </c>
      <c r="E432" s="133">
        <f t="shared" si="38"/>
        <v>-1.4851058697862074E-2</v>
      </c>
      <c r="F432" s="135">
        <v>11683.95</v>
      </c>
      <c r="G432" s="67">
        <f t="shared" si="39"/>
        <v>1.407914275565858E-3</v>
      </c>
    </row>
    <row r="433" spans="1:7">
      <c r="A433" s="134">
        <v>44995</v>
      </c>
      <c r="B433" s="133">
        <v>474.9</v>
      </c>
      <c r="C433" s="133">
        <f t="shared" si="37"/>
        <v>1.3228077661617155E-2</v>
      </c>
      <c r="D433" s="133">
        <v>17412.900000000001</v>
      </c>
      <c r="E433" s="133">
        <f t="shared" si="38"/>
        <v>-1.0045708827943645E-2</v>
      </c>
      <c r="F433" s="135">
        <v>11700.4</v>
      </c>
      <c r="G433" s="67">
        <f t="shared" si="39"/>
        <v>4.2519913849099478E-3</v>
      </c>
    </row>
    <row r="434" spans="1:7">
      <c r="A434" s="134">
        <v>44994</v>
      </c>
      <c r="B434" s="133">
        <v>468.7</v>
      </c>
      <c r="C434" s="133">
        <f t="shared" si="37"/>
        <v>-5.8330681938699724E-3</v>
      </c>
      <c r="D434" s="133">
        <v>17589.599999999999</v>
      </c>
      <c r="E434" s="133">
        <f t="shared" si="38"/>
        <v>-9.2822061010230383E-3</v>
      </c>
      <c r="F434" s="135">
        <v>11750.15</v>
      </c>
      <c r="G434" s="67">
        <f t="shared" si="39"/>
        <v>4.9148308744995095E-3</v>
      </c>
    </row>
    <row r="435" spans="1:7">
      <c r="A435" s="134">
        <v>44993</v>
      </c>
      <c r="B435" s="133">
        <v>471.45</v>
      </c>
      <c r="C435" s="133">
        <f t="shared" si="37"/>
        <v>-9.8708390213168018E-3</v>
      </c>
      <c r="D435" s="133">
        <v>17754.400000000001</v>
      </c>
      <c r="E435" s="133">
        <f t="shared" si="38"/>
        <v>2.4249849673516621E-3</v>
      </c>
      <c r="F435" s="135">
        <v>11807.9</v>
      </c>
      <c r="G435" s="67">
        <f t="shared" si="39"/>
        <v>-2.210384573040125E-3</v>
      </c>
    </row>
    <row r="436" spans="1:7">
      <c r="A436" s="134">
        <v>44991</v>
      </c>
      <c r="B436" s="133">
        <v>476.15</v>
      </c>
      <c r="C436" s="133">
        <f t="shared" si="37"/>
        <v>6.7660429220848251E-3</v>
      </c>
      <c r="D436" s="133">
        <v>17711.45</v>
      </c>
      <c r="E436" s="133">
        <f t="shared" si="38"/>
        <v>6.6555456723325079E-3</v>
      </c>
      <c r="F436" s="135">
        <v>11781.8</v>
      </c>
      <c r="G436" s="67">
        <f t="shared" si="39"/>
        <v>-1.7569471557825622E-3</v>
      </c>
    </row>
    <row r="437" spans="1:7">
      <c r="A437" s="134">
        <v>44988</v>
      </c>
      <c r="B437" s="133">
        <v>472.95</v>
      </c>
      <c r="C437" s="133">
        <f t="shared" si="37"/>
        <v>1.3283342260310693E-2</v>
      </c>
      <c r="D437" s="133">
        <v>17594.349999999999</v>
      </c>
      <c r="E437" s="133">
        <f t="shared" si="38"/>
        <v>1.5728644086387522E-2</v>
      </c>
      <c r="F437" s="135">
        <v>11761.1</v>
      </c>
      <c r="G437" s="67">
        <f t="shared" si="39"/>
        <v>2.9759121170647163E-4</v>
      </c>
    </row>
    <row r="438" spans="1:7">
      <c r="A438" s="134">
        <v>44987</v>
      </c>
      <c r="B438" s="133">
        <v>466.75</v>
      </c>
      <c r="C438" s="133">
        <f t="shared" si="37"/>
        <v>-1.435962411572167E-2</v>
      </c>
      <c r="D438" s="133">
        <v>17321.900000000001</v>
      </c>
      <c r="E438" s="133">
        <f t="shared" si="38"/>
        <v>-7.3921688852723877E-3</v>
      </c>
      <c r="F438" s="135">
        <v>11764.6</v>
      </c>
      <c r="G438" s="67">
        <f t="shared" si="39"/>
        <v>-1.4875133876205426E-3</v>
      </c>
    </row>
    <row r="439" spans="1:7">
      <c r="A439" s="134">
        <v>44986</v>
      </c>
      <c r="B439" s="133">
        <v>473.55</v>
      </c>
      <c r="C439" s="133">
        <f t="shared" si="37"/>
        <v>1.6638042078145121E-2</v>
      </c>
      <c r="D439" s="133">
        <v>17450.900000000001</v>
      </c>
      <c r="E439" s="133">
        <f t="shared" si="38"/>
        <v>8.4922806642413473E-3</v>
      </c>
      <c r="F439" s="135">
        <v>11747.1</v>
      </c>
      <c r="G439" s="67">
        <f t="shared" si="39"/>
        <v>1.3228796894552586E-2</v>
      </c>
    </row>
    <row r="440" spans="1:7">
      <c r="A440" s="134">
        <v>44985</v>
      </c>
      <c r="B440" s="133">
        <v>465.8</v>
      </c>
      <c r="C440" s="133">
        <f t="shared" si="37"/>
        <v>2.1379234733033714E-2</v>
      </c>
      <c r="D440" s="133">
        <v>17303.95</v>
      </c>
      <c r="E440" s="133">
        <f t="shared" si="38"/>
        <v>-5.1027155070805241E-3</v>
      </c>
      <c r="F440" s="135">
        <v>11902.5</v>
      </c>
      <c r="G440" s="67">
        <f t="shared" si="39"/>
        <v>7.8722957361898604E-3</v>
      </c>
    </row>
    <row r="441" spans="1:7">
      <c r="A441" s="134">
        <v>44984</v>
      </c>
      <c r="B441" s="133">
        <v>456.05</v>
      </c>
      <c r="C441" s="133">
        <f t="shared" si="37"/>
        <v>-2.2296066030657036E-2</v>
      </c>
      <c r="D441" s="133">
        <v>17392.7</v>
      </c>
      <c r="E441" s="133">
        <f t="shared" si="38"/>
        <v>-4.1853221724741374E-3</v>
      </c>
      <c r="F441" s="135">
        <v>11996.2</v>
      </c>
      <c r="G441" s="67">
        <f t="shared" si="39"/>
        <v>-2.3340724562778137E-3</v>
      </c>
    </row>
    <row r="442" spans="1:7">
      <c r="A442" s="134">
        <v>44981</v>
      </c>
      <c r="B442" s="133">
        <v>466.45</v>
      </c>
      <c r="C442" s="133">
        <f t="shared" si="37"/>
        <v>-2.9924120978946922E-3</v>
      </c>
      <c r="D442" s="133">
        <v>17465.8</v>
      </c>
      <c r="E442" s="133">
        <f t="shared" si="38"/>
        <v>-2.5954743379256184E-3</v>
      </c>
      <c r="F442" s="135">
        <v>11968.2</v>
      </c>
      <c r="G442" s="67">
        <f t="shared" si="39"/>
        <v>1.9760699186175401E-3</v>
      </c>
    </row>
    <row r="443" spans="1:7">
      <c r="A443" s="134">
        <v>44980</v>
      </c>
      <c r="B443" s="133">
        <v>467.85</v>
      </c>
      <c r="C443" s="133">
        <f t="shared" si="37"/>
        <v>7.7544426494347007E-3</v>
      </c>
      <c r="D443" s="133">
        <v>17511.25</v>
      </c>
      <c r="E443" s="133">
        <f t="shared" si="38"/>
        <v>-2.4523905823643499E-3</v>
      </c>
      <c r="F443" s="135">
        <v>11991.85</v>
      </c>
      <c r="G443" s="67">
        <f t="shared" si="39"/>
        <v>2.3057326434203773E-3</v>
      </c>
    </row>
    <row r="444" spans="1:7">
      <c r="A444" s="134">
        <v>44979</v>
      </c>
      <c r="B444" s="133">
        <v>464.25</v>
      </c>
      <c r="C444" s="133">
        <f t="shared" si="37"/>
        <v>-8.965738072366336E-3</v>
      </c>
      <c r="D444" s="133">
        <v>17554.3</v>
      </c>
      <c r="E444" s="133">
        <f t="shared" si="38"/>
        <v>-1.528045011134993E-2</v>
      </c>
      <c r="F444" s="135">
        <v>12019.5</v>
      </c>
      <c r="G444" s="67">
        <f t="shared" si="39"/>
        <v>2.9868130953867311E-3</v>
      </c>
    </row>
    <row r="445" spans="1:7">
      <c r="A445" s="134">
        <v>44978</v>
      </c>
      <c r="B445" s="133">
        <v>468.45</v>
      </c>
      <c r="C445" s="133">
        <f t="shared" si="37"/>
        <v>8.6123371730002507E-3</v>
      </c>
      <c r="D445" s="133">
        <v>17826.7</v>
      </c>
      <c r="E445" s="133">
        <f t="shared" si="38"/>
        <v>-1.0031045806573324E-3</v>
      </c>
      <c r="F445" s="135">
        <v>12055.4</v>
      </c>
      <c r="G445" s="67">
        <f t="shared" si="39"/>
        <v>8.183054896560904E-3</v>
      </c>
    </row>
    <row r="446" spans="1:7">
      <c r="A446" s="134">
        <v>44977</v>
      </c>
      <c r="B446" s="133">
        <v>464.45</v>
      </c>
      <c r="C446" s="133">
        <f t="shared" si="37"/>
        <v>-1.317327100818011E-2</v>
      </c>
      <c r="D446" s="133">
        <v>17844.599999999999</v>
      </c>
      <c r="E446" s="133">
        <f t="shared" si="38"/>
        <v>-5.5505400073562194E-3</v>
      </c>
      <c r="F446" s="135">
        <v>12154.05</v>
      </c>
      <c r="G446" s="67">
        <f t="shared" si="39"/>
        <v>1.1893154956578389E-2</v>
      </c>
    </row>
    <row r="447" spans="1:7">
      <c r="A447" s="134">
        <v>44974</v>
      </c>
      <c r="B447" s="133">
        <v>470.65</v>
      </c>
      <c r="C447" s="133">
        <f t="shared" si="37"/>
        <v>-1.3932537188351191E-2</v>
      </c>
      <c r="D447" s="133">
        <v>17944.2</v>
      </c>
      <c r="E447" s="133">
        <f t="shared" si="38"/>
        <v>-5.0815459210404867E-3</v>
      </c>
      <c r="F447" s="135">
        <v>12298.6</v>
      </c>
      <c r="G447" s="67">
        <f t="shared" si="39"/>
        <v>-5.0005691704746447E-3</v>
      </c>
    </row>
    <row r="448" spans="1:7">
      <c r="A448" s="134">
        <v>44973</v>
      </c>
      <c r="B448" s="133">
        <v>477.3</v>
      </c>
      <c r="C448" s="133">
        <f t="shared" si="37"/>
        <v>1.7046665246111203E-2</v>
      </c>
      <c r="D448" s="133">
        <v>18035.849999999999</v>
      </c>
      <c r="E448" s="133">
        <f t="shared" si="38"/>
        <v>1.1101335768226583E-3</v>
      </c>
      <c r="F448" s="135">
        <v>12237.1</v>
      </c>
      <c r="G448" s="67">
        <f t="shared" si="39"/>
        <v>9.5610888200625688E-4</v>
      </c>
    </row>
    <row r="449" spans="1:7">
      <c r="A449" s="134">
        <v>44972</v>
      </c>
      <c r="B449" s="133">
        <v>469.3</v>
      </c>
      <c r="C449" s="133">
        <f t="shared" si="37"/>
        <v>-7.9272804143325493E-3</v>
      </c>
      <c r="D449" s="133">
        <v>18015.849999999999</v>
      </c>
      <c r="E449" s="133">
        <f t="shared" si="38"/>
        <v>4.7964706899388254E-3</v>
      </c>
      <c r="F449" s="135">
        <v>12248.8</v>
      </c>
      <c r="G449" s="67">
        <f t="shared" si="39"/>
        <v>1.5756645548952175E-3</v>
      </c>
    </row>
    <row r="450" spans="1:7">
      <c r="A450" s="134">
        <v>44971</v>
      </c>
      <c r="B450" s="133">
        <v>473.05</v>
      </c>
      <c r="C450" s="133">
        <f t="shared" si="37"/>
        <v>3.3937851309788769E-3</v>
      </c>
      <c r="D450" s="133">
        <v>17929.849999999999</v>
      </c>
      <c r="E450" s="133">
        <f t="shared" si="38"/>
        <v>8.9443978639234256E-3</v>
      </c>
      <c r="F450" s="135">
        <v>12268.1</v>
      </c>
      <c r="G450" s="67">
        <f t="shared" si="39"/>
        <v>4.8010694402556009E-3</v>
      </c>
    </row>
    <row r="451" spans="1:7">
      <c r="A451" s="134">
        <v>44970</v>
      </c>
      <c r="B451" s="133">
        <v>471.45</v>
      </c>
      <c r="C451" s="133">
        <f t="shared" si="37"/>
        <v>-4.3294614572333412E-3</v>
      </c>
      <c r="D451" s="133">
        <v>17770.900000000001</v>
      </c>
      <c r="E451" s="133">
        <f t="shared" si="38"/>
        <v>-4.7937725758125938E-3</v>
      </c>
      <c r="F451" s="135">
        <v>12327</v>
      </c>
      <c r="G451" s="67">
        <f t="shared" si="39"/>
        <v>-1.9875070982395826E-3</v>
      </c>
    </row>
    <row r="452" spans="1:7">
      <c r="A452" s="134">
        <v>44967</v>
      </c>
      <c r="B452" s="133">
        <v>473.5</v>
      </c>
      <c r="C452" s="133">
        <f t="shared" si="37"/>
        <v>-1.8971332209105629E-3</v>
      </c>
      <c r="D452" s="133">
        <v>17856.5</v>
      </c>
      <c r="E452" s="133">
        <f t="shared" si="38"/>
        <v>-2.0650014390740656E-3</v>
      </c>
      <c r="F452" s="135">
        <v>12302.5</v>
      </c>
      <c r="G452" s="67">
        <f t="shared" si="39"/>
        <v>4.4543791912212694E-3</v>
      </c>
    </row>
    <row r="453" spans="1:7">
      <c r="A453" s="134">
        <v>44966</v>
      </c>
      <c r="B453" s="133">
        <v>474.4</v>
      </c>
      <c r="C453" s="133">
        <f t="shared" si="37"/>
        <v>8.4388185653994086E-4</v>
      </c>
      <c r="D453" s="133">
        <v>17893.45</v>
      </c>
      <c r="E453" s="133">
        <f t="shared" si="38"/>
        <v>1.2170078951638796E-3</v>
      </c>
      <c r="F453" s="135">
        <v>12357.3</v>
      </c>
      <c r="G453" s="67">
        <f t="shared" si="39"/>
        <v>-1.3425262800126236E-2</v>
      </c>
    </row>
    <row r="454" spans="1:7">
      <c r="A454" s="134">
        <v>44965</v>
      </c>
      <c r="B454" s="133">
        <v>474</v>
      </c>
      <c r="C454" s="133">
        <f t="shared" si="37"/>
        <v>-1.1367191573678159E-2</v>
      </c>
      <c r="D454" s="133">
        <v>17871.7</v>
      </c>
      <c r="E454" s="133">
        <f t="shared" si="38"/>
        <v>8.475580509550662E-3</v>
      </c>
      <c r="F454" s="135">
        <v>12191.4</v>
      </c>
      <c r="G454" s="67">
        <f t="shared" si="39"/>
        <v>1.3944255786868531E-4</v>
      </c>
    </row>
    <row r="455" spans="1:7">
      <c r="A455" s="134">
        <v>44964</v>
      </c>
      <c r="B455" s="133">
        <v>479.45</v>
      </c>
      <c r="C455" s="133">
        <f t="shared" si="37"/>
        <v>1.9780920982665151E-2</v>
      </c>
      <c r="D455" s="133">
        <v>17721.5</v>
      </c>
      <c r="E455" s="133">
        <f t="shared" si="38"/>
        <v>-2.4261734010334601E-3</v>
      </c>
      <c r="F455" s="135">
        <v>12193.1</v>
      </c>
      <c r="G455" s="67">
        <f t="shared" si="39"/>
        <v>-6.9711558176344113E-4</v>
      </c>
    </row>
    <row r="456" spans="1:7">
      <c r="A456" s="134">
        <v>44963</v>
      </c>
      <c r="B456" s="133">
        <v>470.15</v>
      </c>
      <c r="C456" s="133">
        <f t="shared" si="37"/>
        <v>8.1674910847808535E-2</v>
      </c>
      <c r="D456" s="133">
        <v>17764.599999999999</v>
      </c>
      <c r="E456" s="133">
        <f t="shared" si="38"/>
        <v>-5.0100677437332486E-3</v>
      </c>
      <c r="F456" s="135">
        <v>12184.6</v>
      </c>
      <c r="G456" s="67">
        <f t="shared" si="39"/>
        <v>9.9880176616384819E-3</v>
      </c>
    </row>
    <row r="457" spans="1:7">
      <c r="A457" s="134">
        <v>44960</v>
      </c>
      <c r="B457" s="133">
        <v>434.65</v>
      </c>
      <c r="C457" s="133">
        <f t="shared" ref="C457:C516" si="40">B457/B458-1</f>
        <v>4.1584844634399154E-3</v>
      </c>
      <c r="D457" s="133">
        <v>17854.05</v>
      </c>
      <c r="E457" s="133">
        <f t="shared" ref="E457:E516" si="41">D457/D458-1</f>
        <v>1.3835574433289199E-2</v>
      </c>
      <c r="F457" s="135">
        <v>12306.3</v>
      </c>
      <c r="G457" s="67">
        <f t="shared" ref="G457:G515" si="42">F458/F457-1</f>
        <v>4.0223300260842088E-3</v>
      </c>
    </row>
    <row r="458" spans="1:7">
      <c r="A458" s="134">
        <v>44959</v>
      </c>
      <c r="B458" s="133">
        <v>432.85</v>
      </c>
      <c r="C458" s="133">
        <f t="shared" si="40"/>
        <v>-5.9708347686300289E-3</v>
      </c>
      <c r="D458" s="133">
        <v>17610.400000000001</v>
      </c>
      <c r="E458" s="133">
        <f t="shared" si="41"/>
        <v>-3.3491709382771351E-4</v>
      </c>
      <c r="F458" s="135">
        <v>12355.8</v>
      </c>
      <c r="G458" s="67">
        <f t="shared" si="42"/>
        <v>3.6015474513995116E-4</v>
      </c>
    </row>
    <row r="459" spans="1:7">
      <c r="A459" s="134">
        <v>44958</v>
      </c>
      <c r="B459" s="133">
        <v>435.45</v>
      </c>
      <c r="C459" s="133">
        <f t="shared" si="40"/>
        <v>9.0371915189433327E-3</v>
      </c>
      <c r="D459" s="133">
        <v>17616.3</v>
      </c>
      <c r="E459" s="133">
        <f t="shared" si="41"/>
        <v>-2.5959466995808533E-3</v>
      </c>
      <c r="F459" s="135">
        <v>12360.25</v>
      </c>
      <c r="G459" s="67">
        <f t="shared" si="42"/>
        <v>1.0011933415586149E-2</v>
      </c>
    </row>
    <row r="460" spans="1:7">
      <c r="A460" s="134">
        <v>44957</v>
      </c>
      <c r="B460" s="133">
        <v>431.55</v>
      </c>
      <c r="C460" s="133">
        <f t="shared" si="40"/>
        <v>8.4121976866455839E-3</v>
      </c>
      <c r="D460" s="133">
        <v>17662.150000000001</v>
      </c>
      <c r="E460" s="133">
        <f t="shared" si="41"/>
        <v>7.4791984792299537E-4</v>
      </c>
      <c r="F460" s="135">
        <v>12484</v>
      </c>
      <c r="G460" s="67">
        <f t="shared" si="42"/>
        <v>1.9264658763216147E-3</v>
      </c>
    </row>
    <row r="461" spans="1:7">
      <c r="A461" s="134">
        <v>44956</v>
      </c>
      <c r="B461" s="133">
        <v>427.95</v>
      </c>
      <c r="C461" s="133">
        <f t="shared" si="40"/>
        <v>-5.4613060655357426E-3</v>
      </c>
      <c r="D461" s="133">
        <v>17648.95</v>
      </c>
      <c r="E461" s="133">
        <f t="shared" si="41"/>
        <v>2.5334647402490695E-3</v>
      </c>
      <c r="F461" s="135">
        <v>12508.05</v>
      </c>
      <c r="G461" s="67">
        <f t="shared" si="42"/>
        <v>-5.4325014690538298E-3</v>
      </c>
    </row>
    <row r="462" spans="1:7">
      <c r="A462" s="134">
        <v>44953</v>
      </c>
      <c r="B462" s="133">
        <v>430.3</v>
      </c>
      <c r="C462" s="133">
        <f t="shared" si="40"/>
        <v>8.5550216805345691E-3</v>
      </c>
      <c r="D462" s="133">
        <v>17604.349999999999</v>
      </c>
      <c r="E462" s="133">
        <f t="shared" si="41"/>
        <v>-1.6074268036742945E-2</v>
      </c>
      <c r="F462" s="135">
        <v>12440.1</v>
      </c>
      <c r="G462" s="67">
        <f t="shared" si="42"/>
        <v>1.2359225408155927E-2</v>
      </c>
    </row>
    <row r="463" spans="1:7">
      <c r="A463" s="134">
        <v>44951</v>
      </c>
      <c r="B463" s="133">
        <v>426.65</v>
      </c>
      <c r="C463" s="133">
        <f t="shared" si="40"/>
        <v>-2.390757263784038E-2</v>
      </c>
      <c r="D463" s="133">
        <v>17891.95</v>
      </c>
      <c r="E463" s="133">
        <f t="shared" si="41"/>
        <v>-1.2492893924926696E-2</v>
      </c>
      <c r="F463" s="135">
        <v>12593.85</v>
      </c>
      <c r="G463" s="67">
        <f t="shared" si="42"/>
        <v>9.8937179655149698E-3</v>
      </c>
    </row>
    <row r="464" spans="1:7">
      <c r="A464" s="134">
        <v>44950</v>
      </c>
      <c r="B464" s="133">
        <v>437.1</v>
      </c>
      <c r="C464" s="133">
        <f t="shared" si="40"/>
        <v>-1.6205266711681321E-2</v>
      </c>
      <c r="D464" s="133">
        <v>18118.3</v>
      </c>
      <c r="E464" s="133">
        <f t="shared" si="41"/>
        <v>-1.3798013637988937E-5</v>
      </c>
      <c r="F464" s="135">
        <v>12718.45</v>
      </c>
      <c r="G464" s="67">
        <f t="shared" si="42"/>
        <v>-8.8061045174530062E-3</v>
      </c>
    </row>
    <row r="465" spans="1:7">
      <c r="A465" s="134">
        <v>44949</v>
      </c>
      <c r="B465" s="133">
        <v>444.3</v>
      </c>
      <c r="C465" s="133">
        <f t="shared" si="40"/>
        <v>1.3920584208124254E-2</v>
      </c>
      <c r="D465" s="133">
        <v>18118.55</v>
      </c>
      <c r="E465" s="133">
        <f t="shared" si="41"/>
        <v>5.0422545367809768E-3</v>
      </c>
      <c r="F465" s="135">
        <v>12606.45</v>
      </c>
      <c r="G465" s="67">
        <f t="shared" si="42"/>
        <v>7.3454461803281745E-3</v>
      </c>
    </row>
    <row r="466" spans="1:7">
      <c r="A466" s="134">
        <v>44946</v>
      </c>
      <c r="B466" s="133">
        <v>438.2</v>
      </c>
      <c r="C466" s="133">
        <f t="shared" si="40"/>
        <v>-8.2607219644676988E-3</v>
      </c>
      <c r="D466" s="133">
        <v>18027.650000000001</v>
      </c>
      <c r="E466" s="133">
        <f t="shared" si="41"/>
        <v>-4.4290183539181793E-3</v>
      </c>
      <c r="F466" s="135">
        <v>12699.05</v>
      </c>
      <c r="G466" s="67">
        <f t="shared" si="42"/>
        <v>2.7915473992150552E-3</v>
      </c>
    </row>
    <row r="467" spans="1:7">
      <c r="A467" s="134">
        <v>44945</v>
      </c>
      <c r="B467" s="133">
        <v>441.85</v>
      </c>
      <c r="C467" s="133">
        <f t="shared" si="40"/>
        <v>-3.6080730634794334E-3</v>
      </c>
      <c r="D467" s="133">
        <v>18107.849999999999</v>
      </c>
      <c r="E467" s="133">
        <f t="shared" si="41"/>
        <v>-3.1653670311885262E-3</v>
      </c>
      <c r="F467" s="135">
        <v>12734.5</v>
      </c>
      <c r="G467" s="67">
        <f t="shared" si="42"/>
        <v>-6.7925713612627669E-3</v>
      </c>
    </row>
    <row r="468" spans="1:7">
      <c r="A468" s="134">
        <v>44944</v>
      </c>
      <c r="B468" s="133">
        <v>443.45</v>
      </c>
      <c r="C468" s="133">
        <f t="shared" si="40"/>
        <v>2.7813188086684537E-2</v>
      </c>
      <c r="D468" s="133">
        <v>18165.349999999999</v>
      </c>
      <c r="E468" s="133">
        <f t="shared" si="41"/>
        <v>6.2066215041016726E-3</v>
      </c>
      <c r="F468" s="135">
        <v>12648</v>
      </c>
      <c r="G468" s="67">
        <f t="shared" si="42"/>
        <v>9.0132827324485021E-4</v>
      </c>
    </row>
    <row r="469" spans="1:7">
      <c r="A469" s="134">
        <v>44943</v>
      </c>
      <c r="B469" s="133">
        <v>431.45</v>
      </c>
      <c r="C469" s="133">
        <f t="shared" si="40"/>
        <v>-1.7421999544522948E-2</v>
      </c>
      <c r="D469" s="133">
        <v>18053.3</v>
      </c>
      <c r="E469" s="133">
        <f t="shared" si="41"/>
        <v>8.8545028318203212E-3</v>
      </c>
      <c r="F469" s="135">
        <v>12659.4</v>
      </c>
      <c r="G469" s="67">
        <f t="shared" si="42"/>
        <v>7.4253124160694739E-4</v>
      </c>
    </row>
    <row r="470" spans="1:7">
      <c r="A470" s="134">
        <v>44942</v>
      </c>
      <c r="B470" s="133">
        <v>439.1</v>
      </c>
      <c r="C470" s="133">
        <f t="shared" si="40"/>
        <v>-5.0979947887164201E-3</v>
      </c>
      <c r="D470" s="133">
        <v>17894.849999999999</v>
      </c>
      <c r="E470" s="133">
        <f t="shared" si="41"/>
        <v>-3.4388469977613134E-3</v>
      </c>
      <c r="F470" s="135">
        <v>12668.8</v>
      </c>
      <c r="G470" s="67">
        <f t="shared" si="42"/>
        <v>2.0917529679231883E-4</v>
      </c>
    </row>
    <row r="471" spans="1:7">
      <c r="A471" s="134">
        <v>44939</v>
      </c>
      <c r="B471" s="133">
        <v>441.35</v>
      </c>
      <c r="C471" s="133">
        <f t="shared" si="40"/>
        <v>-1.5173491018632079E-2</v>
      </c>
      <c r="D471" s="133">
        <v>17956.599999999999</v>
      </c>
      <c r="E471" s="133">
        <f t="shared" si="41"/>
        <v>5.5100738036306662E-3</v>
      </c>
      <c r="F471" s="135">
        <v>12671.45</v>
      </c>
      <c r="G471" s="67">
        <f t="shared" si="42"/>
        <v>8.5230971988203841E-4</v>
      </c>
    </row>
    <row r="472" spans="1:7">
      <c r="A472" s="134">
        <v>44938</v>
      </c>
      <c r="B472" s="133">
        <v>448.15</v>
      </c>
      <c r="C472" s="133">
        <f t="shared" si="40"/>
        <v>-9.2848458052393612E-3</v>
      </c>
      <c r="D472" s="133">
        <v>17858.2</v>
      </c>
      <c r="E472" s="133">
        <f t="shared" si="41"/>
        <v>-2.0954754494096894E-3</v>
      </c>
      <c r="F472" s="135">
        <v>12682.25</v>
      </c>
      <c r="G472" s="67">
        <f t="shared" si="42"/>
        <v>6.6510280115910092E-3</v>
      </c>
    </row>
    <row r="473" spans="1:7">
      <c r="A473" s="134">
        <v>44937</v>
      </c>
      <c r="B473" s="133">
        <v>452.35</v>
      </c>
      <c r="C473" s="133">
        <f t="shared" si="40"/>
        <v>-1.0932546190007608E-2</v>
      </c>
      <c r="D473" s="133">
        <v>17895.7</v>
      </c>
      <c r="E473" s="133">
        <f t="shared" si="41"/>
        <v>-1.0299121085846075E-3</v>
      </c>
      <c r="F473" s="135">
        <v>12766.6</v>
      </c>
      <c r="G473" s="67">
        <f t="shared" si="42"/>
        <v>3.1331756301589131E-4</v>
      </c>
    </row>
    <row r="474" spans="1:7">
      <c r="A474" s="134">
        <v>44936</v>
      </c>
      <c r="B474" s="133">
        <v>457.35</v>
      </c>
      <c r="C474" s="133">
        <f t="shared" si="40"/>
        <v>2.9951582029050794E-2</v>
      </c>
      <c r="D474" s="133">
        <v>17914.150000000001</v>
      </c>
      <c r="E474" s="133">
        <f t="shared" si="41"/>
        <v>-1.0333569045146151E-2</v>
      </c>
      <c r="F474" s="135">
        <v>12770.6</v>
      </c>
      <c r="G474" s="67">
        <f t="shared" si="42"/>
        <v>-9.0559566504314626E-3</v>
      </c>
    </row>
    <row r="475" spans="1:7">
      <c r="A475" s="134">
        <v>44935</v>
      </c>
      <c r="B475" s="133">
        <v>444.05</v>
      </c>
      <c r="C475" s="133">
        <f t="shared" si="40"/>
        <v>3.0996052937079188E-2</v>
      </c>
      <c r="D475" s="133">
        <v>18101.2</v>
      </c>
      <c r="E475" s="133">
        <f t="shared" si="41"/>
        <v>1.3536251116355702E-2</v>
      </c>
      <c r="F475" s="135">
        <v>12654.95</v>
      </c>
      <c r="G475" s="67">
        <f t="shared" si="42"/>
        <v>7.7637604257623227E-3</v>
      </c>
    </row>
    <row r="476" spans="1:7">
      <c r="A476" s="134">
        <v>44932</v>
      </c>
      <c r="B476" s="133">
        <v>430.7</v>
      </c>
      <c r="C476" s="133">
        <f t="shared" si="40"/>
        <v>-3.7011334721258615E-3</v>
      </c>
      <c r="D476" s="133">
        <v>17859.45</v>
      </c>
      <c r="E476" s="133">
        <f t="shared" si="41"/>
        <v>-7.3754387330030591E-3</v>
      </c>
      <c r="F476" s="135">
        <v>12753.2</v>
      </c>
      <c r="G476" s="67">
        <f t="shared" si="42"/>
        <v>-1.0228805319449252E-2</v>
      </c>
    </row>
    <row r="477" spans="1:7">
      <c r="A477" s="134">
        <v>44931</v>
      </c>
      <c r="B477" s="133">
        <v>432.3</v>
      </c>
      <c r="C477" s="133">
        <f t="shared" si="40"/>
        <v>1.9936298218709458E-2</v>
      </c>
      <c r="D477" s="133">
        <v>17992.150000000001</v>
      </c>
      <c r="E477" s="133">
        <f t="shared" si="41"/>
        <v>-2.8155041165662809E-3</v>
      </c>
      <c r="F477" s="135">
        <v>12622.75</v>
      </c>
      <c r="G477" s="67">
        <f t="shared" si="42"/>
        <v>1.5052187518567184E-3</v>
      </c>
    </row>
    <row r="478" spans="1:7">
      <c r="A478" s="134">
        <v>44930</v>
      </c>
      <c r="B478" s="133">
        <v>423.85</v>
      </c>
      <c r="C478" s="133">
        <f t="shared" si="40"/>
        <v>-1.8839043918520426E-3</v>
      </c>
      <c r="D478" s="133">
        <v>18042.95</v>
      </c>
      <c r="E478" s="133">
        <f t="shared" si="41"/>
        <v>-1.0398984234240349E-2</v>
      </c>
      <c r="F478" s="135">
        <v>12641.75</v>
      </c>
      <c r="G478" s="67">
        <f t="shared" si="42"/>
        <v>-7.146953546779522E-3</v>
      </c>
    </row>
    <row r="479" spans="1:7">
      <c r="A479" s="134">
        <v>44929</v>
      </c>
      <c r="B479" s="133">
        <v>424.65</v>
      </c>
      <c r="C479" s="133">
        <f t="shared" si="40"/>
        <v>1.0830754582242141E-2</v>
      </c>
      <c r="D479" s="133">
        <v>18232.55</v>
      </c>
      <c r="E479" s="133">
        <f t="shared" si="41"/>
        <v>1.9288416783669327E-3</v>
      </c>
      <c r="F479" s="135">
        <v>12551.4</v>
      </c>
      <c r="G479" s="67">
        <f t="shared" si="42"/>
        <v>3.6808642860557406E-3</v>
      </c>
    </row>
    <row r="480" spans="1:7">
      <c r="A480" s="134">
        <v>44928</v>
      </c>
      <c r="B480" s="133">
        <v>420.1</v>
      </c>
      <c r="C480" s="133">
        <f t="shared" si="40"/>
        <v>3.5718537921192173E-4</v>
      </c>
      <c r="D480" s="133">
        <v>18197.45</v>
      </c>
      <c r="E480" s="133">
        <f t="shared" si="41"/>
        <v>5.0896698756719427E-3</v>
      </c>
      <c r="F480" s="135">
        <v>12597.6</v>
      </c>
      <c r="G480" s="67">
        <f t="shared" si="42"/>
        <v>2.9132533180922238E-3</v>
      </c>
    </row>
    <row r="481" spans="1:7">
      <c r="A481" s="134">
        <v>44925</v>
      </c>
      <c r="B481" s="133">
        <v>419.95</v>
      </c>
      <c r="C481" s="133">
        <f t="shared" si="40"/>
        <v>6.229783155624613E-3</v>
      </c>
      <c r="D481" s="133">
        <v>18105.3</v>
      </c>
      <c r="E481" s="133">
        <f t="shared" si="41"/>
        <v>-4.7111208839536456E-3</v>
      </c>
      <c r="F481" s="135">
        <v>12634.3</v>
      </c>
      <c r="G481" s="67">
        <f t="shared" si="42"/>
        <v>-8.0336860767904472E-4</v>
      </c>
    </row>
    <row r="482" spans="1:7">
      <c r="A482" s="134">
        <v>44924</v>
      </c>
      <c r="B482" s="133">
        <v>417.35</v>
      </c>
      <c r="C482" s="133">
        <f t="shared" si="40"/>
        <v>5.0571944611679243E-3</v>
      </c>
      <c r="D482" s="133">
        <v>18191</v>
      </c>
      <c r="E482" s="133">
        <f t="shared" si="41"/>
        <v>3.7798317009243299E-3</v>
      </c>
      <c r="F482" s="135">
        <v>12624.15</v>
      </c>
      <c r="G482" s="67">
        <f t="shared" si="42"/>
        <v>5.5924557296926913E-3</v>
      </c>
    </row>
    <row r="483" spans="1:7">
      <c r="A483" s="134">
        <v>44923</v>
      </c>
      <c r="B483" s="133">
        <v>415.25</v>
      </c>
      <c r="C483" s="133">
        <f t="shared" si="40"/>
        <v>-9.6589554018602364E-3</v>
      </c>
      <c r="D483" s="133">
        <v>18122.5</v>
      </c>
      <c r="E483" s="133">
        <f t="shared" si="41"/>
        <v>-5.4047197542506087E-4</v>
      </c>
      <c r="F483" s="135">
        <v>12694.75</v>
      </c>
      <c r="G483" s="67">
        <f t="shared" si="42"/>
        <v>-1.3903385257685308E-3</v>
      </c>
    </row>
    <row r="484" spans="1:7">
      <c r="A484" s="134">
        <v>44922</v>
      </c>
      <c r="B484" s="133">
        <v>419.3</v>
      </c>
      <c r="C484" s="133">
        <f t="shared" si="40"/>
        <v>-3.4462269756386776E-3</v>
      </c>
      <c r="D484" s="133">
        <v>18132.3</v>
      </c>
      <c r="E484" s="133">
        <f t="shared" si="41"/>
        <v>6.5335894219133994E-3</v>
      </c>
      <c r="F484" s="135">
        <v>12677.1</v>
      </c>
      <c r="G484" s="67">
        <f t="shared" si="42"/>
        <v>8.4680250214954622E-3</v>
      </c>
    </row>
    <row r="485" spans="1:7">
      <c r="A485" s="134">
        <v>44921</v>
      </c>
      <c r="B485" s="133">
        <v>420.75</v>
      </c>
      <c r="C485" s="133">
        <f t="shared" si="40"/>
        <v>1.0706638115631772E-3</v>
      </c>
      <c r="D485" s="133">
        <v>18014.599999999999</v>
      </c>
      <c r="E485" s="133">
        <f t="shared" si="41"/>
        <v>1.1669699216029894E-2</v>
      </c>
      <c r="F485" s="135">
        <v>12784.45</v>
      </c>
      <c r="G485" s="67">
        <f t="shared" si="42"/>
        <v>8.4712287192643121E-3</v>
      </c>
    </row>
    <row r="486" spans="1:7">
      <c r="A486" s="134">
        <v>44918</v>
      </c>
      <c r="B486" s="133">
        <v>420.3</v>
      </c>
      <c r="C486" s="133">
        <f t="shared" si="40"/>
        <v>-7.6732381064809063E-3</v>
      </c>
      <c r="D486" s="133">
        <v>17806.8</v>
      </c>
      <c r="E486" s="133">
        <f t="shared" si="41"/>
        <v>-1.7683224519855267E-2</v>
      </c>
      <c r="F486" s="135">
        <v>12892.75</v>
      </c>
      <c r="G486" s="67">
        <f t="shared" si="42"/>
        <v>2.144616160244972E-3</v>
      </c>
    </row>
    <row r="487" spans="1:7">
      <c r="A487" s="134">
        <v>44917</v>
      </c>
      <c r="B487" s="133">
        <v>423.55</v>
      </c>
      <c r="C487" s="133">
        <f t="shared" si="40"/>
        <v>3.9108793552975474E-3</v>
      </c>
      <c r="D487" s="133">
        <v>18127.349999999999</v>
      </c>
      <c r="E487" s="133">
        <f t="shared" si="41"/>
        <v>-3.9425026512299732E-3</v>
      </c>
      <c r="F487" s="135">
        <v>12920.4</v>
      </c>
      <c r="G487" s="67">
        <f t="shared" si="42"/>
        <v>-2.3370019504040052E-2</v>
      </c>
    </row>
    <row r="488" spans="1:7">
      <c r="A488" s="134">
        <v>44916</v>
      </c>
      <c r="B488" s="133">
        <v>421.9</v>
      </c>
      <c r="C488" s="133">
        <f t="shared" si="40"/>
        <v>2.5647259025160851E-2</v>
      </c>
      <c r="D488" s="133">
        <v>18199.099999999999</v>
      </c>
      <c r="E488" s="133">
        <f t="shared" si="41"/>
        <v>-1.0127656334136592E-2</v>
      </c>
      <c r="F488" s="135">
        <v>12618.45</v>
      </c>
      <c r="G488" s="67">
        <f t="shared" si="42"/>
        <v>2.218973011740788E-3</v>
      </c>
    </row>
    <row r="489" spans="1:7">
      <c r="A489" s="134">
        <v>44915</v>
      </c>
      <c r="B489" s="133">
        <v>411.35</v>
      </c>
      <c r="C489" s="133">
        <f t="shared" si="40"/>
        <v>5.1313378130728449E-3</v>
      </c>
      <c r="D489" s="133">
        <v>18385.3</v>
      </c>
      <c r="E489" s="133">
        <f t="shared" si="41"/>
        <v>-1.9082052827157359E-3</v>
      </c>
      <c r="F489" s="135">
        <v>12646.45</v>
      </c>
      <c r="G489" s="67">
        <f t="shared" si="42"/>
        <v>-8.105041335710883E-4</v>
      </c>
    </row>
    <row r="490" spans="1:7">
      <c r="A490" s="134">
        <v>44914</v>
      </c>
      <c r="B490" s="133">
        <v>409.25</v>
      </c>
      <c r="C490" s="133">
        <f t="shared" si="40"/>
        <v>3.30963471439083E-3</v>
      </c>
      <c r="D490" s="133">
        <v>18420.45</v>
      </c>
      <c r="E490" s="133">
        <f t="shared" si="41"/>
        <v>8.2899994526246523E-3</v>
      </c>
      <c r="F490" s="135">
        <v>12636.2</v>
      </c>
      <c r="G490" s="67">
        <f t="shared" si="42"/>
        <v>1.4236875009892236E-2</v>
      </c>
    </row>
    <row r="491" spans="1:7">
      <c r="A491" s="134">
        <v>44911</v>
      </c>
      <c r="B491" s="133">
        <v>407.9</v>
      </c>
      <c r="C491" s="133">
        <f t="shared" si="40"/>
        <v>-1.7131669114048842E-3</v>
      </c>
      <c r="D491" s="133">
        <v>18269</v>
      </c>
      <c r="E491" s="133">
        <f t="shared" si="41"/>
        <v>-7.9229319735649728E-3</v>
      </c>
      <c r="F491" s="135">
        <v>12816.1</v>
      </c>
      <c r="G491" s="67">
        <f t="shared" si="42"/>
        <v>5.2668128369783851E-3</v>
      </c>
    </row>
    <row r="492" spans="1:7">
      <c r="A492" s="134">
        <v>44910</v>
      </c>
      <c r="B492" s="133">
        <v>408.6</v>
      </c>
      <c r="C492" s="133">
        <f t="shared" si="40"/>
        <v>-4.3859649122806044E-3</v>
      </c>
      <c r="D492" s="133">
        <v>18414.900000000001</v>
      </c>
      <c r="E492" s="133">
        <f t="shared" si="41"/>
        <v>-1.3150913972444056E-2</v>
      </c>
      <c r="F492" s="135">
        <v>12883.6</v>
      </c>
      <c r="G492" s="67">
        <f t="shared" si="42"/>
        <v>-6.6635101990126788E-3</v>
      </c>
    </row>
    <row r="493" spans="1:7">
      <c r="A493" s="134">
        <v>44909</v>
      </c>
      <c r="B493" s="133">
        <v>410.4</v>
      </c>
      <c r="C493" s="133">
        <f t="shared" si="40"/>
        <v>1.0091065714988856E-2</v>
      </c>
      <c r="D493" s="133">
        <v>18660.3</v>
      </c>
      <c r="E493" s="133">
        <f t="shared" si="41"/>
        <v>2.8106190885639482E-3</v>
      </c>
      <c r="F493" s="135">
        <v>12797.75</v>
      </c>
      <c r="G493" s="67">
        <f t="shared" si="42"/>
        <v>-3.1021077923854001E-3</v>
      </c>
    </row>
    <row r="494" spans="1:7">
      <c r="A494" s="134">
        <v>44908</v>
      </c>
      <c r="B494" s="133">
        <v>406.3</v>
      </c>
      <c r="C494" s="133">
        <f t="shared" si="40"/>
        <v>1.1087840335097798E-3</v>
      </c>
      <c r="D494" s="133">
        <v>18608</v>
      </c>
      <c r="E494" s="133">
        <f t="shared" si="41"/>
        <v>5.9928151093546767E-3</v>
      </c>
      <c r="F494" s="135">
        <v>12758.05</v>
      </c>
      <c r="G494" s="67">
        <f t="shared" si="42"/>
        <v>1.3050583749085742E-3</v>
      </c>
    </row>
    <row r="495" spans="1:7">
      <c r="A495" s="134">
        <v>44907</v>
      </c>
      <c r="B495" s="133">
        <v>405.85</v>
      </c>
      <c r="C495" s="133">
        <f t="shared" si="40"/>
        <v>-4.6597179644389808E-3</v>
      </c>
      <c r="D495" s="133">
        <v>18497.150000000001</v>
      </c>
      <c r="E495" s="133">
        <f t="shared" si="41"/>
        <v>2.9735194576385737E-5</v>
      </c>
      <c r="F495" s="135">
        <v>12774.7</v>
      </c>
      <c r="G495" s="67">
        <f t="shared" si="42"/>
        <v>-3.6008673393503887E-3</v>
      </c>
    </row>
    <row r="496" spans="1:7">
      <c r="A496" s="134">
        <v>44904</v>
      </c>
      <c r="B496" s="133">
        <v>407.75</v>
      </c>
      <c r="C496" s="133">
        <f t="shared" si="40"/>
        <v>-1.0435626744327187E-2</v>
      </c>
      <c r="D496" s="133">
        <v>18496.599999999999</v>
      </c>
      <c r="E496" s="133">
        <f t="shared" si="41"/>
        <v>-6.058782278800745E-3</v>
      </c>
      <c r="F496" s="135">
        <v>12728.7</v>
      </c>
      <c r="G496" s="67">
        <f t="shared" si="42"/>
        <v>1.1085185447060386E-2</v>
      </c>
    </row>
    <row r="497" spans="1:7">
      <c r="A497" s="134">
        <v>44903</v>
      </c>
      <c r="B497" s="133">
        <v>412.05</v>
      </c>
      <c r="C497" s="133">
        <f t="shared" si="40"/>
        <v>1.6779765576804495E-2</v>
      </c>
      <c r="D497" s="133">
        <v>18609.349999999999</v>
      </c>
      <c r="E497" s="133">
        <f t="shared" si="41"/>
        <v>2.6319334069664357E-3</v>
      </c>
      <c r="F497" s="135">
        <v>12869.8</v>
      </c>
      <c r="G497" s="67">
        <f t="shared" si="42"/>
        <v>6.6473449470854096E-3</v>
      </c>
    </row>
    <row r="498" spans="1:7">
      <c r="A498" s="134">
        <v>44902</v>
      </c>
      <c r="B498" s="133">
        <v>405.25</v>
      </c>
      <c r="C498" s="133">
        <f t="shared" si="40"/>
        <v>-1.1946848713885072E-2</v>
      </c>
      <c r="D498" s="133">
        <v>18560.5</v>
      </c>
      <c r="E498" s="133">
        <f t="shared" si="41"/>
        <v>-4.4119027503989328E-3</v>
      </c>
      <c r="F498" s="135">
        <v>12955.35</v>
      </c>
      <c r="G498" s="67">
        <f t="shared" si="42"/>
        <v>7.5297078041116627E-3</v>
      </c>
    </row>
    <row r="499" spans="1:7">
      <c r="A499" s="134">
        <v>44901</v>
      </c>
      <c r="B499" s="133">
        <v>410.15</v>
      </c>
      <c r="C499" s="133">
        <f t="shared" si="40"/>
        <v>-7.9816180916677526E-3</v>
      </c>
      <c r="D499" s="133">
        <v>18642.75</v>
      </c>
      <c r="E499" s="133">
        <f t="shared" si="41"/>
        <v>-3.1174720136034617E-3</v>
      </c>
      <c r="F499" s="135">
        <v>13052.9</v>
      </c>
      <c r="G499" s="67">
        <f t="shared" si="42"/>
        <v>2.6086157099189933E-3</v>
      </c>
    </row>
    <row r="500" spans="1:7">
      <c r="A500" s="134">
        <v>44900</v>
      </c>
      <c r="B500" s="133">
        <v>413.45</v>
      </c>
      <c r="C500" s="133">
        <f t="shared" si="40"/>
        <v>-4.933814681107096E-3</v>
      </c>
      <c r="D500" s="133">
        <v>18701.05</v>
      </c>
      <c r="E500" s="133">
        <f t="shared" si="41"/>
        <v>2.6476109990847263E-4</v>
      </c>
      <c r="F500" s="135">
        <v>13086.95</v>
      </c>
      <c r="G500" s="67">
        <f t="shared" si="42"/>
        <v>2.5750843397429612E-3</v>
      </c>
    </row>
    <row r="501" spans="1:7">
      <c r="A501" s="134">
        <v>44897</v>
      </c>
      <c r="B501" s="133">
        <v>415.5</v>
      </c>
      <c r="C501" s="133">
        <f t="shared" si="40"/>
        <v>1.0580080262677871E-2</v>
      </c>
      <c r="D501" s="133">
        <v>18696.099999999999</v>
      </c>
      <c r="E501" s="133">
        <f t="shared" si="41"/>
        <v>-6.18737541528247E-3</v>
      </c>
      <c r="F501" s="135">
        <v>13120.65</v>
      </c>
      <c r="G501" s="67">
        <f t="shared" si="42"/>
        <v>1.7948805889953512E-3</v>
      </c>
    </row>
    <row r="502" spans="1:7">
      <c r="A502" s="134">
        <v>44896</v>
      </c>
      <c r="B502" s="133">
        <v>411.15</v>
      </c>
      <c r="C502" s="133">
        <f t="shared" si="40"/>
        <v>3.0495242742132334E-3</v>
      </c>
      <c r="D502" s="133">
        <v>18812.5</v>
      </c>
      <c r="E502" s="133">
        <f t="shared" si="41"/>
        <v>2.8867144498316843E-3</v>
      </c>
      <c r="F502" s="135">
        <v>13144.2</v>
      </c>
      <c r="G502" s="67">
        <f t="shared" si="42"/>
        <v>-4.3251015657096437E-3</v>
      </c>
    </row>
    <row r="503" spans="1:7">
      <c r="A503" s="134">
        <v>44895</v>
      </c>
      <c r="B503" s="133">
        <v>409.9</v>
      </c>
      <c r="C503" s="133">
        <f t="shared" si="40"/>
        <v>1.1224867398544447E-2</v>
      </c>
      <c r="D503" s="133">
        <v>18758.349999999999</v>
      </c>
      <c r="E503" s="133">
        <f t="shared" si="41"/>
        <v>7.5356978845797506E-3</v>
      </c>
      <c r="F503" s="135">
        <v>13087.35</v>
      </c>
      <c r="G503" s="67">
        <f t="shared" si="42"/>
        <v>-7.1366625023400188E-3</v>
      </c>
    </row>
    <row r="504" spans="1:7">
      <c r="A504" s="134">
        <v>44894</v>
      </c>
      <c r="B504" s="133">
        <v>405.35</v>
      </c>
      <c r="C504" s="133">
        <f t="shared" si="40"/>
        <v>1.3501687710963939E-2</v>
      </c>
      <c r="D504" s="133">
        <v>18618.05</v>
      </c>
      <c r="E504" s="133">
        <f t="shared" si="41"/>
        <v>2.9790844567749719E-3</v>
      </c>
      <c r="F504" s="135">
        <v>12993.95</v>
      </c>
      <c r="G504" s="67">
        <f t="shared" si="42"/>
        <v>-1.9624517563943122E-3</v>
      </c>
    </row>
    <row r="505" spans="1:7">
      <c r="A505" s="134">
        <v>44893</v>
      </c>
      <c r="B505" s="133">
        <v>399.95</v>
      </c>
      <c r="C505" s="133">
        <f t="shared" si="40"/>
        <v>-5.3469286247203041E-3</v>
      </c>
      <c r="D505" s="133">
        <v>18562.75</v>
      </c>
      <c r="E505" s="133">
        <f t="shared" si="41"/>
        <v>2.7008413120686026E-3</v>
      </c>
      <c r="F505" s="135">
        <v>12968.45</v>
      </c>
      <c r="G505" s="67">
        <f t="shared" si="42"/>
        <v>-6.1919504643963563E-3</v>
      </c>
    </row>
    <row r="506" spans="1:7">
      <c r="A506" s="134">
        <v>44890</v>
      </c>
      <c r="B506" s="133">
        <v>402.1</v>
      </c>
      <c r="C506" s="133">
        <f t="shared" si="40"/>
        <v>2.315521628498729E-2</v>
      </c>
      <c r="D506" s="133">
        <v>18512.75</v>
      </c>
      <c r="E506" s="133">
        <f t="shared" si="41"/>
        <v>1.5499807943044619E-3</v>
      </c>
      <c r="F506" s="135">
        <v>12888.15</v>
      </c>
      <c r="G506" s="67">
        <f t="shared" si="42"/>
        <v>-8.6901533579286649E-4</v>
      </c>
    </row>
    <row r="507" spans="1:7">
      <c r="A507" s="134">
        <v>44889</v>
      </c>
      <c r="B507" s="133">
        <v>393</v>
      </c>
      <c r="C507" s="133">
        <f t="shared" si="40"/>
        <v>-2.6646364674534073E-3</v>
      </c>
      <c r="D507" s="133">
        <v>18484.099999999999</v>
      </c>
      <c r="E507" s="133">
        <f t="shared" si="41"/>
        <v>1.1870971273727493E-2</v>
      </c>
      <c r="F507" s="135">
        <v>12876.95</v>
      </c>
      <c r="G507" s="67">
        <f t="shared" si="42"/>
        <v>-3.1529205285413253E-3</v>
      </c>
    </row>
    <row r="508" spans="1:7">
      <c r="A508" s="134">
        <v>44888</v>
      </c>
      <c r="B508" s="133">
        <v>394.05</v>
      </c>
      <c r="C508" s="133">
        <f t="shared" si="40"/>
        <v>4.5889101338432159E-3</v>
      </c>
      <c r="D508" s="133">
        <v>18267.25</v>
      </c>
      <c r="E508" s="133">
        <f t="shared" si="41"/>
        <v>1.2634152223720552E-3</v>
      </c>
      <c r="F508" s="135">
        <v>12836.35</v>
      </c>
      <c r="G508" s="67">
        <f t="shared" si="42"/>
        <v>-3.2524822087275362E-3</v>
      </c>
    </row>
    <row r="509" spans="1:7">
      <c r="A509" s="134">
        <v>44887</v>
      </c>
      <c r="B509" s="133">
        <v>392.25</v>
      </c>
      <c r="C509" s="133">
        <f t="shared" si="40"/>
        <v>-1.2213548224628612E-2</v>
      </c>
      <c r="D509" s="133">
        <v>18244.2</v>
      </c>
      <c r="E509" s="133">
        <f t="shared" si="41"/>
        <v>4.6393299541023225E-3</v>
      </c>
      <c r="F509" s="135">
        <v>12794.6</v>
      </c>
      <c r="G509" s="67">
        <f t="shared" si="42"/>
        <v>5.2209525893736064E-3</v>
      </c>
    </row>
    <row r="510" spans="1:7">
      <c r="A510" s="134">
        <v>44886</v>
      </c>
      <c r="B510" s="133">
        <v>397.1</v>
      </c>
      <c r="C510" s="133">
        <f t="shared" si="40"/>
        <v>-1.0958904109588996E-2</v>
      </c>
      <c r="D510" s="133">
        <v>18159.95</v>
      </c>
      <c r="E510" s="133">
        <f t="shared" si="41"/>
        <v>-8.0676657025888776E-3</v>
      </c>
      <c r="F510" s="135">
        <v>12861.4</v>
      </c>
      <c r="G510" s="67">
        <f t="shared" si="42"/>
        <v>6.7527640847808712E-3</v>
      </c>
    </row>
    <row r="511" spans="1:7">
      <c r="A511" s="134">
        <v>44883</v>
      </c>
      <c r="B511" s="133">
        <v>401.5</v>
      </c>
      <c r="C511" s="133">
        <f t="shared" si="40"/>
        <v>-1.689520078354545E-2</v>
      </c>
      <c r="D511" s="133">
        <v>18307.650000000001</v>
      </c>
      <c r="E511" s="133">
        <f t="shared" si="41"/>
        <v>-1.9761337556354341E-3</v>
      </c>
      <c r="F511" s="135">
        <v>12948.25</v>
      </c>
      <c r="G511" s="67">
        <f t="shared" si="42"/>
        <v>3.8808333172435372E-3</v>
      </c>
    </row>
    <row r="512" spans="1:7">
      <c r="A512" s="134">
        <v>44882</v>
      </c>
      <c r="B512" s="133">
        <v>408.4</v>
      </c>
      <c r="C512" s="133">
        <f t="shared" si="40"/>
        <v>-1.6022166004096006E-2</v>
      </c>
      <c r="D512" s="133">
        <v>18343.900000000001</v>
      </c>
      <c r="E512" s="133">
        <f t="shared" si="41"/>
        <v>-3.5714964706010655E-3</v>
      </c>
      <c r="F512" s="135">
        <v>12998.5</v>
      </c>
      <c r="G512" s="67">
        <f t="shared" si="42"/>
        <v>2.9541870215794575E-3</v>
      </c>
    </row>
    <row r="513" spans="1:7">
      <c r="A513" s="134">
        <v>44881</v>
      </c>
      <c r="B513" s="133">
        <v>415.05</v>
      </c>
      <c r="C513" s="133">
        <f t="shared" si="40"/>
        <v>-4.0791841631673265E-3</v>
      </c>
      <c r="D513" s="133">
        <v>18409.650000000001</v>
      </c>
      <c r="E513" s="133">
        <f t="shared" si="41"/>
        <v>3.3961115880765114E-4</v>
      </c>
      <c r="F513" s="135">
        <v>13036.9</v>
      </c>
      <c r="G513" s="67">
        <f t="shared" si="42"/>
        <v>-1.3078262470371804E-3</v>
      </c>
    </row>
    <row r="514" spans="1:7">
      <c r="A514" s="134">
        <v>44880</v>
      </c>
      <c r="B514" s="133">
        <v>416.75</v>
      </c>
      <c r="C514" s="133">
        <f t="shared" si="40"/>
        <v>-1.66352052855121E-2</v>
      </c>
      <c r="D514" s="133">
        <v>18403.400000000001</v>
      </c>
      <c r="E514" s="133">
        <f t="shared" si="41"/>
        <v>4.0509243472828249E-3</v>
      </c>
      <c r="F514" s="135">
        <v>13019.85</v>
      </c>
      <c r="G514" s="67">
        <f t="shared" si="42"/>
        <v>-3.2258436157106551E-4</v>
      </c>
    </row>
    <row r="515" spans="1:7">
      <c r="A515" s="134">
        <v>44879</v>
      </c>
      <c r="B515" s="133">
        <v>423.8</v>
      </c>
      <c r="C515" s="133">
        <f t="shared" si="40"/>
        <v>-1.3156362789614517E-2</v>
      </c>
      <c r="D515" s="133">
        <v>18329.150000000001</v>
      </c>
      <c r="E515" s="133">
        <f t="shared" si="41"/>
        <v>-1.1199093173185348E-3</v>
      </c>
      <c r="F515" s="135">
        <v>13015.65</v>
      </c>
      <c r="G515" s="67">
        <f t="shared" si="42"/>
        <v>-2.5008355326087139E-3</v>
      </c>
    </row>
    <row r="516" spans="1:7">
      <c r="A516" s="134">
        <v>44876</v>
      </c>
      <c r="B516" s="133">
        <v>429.45</v>
      </c>
      <c r="C516" s="133">
        <f t="shared" si="40"/>
        <v>-1.0027662517289149E-2</v>
      </c>
      <c r="D516" s="133">
        <v>18349.7</v>
      </c>
      <c r="E516" s="133">
        <f t="shared" si="41"/>
        <v>1.7833172474234882E-2</v>
      </c>
      <c r="F516" s="135">
        <v>12983.1</v>
      </c>
      <c r="G516" s="67">
        <f>M517/F516-1</f>
        <v>-1</v>
      </c>
    </row>
    <row r="517" spans="1:7">
      <c r="A517" s="134">
        <v>44875</v>
      </c>
      <c r="B517" s="133">
        <v>433.8</v>
      </c>
      <c r="C517" s="133"/>
      <c r="D517" s="133">
        <v>18028.2</v>
      </c>
      <c r="E517" s="133"/>
      <c r="F517" s="133"/>
      <c r="G517" s="133"/>
    </row>
  </sheetData>
  <mergeCells count="6">
    <mergeCell ref="AN7:AX8"/>
    <mergeCell ref="I24:K25"/>
    <mergeCell ref="I17:J17"/>
    <mergeCell ref="B7:C7"/>
    <mergeCell ref="D7:E7"/>
    <mergeCell ref="F7:G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54F71-4E38-4F7E-A2F5-0D3F3894F064}">
  <dimension ref="A1:AT517"/>
  <sheetViews>
    <sheetView topLeftCell="F1" workbookViewId="0">
      <selection activeCell="M30" sqref="M30"/>
    </sheetView>
  </sheetViews>
  <sheetFormatPr defaultRowHeight="15"/>
  <cols>
    <col min="1" max="1" width="10.28515625" bestFit="1" customWidth="1"/>
    <col min="3" max="3" width="10.28515625" bestFit="1" customWidth="1"/>
    <col min="7" max="7" width="10.5703125" bestFit="1" customWidth="1"/>
    <col min="8" max="8" width="19.85546875" bestFit="1" customWidth="1"/>
    <col min="9" max="9" width="27.5703125" bestFit="1" customWidth="1"/>
    <col min="10" max="10" width="21.28515625" bestFit="1" customWidth="1"/>
    <col min="11" max="11" width="18" bestFit="1" customWidth="1"/>
    <col min="12" max="12" width="11.42578125" bestFit="1" customWidth="1"/>
    <col min="13" max="13" width="9.85546875" bestFit="1" customWidth="1"/>
    <col min="14" max="14" width="17.85546875" bestFit="1" customWidth="1"/>
    <col min="15" max="15" width="14.5703125" bestFit="1" customWidth="1"/>
    <col min="16" max="16" width="15.7109375" bestFit="1" customWidth="1"/>
    <col min="17" max="17" width="16.28515625" bestFit="1" customWidth="1"/>
    <col min="19" max="19" width="10.5703125" bestFit="1" customWidth="1"/>
    <col min="23" max="23" width="10.7109375" bestFit="1" customWidth="1"/>
    <col min="27" max="27" width="10.28515625" bestFit="1" customWidth="1"/>
    <col min="31" max="31" width="10.28515625" bestFit="1" customWidth="1"/>
    <col min="35" max="35" width="19.7109375" bestFit="1" customWidth="1"/>
    <col min="36" max="36" width="9.85546875" bestFit="1" customWidth="1"/>
    <col min="38" max="38" width="23" bestFit="1" customWidth="1"/>
    <col min="39" max="39" width="9.85546875" bestFit="1" customWidth="1"/>
    <col min="40" max="40" width="10" bestFit="1" customWidth="1"/>
    <col min="41" max="41" width="15" bestFit="1" customWidth="1"/>
  </cols>
  <sheetData>
    <row r="1" spans="1:46">
      <c r="A1" s="203" t="s">
        <v>159</v>
      </c>
      <c r="B1" s="203"/>
      <c r="C1" s="203"/>
    </row>
    <row r="2" spans="1:46">
      <c r="A2" s="203" t="s">
        <v>160</v>
      </c>
      <c r="B2" s="203"/>
      <c r="C2" s="203"/>
      <c r="D2" s="203"/>
      <c r="H2" s="12" t="s">
        <v>161</v>
      </c>
      <c r="I2" s="13" t="s">
        <v>162</v>
      </c>
      <c r="J2" s="13" t="s">
        <v>163</v>
      </c>
      <c r="K2" s="14" t="s">
        <v>164</v>
      </c>
      <c r="L2" s="14" t="s">
        <v>165</v>
      </c>
      <c r="M2" s="14" t="s">
        <v>166</v>
      </c>
      <c r="N2" s="14" t="s">
        <v>167</v>
      </c>
    </row>
    <row r="3" spans="1:46">
      <c r="A3" s="203" t="s">
        <v>168</v>
      </c>
      <c r="B3" s="203"/>
      <c r="C3" s="203"/>
      <c r="H3" s="10">
        <v>45240</v>
      </c>
      <c r="I3" s="11" t="s">
        <v>169</v>
      </c>
      <c r="J3" s="11">
        <v>45250</v>
      </c>
      <c r="K3" s="11">
        <v>45280</v>
      </c>
      <c r="L3" s="11">
        <v>45342</v>
      </c>
      <c r="M3" s="11">
        <v>45432</v>
      </c>
      <c r="N3" s="11">
        <v>45616</v>
      </c>
    </row>
    <row r="4" spans="1:46">
      <c r="A4" s="203" t="s">
        <v>170</v>
      </c>
      <c r="B4" s="203"/>
      <c r="C4" s="203"/>
      <c r="D4" s="203"/>
    </row>
    <row r="7" spans="1:46">
      <c r="B7" s="208" t="s">
        <v>171</v>
      </c>
      <c r="C7" s="208"/>
      <c r="D7" s="208" t="s">
        <v>73</v>
      </c>
      <c r="E7" s="208"/>
      <c r="F7" s="208" t="s">
        <v>71</v>
      </c>
      <c r="G7" s="208"/>
      <c r="H7" s="189"/>
      <c r="I7" s="189"/>
      <c r="J7" s="210"/>
      <c r="K7" s="210"/>
      <c r="L7" s="210"/>
      <c r="M7" s="211"/>
      <c r="N7" s="211"/>
      <c r="O7" s="211"/>
    </row>
    <row r="8" spans="1:46">
      <c r="A8" s="15" t="s">
        <v>75</v>
      </c>
      <c r="B8" s="4" t="s">
        <v>91</v>
      </c>
      <c r="C8" s="4" t="s">
        <v>82</v>
      </c>
      <c r="D8" s="5" t="s">
        <v>83</v>
      </c>
      <c r="E8" s="5" t="str">
        <f>C8</f>
        <v>Returns</v>
      </c>
      <c r="F8" s="5" t="s">
        <v>91</v>
      </c>
      <c r="G8" s="4" t="str">
        <f>E8</f>
        <v>Returns</v>
      </c>
      <c r="H8" s="4"/>
      <c r="I8" s="4"/>
      <c r="L8" s="27" t="s">
        <v>74</v>
      </c>
      <c r="M8" s="27" t="s">
        <v>75</v>
      </c>
      <c r="N8" s="155" t="s">
        <v>172</v>
      </c>
      <c r="O8" s="155" t="s">
        <v>173</v>
      </c>
      <c r="P8" s="155" t="s">
        <v>78</v>
      </c>
      <c r="Q8" s="155" t="s">
        <v>79</v>
      </c>
      <c r="S8" s="1"/>
      <c r="T8" s="1" t="s">
        <v>55</v>
      </c>
      <c r="U8" s="1"/>
      <c r="V8" s="1"/>
      <c r="W8" s="1"/>
      <c r="X8" s="1"/>
      <c r="Y8" s="1"/>
      <c r="Z8" s="1"/>
      <c r="AA8" s="1"/>
      <c r="AB8" s="1"/>
      <c r="AC8" s="1"/>
      <c r="AD8" s="1"/>
      <c r="AE8" s="1"/>
      <c r="AF8" s="1"/>
      <c r="AK8" s="209" t="s">
        <v>174</v>
      </c>
      <c r="AL8" s="209"/>
      <c r="AM8" s="209"/>
      <c r="AN8" s="209"/>
      <c r="AO8" s="209"/>
      <c r="AP8" s="209"/>
      <c r="AQ8" s="209"/>
      <c r="AR8" s="209"/>
      <c r="AS8" s="209"/>
      <c r="AT8" s="209"/>
    </row>
    <row r="9" spans="1:46" ht="15" customHeight="1">
      <c r="A9" s="8">
        <v>45623</v>
      </c>
      <c r="B9" s="3">
        <v>1749.45</v>
      </c>
      <c r="C9" s="16">
        <f t="shared" ref="C9:C72" si="0">B9/B10-1</f>
        <v>-6.8971389645775538E-3</v>
      </c>
      <c r="D9" s="1">
        <v>24274.9</v>
      </c>
      <c r="E9" s="17">
        <v>3.323E-3</v>
      </c>
      <c r="F9" s="3">
        <v>21828.6</v>
      </c>
      <c r="G9" s="16">
        <f t="shared" ref="G9:G72" si="1">F10/F9-1</f>
        <v>6.0997956808956921E-3</v>
      </c>
      <c r="I9" s="4" t="s">
        <v>175</v>
      </c>
      <c r="J9" s="4" t="s">
        <v>86</v>
      </c>
      <c r="L9" s="28" t="s">
        <v>93</v>
      </c>
      <c r="M9" s="29">
        <v>45243</v>
      </c>
      <c r="N9" s="26">
        <f>C266</f>
        <v>-1.6977928692707422E-4</v>
      </c>
      <c r="O9" s="25">
        <f>E266</f>
        <v>5.1580000000000003E-3</v>
      </c>
      <c r="P9" s="26">
        <f>$J$11+$J$10*(O9)</f>
        <v>2.1892107129505498E-3</v>
      </c>
      <c r="Q9" s="26">
        <f>N9-P9</f>
        <v>-2.358989999877624E-3</v>
      </c>
      <c r="S9" s="1"/>
      <c r="T9" s="1"/>
      <c r="U9" s="1"/>
      <c r="V9" s="1"/>
      <c r="W9" s="1"/>
      <c r="X9" s="1"/>
      <c r="Y9" s="1"/>
      <c r="Z9" s="1"/>
      <c r="AA9" s="1"/>
      <c r="AB9" s="1"/>
      <c r="AC9" s="1"/>
      <c r="AD9" s="1"/>
      <c r="AE9" s="1"/>
      <c r="AF9" s="1"/>
      <c r="AK9" s="209"/>
      <c r="AL9" s="209"/>
      <c r="AM9" s="209"/>
      <c r="AN9" s="209"/>
      <c r="AO9" s="209"/>
      <c r="AP9" s="209"/>
      <c r="AQ9" s="209"/>
      <c r="AR9" s="209"/>
      <c r="AS9" s="209"/>
      <c r="AT9" s="209"/>
    </row>
    <row r="10" spans="1:46">
      <c r="A10" s="8">
        <v>45622</v>
      </c>
      <c r="B10" s="3">
        <v>1761.6</v>
      </c>
      <c r="C10" s="16">
        <f t="shared" si="0"/>
        <v>-2.0734893546056066E-2</v>
      </c>
      <c r="D10" s="1">
        <v>24194.5</v>
      </c>
      <c r="E10" s="17">
        <v>-1.1299999999999999E-3</v>
      </c>
      <c r="F10" s="3">
        <v>21961.75</v>
      </c>
      <c r="G10" s="16">
        <f t="shared" si="1"/>
        <v>9.8034081983449095E-3</v>
      </c>
      <c r="H10" s="1"/>
      <c r="I10" t="s">
        <v>176</v>
      </c>
      <c r="J10">
        <f>SLOPE(C9:C516,E9:E516)</f>
        <v>0.23276017117481751</v>
      </c>
      <c r="L10" s="28" t="s">
        <v>100</v>
      </c>
      <c r="M10" s="29">
        <v>45245</v>
      </c>
      <c r="N10" s="26">
        <f>C265</f>
        <v>2.6320258108338823E-3</v>
      </c>
      <c r="O10" s="25">
        <f>E265</f>
        <v>-4.1999999999999997E-3</v>
      </c>
      <c r="P10" s="31">
        <f t="shared" ref="P10:P18" si="2">$J$11+$J$10*(O10)</f>
        <v>1.1041031096607323E-5</v>
      </c>
      <c r="Q10" s="26">
        <f t="shared" ref="Q10:Q18" si="3">N10-P10</f>
        <v>2.620984779737275E-3</v>
      </c>
      <c r="S10" s="1" t="s">
        <v>63</v>
      </c>
      <c r="T10" s="1"/>
      <c r="U10" s="1"/>
      <c r="V10" s="1"/>
      <c r="W10" s="1" t="s">
        <v>64</v>
      </c>
      <c r="X10" s="1"/>
      <c r="Y10" s="1"/>
      <c r="Z10" s="1"/>
      <c r="AA10" s="1" t="s">
        <v>65</v>
      </c>
      <c r="AB10" s="1"/>
      <c r="AC10" s="1"/>
      <c r="AD10" s="1"/>
      <c r="AE10" s="1" t="s">
        <v>66</v>
      </c>
      <c r="AF10" s="1"/>
      <c r="AK10" s="209"/>
      <c r="AL10" s="209"/>
      <c r="AM10" s="209"/>
      <c r="AN10" s="209"/>
      <c r="AO10" s="209"/>
      <c r="AP10" s="209"/>
      <c r="AQ10" s="209"/>
      <c r="AR10" s="209"/>
      <c r="AS10" s="209"/>
      <c r="AT10" s="209"/>
    </row>
    <row r="11" spans="1:46">
      <c r="A11" s="8">
        <v>45621</v>
      </c>
      <c r="B11" s="3">
        <v>1798.9</v>
      </c>
      <c r="C11" s="16">
        <f t="shared" si="0"/>
        <v>2.00523589372259E-3</v>
      </c>
      <c r="D11" s="1">
        <v>24221.9</v>
      </c>
      <c r="E11" s="17">
        <v>1.3161000000000001E-2</v>
      </c>
      <c r="F11" s="3">
        <v>22177.05</v>
      </c>
      <c r="G11" s="16">
        <f t="shared" si="1"/>
        <v>-9.694706915482465E-3</v>
      </c>
      <c r="H11" s="1"/>
      <c r="I11" t="s">
        <v>177</v>
      </c>
      <c r="J11" s="16">
        <f>INTERCEPT(C9:C516,E9:E516)</f>
        <v>9.8863375003084087E-4</v>
      </c>
      <c r="L11" s="28" t="s">
        <v>103</v>
      </c>
      <c r="M11" s="29">
        <v>45246</v>
      </c>
      <c r="N11" s="26">
        <f>C264</f>
        <v>7.3249216699127206E-3</v>
      </c>
      <c r="O11" s="25">
        <f>E264</f>
        <v>1.1927E-2</v>
      </c>
      <c r="P11" s="26">
        <f t="shared" si="2"/>
        <v>3.7647643116328895E-3</v>
      </c>
      <c r="Q11" s="26">
        <f t="shared" si="3"/>
        <v>3.5601573582798311E-3</v>
      </c>
      <c r="S11" s="1"/>
      <c r="T11" s="1"/>
      <c r="U11" s="1"/>
      <c r="V11" s="1"/>
      <c r="W11" s="1"/>
      <c r="X11" s="1"/>
      <c r="Y11" s="1"/>
      <c r="Z11" s="1"/>
      <c r="AA11" s="1"/>
      <c r="AB11" s="1"/>
      <c r="AC11" s="1"/>
      <c r="AD11" s="1"/>
      <c r="AE11" s="1"/>
      <c r="AF11" s="1"/>
      <c r="AK11" s="209"/>
      <c r="AL11" s="209"/>
      <c r="AM11" s="209"/>
      <c r="AN11" s="209"/>
      <c r="AO11" s="209"/>
      <c r="AP11" s="209"/>
      <c r="AQ11" s="209"/>
      <c r="AR11" s="209"/>
      <c r="AS11" s="209"/>
      <c r="AT11" s="209"/>
    </row>
    <row r="12" spans="1:46">
      <c r="A12" s="8">
        <v>45618</v>
      </c>
      <c r="B12" s="3">
        <v>1795.3</v>
      </c>
      <c r="C12" s="16">
        <f t="shared" si="0"/>
        <v>8.5955056179773948E-3</v>
      </c>
      <c r="D12" s="1">
        <v>23907.25</v>
      </c>
      <c r="E12" s="17">
        <v>2.3869000000000001E-2</v>
      </c>
      <c r="F12" s="3">
        <v>21962.05</v>
      </c>
      <c r="G12" s="16">
        <f t="shared" si="1"/>
        <v>-1.0106069333236212E-2</v>
      </c>
      <c r="H12" s="1"/>
      <c r="I12" t="s">
        <v>178</v>
      </c>
      <c r="J12" s="16">
        <f>SUM(Q9:Q18)</f>
        <v>-2.8870574184958939E-3</v>
      </c>
      <c r="L12" s="28" t="s">
        <v>107</v>
      </c>
      <c r="M12" s="29">
        <v>45247</v>
      </c>
      <c r="N12" s="26">
        <f>C263</f>
        <v>4.245302845613752E-3</v>
      </c>
      <c r="O12" s="25">
        <f>E263</f>
        <v>4.5620000000000001E-3</v>
      </c>
      <c r="P12" s="26">
        <f t="shared" si="2"/>
        <v>2.0504856509303586E-3</v>
      </c>
      <c r="Q12" s="26">
        <f t="shared" si="3"/>
        <v>2.1948171946833935E-3</v>
      </c>
      <c r="S12" s="1"/>
      <c r="T12" s="1"/>
      <c r="U12" s="1"/>
      <c r="V12" s="1"/>
      <c r="W12" s="1"/>
      <c r="X12" s="1"/>
      <c r="Y12" s="1"/>
      <c r="Z12" s="1"/>
      <c r="AA12" s="1"/>
      <c r="AB12" s="1"/>
      <c r="AC12" s="1"/>
      <c r="AD12" s="1"/>
      <c r="AE12" s="1"/>
      <c r="AF12" s="1"/>
      <c r="AL12" s="208" t="s">
        <v>68</v>
      </c>
      <c r="AM12" s="208"/>
      <c r="AN12" s="208"/>
    </row>
    <row r="13" spans="1:46">
      <c r="A13" s="8">
        <v>45617</v>
      </c>
      <c r="B13" s="3">
        <v>1780</v>
      </c>
      <c r="C13" s="16">
        <f t="shared" si="0"/>
        <v>1.5473343648895188E-3</v>
      </c>
      <c r="D13" s="1">
        <v>23349.9</v>
      </c>
      <c r="E13" s="17">
        <v>-7.1700000000000002E-3</v>
      </c>
      <c r="F13" s="3">
        <v>21740.1</v>
      </c>
      <c r="G13" s="16">
        <f t="shared" si="1"/>
        <v>1.3224410191305935E-3</v>
      </c>
      <c r="H13" s="1"/>
      <c r="L13" s="27" t="s">
        <v>111</v>
      </c>
      <c r="M13" s="30">
        <v>45250</v>
      </c>
      <c r="N13" s="26">
        <f>C262</f>
        <v>-5.5248618784529135E-3</v>
      </c>
      <c r="O13" s="25">
        <f>E262</f>
        <v>-1.6900000000000001E-3</v>
      </c>
      <c r="P13" s="26">
        <f t="shared" si="2"/>
        <v>5.9526906074539921E-4</v>
      </c>
      <c r="Q13" s="26">
        <f t="shared" si="3"/>
        <v>-6.1201309391983125E-3</v>
      </c>
      <c r="S13" s="5" t="s">
        <v>80</v>
      </c>
      <c r="T13" s="5" t="s">
        <v>81</v>
      </c>
      <c r="U13" s="5" t="s">
        <v>82</v>
      </c>
      <c r="V13" s="5"/>
      <c r="W13" s="5" t="s">
        <v>80</v>
      </c>
      <c r="X13" s="5" t="s">
        <v>81</v>
      </c>
      <c r="Y13" s="5" t="s">
        <v>82</v>
      </c>
      <c r="Z13" s="5"/>
      <c r="AA13" s="5" t="s">
        <v>80</v>
      </c>
      <c r="AB13" s="5" t="s">
        <v>81</v>
      </c>
      <c r="AC13" s="5" t="s">
        <v>82</v>
      </c>
      <c r="AD13" s="5"/>
      <c r="AE13" s="5" t="s">
        <v>80</v>
      </c>
      <c r="AF13" s="5" t="s">
        <v>83</v>
      </c>
      <c r="AG13" s="4" t="s">
        <v>179</v>
      </c>
      <c r="AI13" s="4" t="s">
        <v>85</v>
      </c>
      <c r="AJ13" s="4" t="s">
        <v>86</v>
      </c>
      <c r="AL13" s="4" t="s">
        <v>87</v>
      </c>
      <c r="AM13" s="4" t="s">
        <v>88</v>
      </c>
      <c r="AN13" s="4" t="s">
        <v>180</v>
      </c>
      <c r="AO13" s="4" t="s">
        <v>90</v>
      </c>
    </row>
    <row r="14" spans="1:46">
      <c r="A14" s="8">
        <v>45615</v>
      </c>
      <c r="B14" s="3">
        <v>1777.25</v>
      </c>
      <c r="C14" s="16">
        <f t="shared" si="0"/>
        <v>1.6878844228293444E-2</v>
      </c>
      <c r="D14" s="1">
        <v>23518.5</v>
      </c>
      <c r="E14" s="17">
        <v>2.7590000000000002E-3</v>
      </c>
      <c r="F14" s="3">
        <v>21768.85</v>
      </c>
      <c r="G14" s="16">
        <f t="shared" si="1"/>
        <v>-1.0322088672575558E-2</v>
      </c>
      <c r="H14" s="1"/>
      <c r="I14" s="1"/>
      <c r="L14" s="28" t="s">
        <v>114</v>
      </c>
      <c r="M14" s="29">
        <v>45251</v>
      </c>
      <c r="N14" s="26">
        <f>C261</f>
        <v>1.1279461279461334E-2</v>
      </c>
      <c r="O14" s="25">
        <f>E261</f>
        <v>-1.92E-3</v>
      </c>
      <c r="P14" s="26">
        <f t="shared" si="2"/>
        <v>5.4173422137519128E-4</v>
      </c>
      <c r="Q14" s="26">
        <f t="shared" si="3"/>
        <v>1.0737727058086143E-2</v>
      </c>
      <c r="S14" s="8">
        <v>45623</v>
      </c>
      <c r="T14" s="3">
        <v>1749.45</v>
      </c>
      <c r="U14" s="3">
        <f t="shared" ref="U14:U77" si="4">T14/T15-1</f>
        <v>-6.8971389645775538E-3</v>
      </c>
      <c r="V14" s="1"/>
      <c r="W14" s="8">
        <v>45433</v>
      </c>
      <c r="X14" s="3">
        <v>1540.95</v>
      </c>
      <c r="Y14" s="1">
        <f t="shared" ref="Y14:Y45" si="5">X14/X15-1</f>
        <v>5.9076963248252401E-3</v>
      </c>
      <c r="Z14" s="1"/>
      <c r="AA14" s="8">
        <v>45342</v>
      </c>
      <c r="AB14" s="3">
        <v>1538.7</v>
      </c>
      <c r="AC14" s="1">
        <f t="shared" ref="AC14:AC45" si="6">AB14/AB15-1</f>
        <v>5.620547676622456E-3</v>
      </c>
      <c r="AD14" s="1"/>
      <c r="AE14" s="8">
        <v>45280</v>
      </c>
      <c r="AF14" s="3">
        <v>1238</v>
      </c>
      <c r="AG14" s="34">
        <f t="shared" ref="AG14:AG35" si="7">AF14/AF15-1</f>
        <v>-1.612903225806428E-3</v>
      </c>
      <c r="AI14" t="s">
        <v>94</v>
      </c>
      <c r="AJ14" s="86">
        <v>48496.9</v>
      </c>
      <c r="AL14" t="s">
        <v>95</v>
      </c>
      <c r="AM14" s="32">
        <v>0</v>
      </c>
      <c r="AN14" s="32">
        <v>0.3</v>
      </c>
      <c r="AO14" s="32">
        <v>1</v>
      </c>
    </row>
    <row r="15" spans="1:46">
      <c r="A15" s="8">
        <v>45614</v>
      </c>
      <c r="B15" s="3">
        <v>1747.75</v>
      </c>
      <c r="C15" s="16">
        <f t="shared" si="0"/>
        <v>-1.1565433774459954E-2</v>
      </c>
      <c r="D15" s="1">
        <v>23453.8</v>
      </c>
      <c r="E15" s="17">
        <v>-3.3500000000000001E-3</v>
      </c>
      <c r="F15" s="3">
        <v>21544.15</v>
      </c>
      <c r="G15" s="16">
        <f t="shared" si="1"/>
        <v>9.6476305632851034E-3</v>
      </c>
      <c r="H15" s="1"/>
      <c r="L15" s="28" t="s">
        <v>117</v>
      </c>
      <c r="M15" s="29">
        <v>45252</v>
      </c>
      <c r="N15" s="26">
        <f>C260</f>
        <v>2.2473780589311598E-3</v>
      </c>
      <c r="O15" s="25">
        <f>E260</f>
        <v>4.5389999999999996E-3</v>
      </c>
      <c r="P15" s="26">
        <f t="shared" si="2"/>
        <v>2.0451321669933374E-3</v>
      </c>
      <c r="Q15" s="26">
        <f t="shared" si="3"/>
        <v>2.0224589193782241E-4</v>
      </c>
      <c r="S15" s="8">
        <v>45622</v>
      </c>
      <c r="T15" s="3">
        <v>1761.6</v>
      </c>
      <c r="U15" s="3">
        <f t="shared" si="4"/>
        <v>-2.0734893546056066E-2</v>
      </c>
      <c r="V15" s="1"/>
      <c r="W15" s="8">
        <v>45430</v>
      </c>
      <c r="X15" s="3">
        <v>1531.9</v>
      </c>
      <c r="Y15" s="1">
        <f t="shared" si="5"/>
        <v>3.2649862870570701E-4</v>
      </c>
      <c r="Z15" s="1"/>
      <c r="AA15" s="8">
        <v>45341</v>
      </c>
      <c r="AB15" s="3">
        <v>1530.1</v>
      </c>
      <c r="AC15" s="1">
        <f t="shared" si="6"/>
        <v>1.3344812742143608E-2</v>
      </c>
      <c r="AD15" s="1"/>
      <c r="AE15" s="8">
        <v>45279</v>
      </c>
      <c r="AF15" s="3">
        <v>1240</v>
      </c>
      <c r="AG15" s="34">
        <f t="shared" si="7"/>
        <v>2.0576131687242816E-2</v>
      </c>
      <c r="AI15" t="s">
        <v>181</v>
      </c>
      <c r="AJ15">
        <v>812.47</v>
      </c>
      <c r="AL15" t="s">
        <v>99</v>
      </c>
      <c r="AM15">
        <v>0</v>
      </c>
      <c r="AN15" s="4">
        <v>243.74100000000001</v>
      </c>
      <c r="AO15" s="4">
        <v>812.47</v>
      </c>
    </row>
    <row r="16" spans="1:46">
      <c r="A16" s="8">
        <v>45610</v>
      </c>
      <c r="B16" s="3">
        <v>1768.2</v>
      </c>
      <c r="C16" s="16">
        <f t="shared" si="0"/>
        <v>-6.0708263069140234E-3</v>
      </c>
      <c r="D16" s="1">
        <v>23532.7</v>
      </c>
      <c r="E16" s="17">
        <v>-1.1199999999999999E-3</v>
      </c>
      <c r="F16" s="3">
        <v>21752</v>
      </c>
      <c r="G16" s="16">
        <f t="shared" si="1"/>
        <v>2.6342405296064797E-3</v>
      </c>
      <c r="H16" s="1"/>
      <c r="L16" s="28" t="s">
        <v>119</v>
      </c>
      <c r="M16" s="29">
        <v>45253</v>
      </c>
      <c r="N16" s="26">
        <f>C259</f>
        <v>-4.4016277717797703E-3</v>
      </c>
      <c r="O16" s="25">
        <f>E259</f>
        <v>1.438E-3</v>
      </c>
      <c r="P16" s="26">
        <f t="shared" si="2"/>
        <v>1.3233428761802286E-3</v>
      </c>
      <c r="Q16" s="26">
        <f t="shared" si="3"/>
        <v>-5.7249706479599993E-3</v>
      </c>
      <c r="S16" s="8">
        <v>45621</v>
      </c>
      <c r="T16" s="3">
        <v>1798.9</v>
      </c>
      <c r="U16" s="3">
        <f t="shared" si="4"/>
        <v>2.00523589372259E-3</v>
      </c>
      <c r="V16" s="1"/>
      <c r="W16" s="8">
        <v>45429</v>
      </c>
      <c r="X16" s="3">
        <v>1531.4</v>
      </c>
      <c r="Y16" s="1">
        <f t="shared" si="5"/>
        <v>-3.1894812211156198E-3</v>
      </c>
      <c r="Z16" s="1"/>
      <c r="AA16" s="8">
        <v>45338</v>
      </c>
      <c r="AB16" s="3">
        <v>1509.95</v>
      </c>
      <c r="AC16" s="1">
        <f t="shared" si="6"/>
        <v>3.3114775813025688E-5</v>
      </c>
      <c r="AD16" s="1"/>
      <c r="AE16" s="8">
        <v>45278</v>
      </c>
      <c r="AF16" s="3">
        <v>1215</v>
      </c>
      <c r="AG16" s="34">
        <f t="shared" si="7"/>
        <v>8.1732564411067798E-3</v>
      </c>
      <c r="AI16" t="s">
        <v>112</v>
      </c>
      <c r="AJ16" s="86">
        <v>13000</v>
      </c>
      <c r="AL16" t="s">
        <v>102</v>
      </c>
      <c r="AM16" s="35">
        <v>13000</v>
      </c>
      <c r="AN16" s="85">
        <v>12756.259</v>
      </c>
      <c r="AO16" s="85">
        <v>12187.53</v>
      </c>
    </row>
    <row r="17" spans="1:41">
      <c r="A17" s="8">
        <v>45609</v>
      </c>
      <c r="B17" s="3">
        <v>1779</v>
      </c>
      <c r="C17" s="16">
        <f t="shared" si="0"/>
        <v>-1.2133159341422006E-2</v>
      </c>
      <c r="D17" s="1">
        <v>23559.05</v>
      </c>
      <c r="E17" s="17">
        <v>-1.358E-2</v>
      </c>
      <c r="F17" s="3">
        <v>21809.3</v>
      </c>
      <c r="G17" s="16">
        <f t="shared" si="1"/>
        <v>1.5695139229594757E-2</v>
      </c>
      <c r="H17" s="1"/>
      <c r="I17" s="1"/>
      <c r="L17" s="28" t="s">
        <v>122</v>
      </c>
      <c r="M17" s="29">
        <v>45254</v>
      </c>
      <c r="N17" s="26">
        <f>C258</f>
        <v>-2.7944611277943565E-3</v>
      </c>
      <c r="O17" s="25">
        <f>E258</f>
        <v>-5.0000000000000001E-4</v>
      </c>
      <c r="P17" s="26">
        <f t="shared" si="2"/>
        <v>8.7225366444343205E-4</v>
      </c>
      <c r="Q17" s="26">
        <f t="shared" si="3"/>
        <v>-3.6667147922377886E-3</v>
      </c>
      <c r="S17" s="8">
        <v>45618</v>
      </c>
      <c r="T17" s="3">
        <v>1795.3</v>
      </c>
      <c r="U17" s="3">
        <f t="shared" si="4"/>
        <v>8.5955056179773948E-3</v>
      </c>
      <c r="V17" s="1"/>
      <c r="W17" s="8">
        <v>45428</v>
      </c>
      <c r="X17" s="3">
        <v>1536.3</v>
      </c>
      <c r="Y17" s="1">
        <f t="shared" si="5"/>
        <v>5.8268953777660393E-3</v>
      </c>
      <c r="Z17" s="1"/>
      <c r="AA17" s="8">
        <v>45337</v>
      </c>
      <c r="AB17" s="3">
        <v>1509.9</v>
      </c>
      <c r="AC17" s="1">
        <f t="shared" si="6"/>
        <v>-6.906077348066253E-3</v>
      </c>
      <c r="AD17" s="1"/>
      <c r="AE17" s="8">
        <v>45275</v>
      </c>
      <c r="AF17" s="3">
        <v>1205.1500000000001</v>
      </c>
      <c r="AG17" s="34">
        <f t="shared" si="7"/>
        <v>1.2448132780096266E-4</v>
      </c>
      <c r="AI17" t="s">
        <v>182</v>
      </c>
      <c r="AJ17" s="86">
        <v>10100</v>
      </c>
      <c r="AL17" t="s">
        <v>105</v>
      </c>
      <c r="AM17" s="87">
        <v>0.26800000000000002</v>
      </c>
      <c r="AN17" s="87">
        <v>0.26300000000000001</v>
      </c>
      <c r="AO17" s="87">
        <v>0.25130000000000002</v>
      </c>
    </row>
    <row r="18" spans="1:41">
      <c r="A18" s="8">
        <v>45608</v>
      </c>
      <c r="B18" s="3">
        <v>1800.85</v>
      </c>
      <c r="C18" s="16">
        <f t="shared" si="0"/>
        <v>3.4826702329209258E-3</v>
      </c>
      <c r="D18" s="1">
        <v>23883.45</v>
      </c>
      <c r="E18" s="17">
        <v>-1.068E-2</v>
      </c>
      <c r="F18" s="3">
        <v>22151.599999999999</v>
      </c>
      <c r="G18" s="16">
        <f t="shared" si="1"/>
        <v>8.6968887123277661E-3</v>
      </c>
      <c r="H18" s="1"/>
      <c r="I18" s="1"/>
      <c r="L18" s="28" t="s">
        <v>124</v>
      </c>
      <c r="M18" s="29">
        <v>45258</v>
      </c>
      <c r="N18" s="26">
        <f>C257</f>
        <v>-3.4296708352504757E-3</v>
      </c>
      <c r="O18" s="25">
        <f>E257</f>
        <v>-3.6999999999999999E-4</v>
      </c>
      <c r="P18" s="26">
        <f t="shared" si="2"/>
        <v>9.0251248669615837E-4</v>
      </c>
      <c r="Q18" s="26">
        <f t="shared" si="3"/>
        <v>-4.3321833219466341E-3</v>
      </c>
      <c r="S18" s="8">
        <v>45617</v>
      </c>
      <c r="T18" s="3">
        <v>1780</v>
      </c>
      <c r="U18" s="3">
        <f t="shared" si="4"/>
        <v>1.5473343648895188E-3</v>
      </c>
      <c r="V18" s="1"/>
      <c r="W18" s="8">
        <v>45427</v>
      </c>
      <c r="X18" s="3">
        <v>1527.4</v>
      </c>
      <c r="Y18" s="1">
        <f t="shared" si="5"/>
        <v>-1.1551528878822159E-2</v>
      </c>
      <c r="Z18" s="1"/>
      <c r="AA18" s="8">
        <v>45336</v>
      </c>
      <c r="AB18" s="3">
        <v>1520.4</v>
      </c>
      <c r="AC18" s="1">
        <f t="shared" si="6"/>
        <v>-1.4135650369601849E-2</v>
      </c>
      <c r="AD18" s="1"/>
      <c r="AE18" s="8">
        <v>45274</v>
      </c>
      <c r="AF18" s="3">
        <v>1205</v>
      </c>
      <c r="AG18" s="34">
        <f t="shared" si="7"/>
        <v>-6.5952184666117075E-3</v>
      </c>
      <c r="AI18" t="s">
        <v>118</v>
      </c>
      <c r="AJ18" s="86">
        <v>12134.98</v>
      </c>
      <c r="AL18" t="s">
        <v>183</v>
      </c>
      <c r="AM18" s="35">
        <v>10100</v>
      </c>
      <c r="AN18" s="85">
        <v>9917.1939999999995</v>
      </c>
      <c r="AO18" s="85">
        <v>9490.6479999999992</v>
      </c>
    </row>
    <row r="19" spans="1:41">
      <c r="A19" s="8">
        <v>45607</v>
      </c>
      <c r="B19" s="3">
        <v>1794.6</v>
      </c>
      <c r="C19" s="16">
        <f t="shared" si="0"/>
        <v>-8.2891246684350106E-3</v>
      </c>
      <c r="D19" s="1">
        <v>24141.3</v>
      </c>
      <c r="E19" s="17">
        <v>-2.9E-4</v>
      </c>
      <c r="F19" s="3">
        <v>22344.25</v>
      </c>
      <c r="G19" s="16">
        <f t="shared" si="1"/>
        <v>8.8613401658144131E-3</v>
      </c>
      <c r="H19" s="1"/>
      <c r="I19" s="1"/>
      <c r="N19" s="154"/>
      <c r="O19" s="154"/>
      <c r="P19" s="154"/>
      <c r="Q19" s="154"/>
      <c r="S19" s="8">
        <v>45615</v>
      </c>
      <c r="T19" s="3">
        <v>1777.25</v>
      </c>
      <c r="U19" s="3">
        <f t="shared" si="4"/>
        <v>1.6878844228293444E-2</v>
      </c>
      <c r="V19" s="1"/>
      <c r="W19" s="8">
        <v>45426</v>
      </c>
      <c r="X19" s="3">
        <v>1545.25</v>
      </c>
      <c r="Y19" s="1">
        <f t="shared" si="5"/>
        <v>1.3245467361725938E-2</v>
      </c>
      <c r="Z19" s="1"/>
      <c r="AA19" s="8">
        <v>45335</v>
      </c>
      <c r="AB19" s="3">
        <v>1542.2</v>
      </c>
      <c r="AC19" s="1">
        <f t="shared" si="6"/>
        <v>5.0506696210368407E-3</v>
      </c>
      <c r="AD19" s="1"/>
      <c r="AE19" s="8">
        <v>45273</v>
      </c>
      <c r="AF19" s="3">
        <v>1213</v>
      </c>
      <c r="AG19" s="34">
        <f t="shared" si="7"/>
        <v>1.2520868113522488E-2</v>
      </c>
      <c r="AI19" t="s">
        <v>120</v>
      </c>
      <c r="AJ19" s="32">
        <v>0.25</v>
      </c>
      <c r="AL19" t="s">
        <v>113</v>
      </c>
      <c r="AM19" s="87">
        <v>0.20830000000000001</v>
      </c>
      <c r="AN19" s="87">
        <v>0.20449999999999999</v>
      </c>
      <c r="AO19" s="87">
        <v>0.19570000000000001</v>
      </c>
    </row>
    <row r="20" spans="1:41">
      <c r="A20" s="8">
        <v>45604</v>
      </c>
      <c r="B20" s="3">
        <v>1809.6</v>
      </c>
      <c r="C20" s="16">
        <f t="shared" si="0"/>
        <v>1.041346771266638E-2</v>
      </c>
      <c r="D20" s="1">
        <v>24148.2</v>
      </c>
      <c r="E20" s="17">
        <v>-2.1099999999999999E-3</v>
      </c>
      <c r="F20" s="3">
        <v>22542.25</v>
      </c>
      <c r="G20" s="16">
        <f t="shared" si="1"/>
        <v>-6.7872550433067946E-4</v>
      </c>
      <c r="H20" s="1"/>
      <c r="I20" s="1"/>
      <c r="J20" s="22" t="s">
        <v>171</v>
      </c>
      <c r="K20" s="22" t="s">
        <v>73</v>
      </c>
      <c r="L20" s="120"/>
      <c r="S20" s="8">
        <v>45614</v>
      </c>
      <c r="T20" s="3">
        <v>1747.75</v>
      </c>
      <c r="U20" s="3">
        <f t="shared" si="4"/>
        <v>-1.1565433774459954E-2</v>
      </c>
      <c r="V20" s="1"/>
      <c r="W20" s="8">
        <v>45425</v>
      </c>
      <c r="X20" s="3">
        <v>1525.05</v>
      </c>
      <c r="Y20" s="1">
        <f t="shared" si="5"/>
        <v>1.2279711924595871E-2</v>
      </c>
      <c r="Z20" s="1"/>
      <c r="AA20" s="8">
        <v>45334</v>
      </c>
      <c r="AB20" s="3">
        <v>1534.45</v>
      </c>
      <c r="AC20" s="1">
        <f t="shared" si="6"/>
        <v>-2.2804274172527617E-4</v>
      </c>
      <c r="AD20" s="1"/>
      <c r="AE20" s="8">
        <v>45272</v>
      </c>
      <c r="AF20" s="3">
        <v>1198</v>
      </c>
      <c r="AG20" s="34">
        <f t="shared" si="7"/>
        <v>-4.983388704318914E-3</v>
      </c>
      <c r="AL20" t="s">
        <v>116</v>
      </c>
      <c r="AM20" s="86">
        <v>12134.98</v>
      </c>
      <c r="AN20" s="85">
        <v>11952.174000000001</v>
      </c>
      <c r="AO20" s="85">
        <v>11525.643</v>
      </c>
    </row>
    <row r="21" spans="1:41">
      <c r="A21" s="8">
        <v>45603</v>
      </c>
      <c r="B21" s="3">
        <v>1790.95</v>
      </c>
      <c r="C21" s="16">
        <f t="shared" si="0"/>
        <v>-1.9973186680894095E-2</v>
      </c>
      <c r="D21" s="1">
        <v>24199.35</v>
      </c>
      <c r="E21" s="17">
        <v>-1.163E-2</v>
      </c>
      <c r="F21" s="3">
        <v>22526.95</v>
      </c>
      <c r="G21" s="16">
        <f t="shared" si="1"/>
        <v>1.7463527019858427E-2</v>
      </c>
      <c r="H21" s="1"/>
      <c r="I21" s="23" t="s">
        <v>92</v>
      </c>
      <c r="J21" s="16">
        <f>_xlfn.STDEV.S(C9:C516)</f>
        <v>1.0894028308772447E-2</v>
      </c>
      <c r="K21" s="16">
        <f>_xlfn.STDEV.S(E9:E516)</f>
        <v>7.603948913963595E-3</v>
      </c>
      <c r="L21" s="120"/>
      <c r="S21" s="8">
        <v>45610</v>
      </c>
      <c r="T21" s="3">
        <v>1768.2</v>
      </c>
      <c r="U21" s="3">
        <f t="shared" si="4"/>
        <v>-6.0708263069140234E-3</v>
      </c>
      <c r="V21" s="1"/>
      <c r="W21" s="8">
        <v>45422</v>
      </c>
      <c r="X21" s="3">
        <v>1506.55</v>
      </c>
      <c r="Y21" s="1">
        <f t="shared" si="5"/>
        <v>7.9617301709429267E-3</v>
      </c>
      <c r="Z21" s="1"/>
      <c r="AA21" s="8">
        <v>45331</v>
      </c>
      <c r="AB21" s="3">
        <v>1534.8</v>
      </c>
      <c r="AC21" s="1">
        <f t="shared" si="6"/>
        <v>2.3472926113630388E-2</v>
      </c>
      <c r="AD21" s="1"/>
      <c r="AE21" s="8">
        <v>45271</v>
      </c>
      <c r="AF21" s="3">
        <v>1204</v>
      </c>
      <c r="AG21" s="34">
        <f t="shared" si="7"/>
        <v>-1.2305168170631653E-2</v>
      </c>
    </row>
    <row r="22" spans="1:41">
      <c r="A22" s="8">
        <v>45602</v>
      </c>
      <c r="B22" s="3">
        <v>1827.45</v>
      </c>
      <c r="C22" s="16">
        <f t="shared" si="0"/>
        <v>1.3223552894211732E-2</v>
      </c>
      <c r="D22" s="1">
        <v>24484.05</v>
      </c>
      <c r="E22" s="17">
        <v>1.1181999999999999E-2</v>
      </c>
      <c r="F22" s="3">
        <v>22920.35</v>
      </c>
      <c r="G22" s="16">
        <f t="shared" si="1"/>
        <v>-1.1304364898441666E-2</v>
      </c>
      <c r="H22" s="1"/>
      <c r="I22" s="23" t="s">
        <v>96</v>
      </c>
      <c r="J22">
        <f>J21*SQRT(252)</f>
        <v>0.17293733808425679</v>
      </c>
      <c r="K22">
        <f>K21*SQRT(252)</f>
        <v>0.12070894685032411</v>
      </c>
      <c r="L22" s="120"/>
      <c r="S22" s="8">
        <v>45609</v>
      </c>
      <c r="T22" s="3">
        <v>1779</v>
      </c>
      <c r="U22" s="3">
        <f t="shared" si="4"/>
        <v>-1.2133159341422006E-2</v>
      </c>
      <c r="V22" s="1"/>
      <c r="W22" s="8">
        <v>45421</v>
      </c>
      <c r="X22" s="3">
        <v>1494.65</v>
      </c>
      <c r="Y22" s="1">
        <f t="shared" si="5"/>
        <v>-1.780844422539829E-2</v>
      </c>
      <c r="Z22" s="1"/>
      <c r="AA22" s="8">
        <v>45330</v>
      </c>
      <c r="AB22" s="3">
        <v>1499.6</v>
      </c>
      <c r="AC22" s="1">
        <f t="shared" si="6"/>
        <v>2.2724234727977688E-3</v>
      </c>
      <c r="AD22" s="1"/>
      <c r="AE22" s="8">
        <v>45268</v>
      </c>
      <c r="AF22" s="3">
        <v>1219</v>
      </c>
      <c r="AG22" s="34">
        <f t="shared" si="7"/>
        <v>-4.0442828546918275E-3</v>
      </c>
      <c r="AL22" s="4"/>
      <c r="AM22" s="4" t="s">
        <v>88</v>
      </c>
      <c r="AN22" s="4" t="s">
        <v>180</v>
      </c>
      <c r="AO22" s="4" t="s">
        <v>184</v>
      </c>
    </row>
    <row r="23" spans="1:41">
      <c r="A23" s="8">
        <v>45601</v>
      </c>
      <c r="B23" s="3">
        <v>1803.6</v>
      </c>
      <c r="C23" s="16">
        <f t="shared" si="0"/>
        <v>-2.9299574326939748E-3</v>
      </c>
      <c r="D23" s="1">
        <v>24213.3</v>
      </c>
      <c r="E23" s="17">
        <v>9.0830000000000008E-3</v>
      </c>
      <c r="F23" s="3">
        <v>22661.25</v>
      </c>
      <c r="G23" s="16">
        <f t="shared" si="1"/>
        <v>-1.0127420155552347E-3</v>
      </c>
      <c r="H23" s="1"/>
      <c r="I23" s="1"/>
      <c r="L23" s="120"/>
      <c r="S23" s="8">
        <v>45608</v>
      </c>
      <c r="T23" s="3">
        <v>1800.85</v>
      </c>
      <c r="U23" s="3">
        <f t="shared" si="4"/>
        <v>3.4826702329209258E-3</v>
      </c>
      <c r="V23" s="1"/>
      <c r="W23" s="8">
        <v>45420</v>
      </c>
      <c r="X23" s="3">
        <v>1521.75</v>
      </c>
      <c r="Y23" s="1">
        <f t="shared" si="5"/>
        <v>4.2234467284785193E-3</v>
      </c>
      <c r="Z23" s="1"/>
      <c r="AA23" s="8">
        <v>45329</v>
      </c>
      <c r="AB23" s="3">
        <v>1496.2</v>
      </c>
      <c r="AC23" s="1">
        <f t="shared" si="6"/>
        <v>1.4304114975256077E-2</v>
      </c>
      <c r="AD23" s="1"/>
      <c r="AE23" s="8">
        <v>45267</v>
      </c>
      <c r="AF23" s="3">
        <v>1223.95</v>
      </c>
      <c r="AG23" s="34">
        <f t="shared" si="7"/>
        <v>1.4043082021541142E-2</v>
      </c>
      <c r="AL23" t="s">
        <v>185</v>
      </c>
      <c r="AM23" s="32">
        <v>0</v>
      </c>
      <c r="AN23" s="32">
        <v>0.3</v>
      </c>
      <c r="AO23" s="32">
        <v>1</v>
      </c>
    </row>
    <row r="24" spans="1:41">
      <c r="A24" s="8">
        <v>45600</v>
      </c>
      <c r="B24" s="3">
        <v>1808.9</v>
      </c>
      <c r="C24" s="16">
        <f t="shared" si="0"/>
        <v>-2.6635815755488568E-2</v>
      </c>
      <c r="D24" s="1">
        <v>23995.35</v>
      </c>
      <c r="E24" s="17">
        <v>-1.2710000000000001E-2</v>
      </c>
      <c r="F24" s="3">
        <v>22638.3</v>
      </c>
      <c r="G24" s="16">
        <f t="shared" si="1"/>
        <v>7.4585989230639971E-3</v>
      </c>
      <c r="H24" s="1"/>
      <c r="I24" s="1"/>
      <c r="L24" s="120"/>
      <c r="S24" s="8">
        <v>45607</v>
      </c>
      <c r="T24" s="3">
        <v>1794.6</v>
      </c>
      <c r="U24" s="3">
        <f t="shared" si="4"/>
        <v>-8.2891246684350106E-3</v>
      </c>
      <c r="V24" s="1"/>
      <c r="W24" s="8">
        <v>45419</v>
      </c>
      <c r="X24" s="3">
        <v>1515.35</v>
      </c>
      <c r="Y24" s="1">
        <f t="shared" si="5"/>
        <v>-9.0246215217605341E-3</v>
      </c>
      <c r="Z24" s="1"/>
      <c r="AA24" s="8">
        <v>45328</v>
      </c>
      <c r="AB24" s="3">
        <v>1475.1</v>
      </c>
      <c r="AC24" s="1">
        <f t="shared" si="6"/>
        <v>7.7196338297580436E-3</v>
      </c>
      <c r="AD24" s="1"/>
      <c r="AE24" s="8">
        <v>45266</v>
      </c>
      <c r="AF24" s="3">
        <v>1207</v>
      </c>
      <c r="AG24" s="34">
        <f t="shared" si="7"/>
        <v>-1.1870650839132191E-2</v>
      </c>
      <c r="AL24" t="s">
        <v>186</v>
      </c>
      <c r="AM24">
        <v>0</v>
      </c>
      <c r="AN24">
        <v>243.74100000000001</v>
      </c>
      <c r="AO24">
        <v>812.47</v>
      </c>
    </row>
    <row r="25" spans="1:41">
      <c r="A25" s="8">
        <v>45597</v>
      </c>
      <c r="B25" s="3">
        <v>1858.4</v>
      </c>
      <c r="C25" s="16">
        <f t="shared" si="0"/>
        <v>5.1381902752987152E-3</v>
      </c>
      <c r="D25" s="1">
        <v>24304.35</v>
      </c>
      <c r="E25" s="17">
        <v>4.0899999999999999E-3</v>
      </c>
      <c r="F25" s="3">
        <v>22807.15</v>
      </c>
      <c r="G25" s="16">
        <f t="shared" si="1"/>
        <v>-3.1393663829106799E-3</v>
      </c>
      <c r="H25" s="1"/>
      <c r="I25" s="208" t="s">
        <v>129</v>
      </c>
      <c r="J25" s="208"/>
      <c r="K25" s="208"/>
      <c r="L25" s="120"/>
      <c r="S25" s="8">
        <v>45604</v>
      </c>
      <c r="T25" s="3">
        <v>1809.6</v>
      </c>
      <c r="U25" s="3">
        <f t="shared" si="4"/>
        <v>1.041346771266638E-2</v>
      </c>
      <c r="V25" s="1"/>
      <c r="W25" s="8">
        <v>45418</v>
      </c>
      <c r="X25" s="3">
        <v>1529.15</v>
      </c>
      <c r="Y25" s="1">
        <f t="shared" si="5"/>
        <v>1.1911458161003141E-2</v>
      </c>
      <c r="Z25" s="1"/>
      <c r="AA25" s="8">
        <v>45327</v>
      </c>
      <c r="AB25" s="3">
        <v>1463.8</v>
      </c>
      <c r="AC25" s="1">
        <f t="shared" si="6"/>
        <v>3.3282744502876493E-2</v>
      </c>
      <c r="AD25" s="1"/>
      <c r="AE25" s="8">
        <v>45265</v>
      </c>
      <c r="AF25" s="3">
        <v>1221.5</v>
      </c>
      <c r="AG25" s="34">
        <f t="shared" si="7"/>
        <v>2.4620434961017956E-3</v>
      </c>
      <c r="AL25" t="s">
        <v>109</v>
      </c>
      <c r="AM25" s="35">
        <v>10100</v>
      </c>
      <c r="AN25" s="86">
        <v>9917.1939999999995</v>
      </c>
      <c r="AO25" s="86">
        <v>9490.6479999999992</v>
      </c>
    </row>
    <row r="26" spans="1:41">
      <c r="A26" s="8">
        <v>45596</v>
      </c>
      <c r="B26" s="3">
        <v>1848.9</v>
      </c>
      <c r="C26" s="16">
        <f t="shared" si="0"/>
        <v>-1.7277684790236725E-3</v>
      </c>
      <c r="D26" s="1">
        <v>24205.35</v>
      </c>
      <c r="E26" s="17">
        <v>-5.5700000000000003E-3</v>
      </c>
      <c r="F26" s="3">
        <v>22735.55</v>
      </c>
      <c r="G26" s="16">
        <f t="shared" si="1"/>
        <v>-1.5860623560899012E-2</v>
      </c>
      <c r="H26" s="1"/>
      <c r="I26" s="208"/>
      <c r="J26" s="208"/>
      <c r="K26" s="208"/>
      <c r="L26" s="120"/>
      <c r="S26" s="8">
        <v>45603</v>
      </c>
      <c r="T26" s="3">
        <v>1790.95</v>
      </c>
      <c r="U26" s="3">
        <f t="shared" si="4"/>
        <v>-1.9973186680894095E-2</v>
      </c>
      <c r="V26" s="1"/>
      <c r="W26" s="8">
        <v>45415</v>
      </c>
      <c r="X26" s="3">
        <v>1511.15</v>
      </c>
      <c r="Y26" s="1">
        <f t="shared" si="5"/>
        <v>-5.1678736010533077E-3</v>
      </c>
      <c r="Z26" s="1"/>
      <c r="AA26" s="8">
        <v>45324</v>
      </c>
      <c r="AB26" s="3">
        <v>1416.65</v>
      </c>
      <c r="AC26" s="1">
        <f t="shared" si="6"/>
        <v>6.1791967044284579E-3</v>
      </c>
      <c r="AD26" s="1"/>
      <c r="AE26" s="8">
        <v>45264</v>
      </c>
      <c r="AF26" s="3">
        <v>1218.5</v>
      </c>
      <c r="AG26" s="34">
        <f t="shared" si="7"/>
        <v>1.1287243754668275E-2</v>
      </c>
      <c r="AL26" t="s">
        <v>113</v>
      </c>
      <c r="AM26" s="16">
        <v>0.20830000000000001</v>
      </c>
      <c r="AN26" s="16">
        <v>0.20449999999999999</v>
      </c>
      <c r="AO26" s="16">
        <v>0.19570000000000001</v>
      </c>
    </row>
    <row r="27" spans="1:41">
      <c r="A27" s="8">
        <v>45595</v>
      </c>
      <c r="B27" s="3">
        <v>1852.1</v>
      </c>
      <c r="C27" s="16">
        <f t="shared" si="0"/>
        <v>-1.0418892925838863E-2</v>
      </c>
      <c r="D27" s="1">
        <v>24340.85</v>
      </c>
      <c r="E27" s="17">
        <v>-5.1500000000000001E-3</v>
      </c>
      <c r="F27" s="3">
        <v>22374.95</v>
      </c>
      <c r="G27" s="16">
        <f t="shared" si="1"/>
        <v>1.012069300713514E-2</v>
      </c>
      <c r="H27" s="1"/>
      <c r="I27" s="139" t="s">
        <v>130</v>
      </c>
      <c r="J27" s="139" t="s">
        <v>91</v>
      </c>
      <c r="K27" s="139" t="s">
        <v>131</v>
      </c>
      <c r="L27" s="120"/>
      <c r="S27" s="8">
        <v>45602</v>
      </c>
      <c r="T27" s="3">
        <v>1827.45</v>
      </c>
      <c r="U27" s="3">
        <f t="shared" si="4"/>
        <v>1.3223552894211732E-2</v>
      </c>
      <c r="V27" s="1"/>
      <c r="W27" s="8">
        <v>45414</v>
      </c>
      <c r="X27" s="3">
        <v>1519</v>
      </c>
      <c r="Y27" s="1">
        <f t="shared" si="5"/>
        <v>1.1250915385127458E-2</v>
      </c>
      <c r="Z27" s="1"/>
      <c r="AA27" s="8">
        <v>45323</v>
      </c>
      <c r="AB27" s="3">
        <v>1407.95</v>
      </c>
      <c r="AC27" s="1">
        <f t="shared" si="6"/>
        <v>-7.4024463322640566E-3</v>
      </c>
      <c r="AD27" s="1"/>
      <c r="AE27" s="8">
        <v>45261</v>
      </c>
      <c r="AF27" s="3">
        <v>1204.9000000000001</v>
      </c>
      <c r="AG27" s="34">
        <f t="shared" si="7"/>
        <v>-7.0869386073341145E-3</v>
      </c>
    </row>
    <row r="28" spans="1:41">
      <c r="A28" s="8">
        <v>45594</v>
      </c>
      <c r="B28" s="3">
        <v>1871.6</v>
      </c>
      <c r="C28" s="16">
        <f t="shared" si="0"/>
        <v>-1.6448578485469656E-2</v>
      </c>
      <c r="D28" s="1">
        <v>24466.85</v>
      </c>
      <c r="E28" s="17">
        <v>5.2469999999999999E-3</v>
      </c>
      <c r="F28" s="3">
        <v>22601.4</v>
      </c>
      <c r="G28" s="16">
        <f t="shared" si="1"/>
        <v>1.1320095215340498E-2</v>
      </c>
      <c r="H28" s="1"/>
      <c r="I28" s="154" t="s">
        <v>132</v>
      </c>
      <c r="J28" s="140">
        <f>B263</f>
        <v>1194.5999999999999</v>
      </c>
      <c r="K28" s="154" t="s">
        <v>133</v>
      </c>
      <c r="L28" s="120"/>
      <c r="S28" s="8">
        <v>45601</v>
      </c>
      <c r="T28" s="3">
        <v>1803.6</v>
      </c>
      <c r="U28" s="3">
        <f t="shared" si="4"/>
        <v>-2.9299574326939748E-3</v>
      </c>
      <c r="V28" s="1"/>
      <c r="W28" s="8">
        <v>45412</v>
      </c>
      <c r="X28" s="3">
        <v>1502.1</v>
      </c>
      <c r="Y28" s="1">
        <f t="shared" si="5"/>
        <v>-1.2815457413249187E-2</v>
      </c>
      <c r="Z28" s="1"/>
      <c r="AA28" s="8">
        <v>45322</v>
      </c>
      <c r="AB28" s="3">
        <v>1418.45</v>
      </c>
      <c r="AC28" s="1">
        <f t="shared" si="6"/>
        <v>3.4044104246400586E-2</v>
      </c>
      <c r="AD28" s="1"/>
      <c r="AE28" s="8">
        <v>45260</v>
      </c>
      <c r="AF28" s="3">
        <v>1213.5</v>
      </c>
      <c r="AG28" s="34">
        <f t="shared" si="7"/>
        <v>1.0323869786029505E-2</v>
      </c>
    </row>
    <row r="29" spans="1:41">
      <c r="A29" s="8">
        <v>45593</v>
      </c>
      <c r="B29" s="3">
        <v>1902.9</v>
      </c>
      <c r="C29" s="16">
        <f t="shared" si="0"/>
        <v>2.284454955923465E-2</v>
      </c>
      <c r="D29" s="1">
        <v>24339.15</v>
      </c>
      <c r="E29" s="17">
        <v>6.5490000000000001E-3</v>
      </c>
      <c r="F29" s="3">
        <v>22857.25</v>
      </c>
      <c r="G29" s="16">
        <f t="shared" si="1"/>
        <v>-1.2368067024685847E-2</v>
      </c>
      <c r="H29" s="1"/>
      <c r="I29" s="154" t="s">
        <v>134</v>
      </c>
      <c r="J29" s="140">
        <f>B262</f>
        <v>1188</v>
      </c>
      <c r="K29" s="67">
        <f>J29/J28-1</f>
        <v>-5.5248618784529135E-3</v>
      </c>
      <c r="L29" s="120"/>
      <c r="S29" s="8">
        <v>45600</v>
      </c>
      <c r="T29" s="3">
        <v>1808.9</v>
      </c>
      <c r="U29" s="3">
        <f t="shared" si="4"/>
        <v>-2.6635815755488568E-2</v>
      </c>
      <c r="V29" s="1"/>
      <c r="W29" s="8">
        <v>45411</v>
      </c>
      <c r="X29" s="3">
        <v>1521.6</v>
      </c>
      <c r="Y29" s="1">
        <f t="shared" si="5"/>
        <v>9.9897115927118918E-3</v>
      </c>
      <c r="Z29" s="1"/>
      <c r="AA29" s="8">
        <v>45321</v>
      </c>
      <c r="AB29" s="3">
        <v>1371.75</v>
      </c>
      <c r="AC29" s="1">
        <f t="shared" si="6"/>
        <v>-2.0773102045186786E-2</v>
      </c>
      <c r="AD29" s="1"/>
      <c r="AE29" s="8">
        <v>45259</v>
      </c>
      <c r="AF29" s="3">
        <v>1201.0999999999999</v>
      </c>
      <c r="AG29" s="34">
        <f t="shared" si="7"/>
        <v>8.0570709190095346E-3</v>
      </c>
    </row>
    <row r="30" spans="1:41">
      <c r="A30" s="8">
        <v>45590</v>
      </c>
      <c r="B30" s="3">
        <v>1860.4</v>
      </c>
      <c r="C30" s="16">
        <f t="shared" si="0"/>
        <v>6.2199145437826786E-3</v>
      </c>
      <c r="D30" s="1">
        <v>24180.799999999999</v>
      </c>
      <c r="E30" s="17">
        <v>-8.9599999999999992E-3</v>
      </c>
      <c r="F30" s="3">
        <v>22574.55</v>
      </c>
      <c r="G30" s="16">
        <f t="shared" si="1"/>
        <v>-1.6611626809837077E-4</v>
      </c>
      <c r="H30" s="1"/>
      <c r="I30" s="154" t="s">
        <v>135</v>
      </c>
      <c r="J30" s="68">
        <f>B241</f>
        <v>1232.1500000000001</v>
      </c>
      <c r="K30" s="67">
        <f>J30/$J$28-1</f>
        <v>3.1433115687259594E-2</v>
      </c>
      <c r="L30" s="120"/>
      <c r="S30" s="8">
        <v>45597</v>
      </c>
      <c r="T30" s="3">
        <v>1858.4</v>
      </c>
      <c r="U30" s="3">
        <f t="shared" si="4"/>
        <v>5.1381902752987152E-3</v>
      </c>
      <c r="V30" s="1"/>
      <c r="W30" s="8">
        <v>45408</v>
      </c>
      <c r="X30" s="3">
        <v>1506.55</v>
      </c>
      <c r="Y30" s="1">
        <f t="shared" si="5"/>
        <v>-8.9464855441897528E-3</v>
      </c>
      <c r="Z30" s="1"/>
      <c r="AA30" s="8">
        <v>45320</v>
      </c>
      <c r="AB30" s="3">
        <v>1400.85</v>
      </c>
      <c r="AC30" s="1">
        <f t="shared" si="6"/>
        <v>2.3788642841482188E-2</v>
      </c>
      <c r="AD30" s="1"/>
      <c r="AE30" s="18">
        <v>45258</v>
      </c>
      <c r="AF30" s="3">
        <v>1191.5</v>
      </c>
      <c r="AG30" s="34">
        <f t="shared" si="7"/>
        <v>-3.9707419017763756E-3</v>
      </c>
    </row>
    <row r="31" spans="1:41">
      <c r="A31" s="8">
        <v>45589</v>
      </c>
      <c r="B31" s="3">
        <v>1848.9</v>
      </c>
      <c r="C31" s="16">
        <f t="shared" si="0"/>
        <v>5.1920515399461742E-3</v>
      </c>
      <c r="D31" s="1">
        <v>24399.4</v>
      </c>
      <c r="E31" s="17">
        <v>-1.48E-3</v>
      </c>
      <c r="F31" s="3">
        <v>22570.799999999999</v>
      </c>
      <c r="G31" s="16">
        <f t="shared" si="1"/>
        <v>-4.3950591029117136E-3</v>
      </c>
      <c r="H31" s="1"/>
      <c r="I31" s="154" t="s">
        <v>136</v>
      </c>
      <c r="J31" s="68">
        <f>B199</f>
        <v>1538.7</v>
      </c>
      <c r="K31" s="67">
        <f>J31/$J$28-1</f>
        <v>0.2880462079357109</v>
      </c>
      <c r="L31" s="120"/>
      <c r="S31" s="8">
        <v>45596</v>
      </c>
      <c r="T31" s="3">
        <v>1848.9</v>
      </c>
      <c r="U31" s="3">
        <f t="shared" si="4"/>
        <v>-1.7277684790236725E-3</v>
      </c>
      <c r="V31" s="1"/>
      <c r="W31" s="8">
        <v>45407</v>
      </c>
      <c r="X31" s="3">
        <v>1520.15</v>
      </c>
      <c r="Y31" s="1">
        <f t="shared" si="5"/>
        <v>2.3153289584385117E-2</v>
      </c>
      <c r="Z31" s="1"/>
      <c r="AA31" s="8">
        <v>45316</v>
      </c>
      <c r="AB31" s="3">
        <v>1368.3</v>
      </c>
      <c r="AC31" s="1">
        <f t="shared" si="6"/>
        <v>-9.9848057304101623E-3</v>
      </c>
      <c r="AD31" s="1"/>
      <c r="AE31" s="8">
        <v>45254</v>
      </c>
      <c r="AF31" s="3">
        <v>1196.25</v>
      </c>
      <c r="AG31" s="34">
        <f t="shared" si="7"/>
        <v>1.8605245231607448E-2</v>
      </c>
    </row>
    <row r="32" spans="1:41">
      <c r="A32" s="8">
        <v>45588</v>
      </c>
      <c r="B32" s="3">
        <v>1839.35</v>
      </c>
      <c r="C32" s="16">
        <f t="shared" si="0"/>
        <v>-2.5535747397419928E-2</v>
      </c>
      <c r="D32" s="1">
        <v>24435.5</v>
      </c>
      <c r="E32" s="17">
        <v>-1.5E-3</v>
      </c>
      <c r="F32" s="3">
        <v>22471.599999999999</v>
      </c>
      <c r="G32" s="16">
        <f t="shared" si="1"/>
        <v>1.5868918991082115E-2</v>
      </c>
      <c r="H32" s="1"/>
      <c r="I32" s="154" t="s">
        <v>137</v>
      </c>
      <c r="J32" s="68">
        <f>B139</f>
        <v>1540.95</v>
      </c>
      <c r="K32" s="67">
        <f>J32/$J$28-1</f>
        <v>0.2899296835760925</v>
      </c>
      <c r="L32" s="120"/>
      <c r="S32" s="8">
        <v>45595</v>
      </c>
      <c r="T32" s="3">
        <v>1852.1</v>
      </c>
      <c r="U32" s="3">
        <f t="shared" si="4"/>
        <v>-1.0418892925838863E-2</v>
      </c>
      <c r="V32" s="1"/>
      <c r="W32" s="8">
        <v>45406</v>
      </c>
      <c r="X32" s="3">
        <v>1485.75</v>
      </c>
      <c r="Y32" s="1">
        <f t="shared" si="5"/>
        <v>7.4091536725817697E-4</v>
      </c>
      <c r="Z32" s="1"/>
      <c r="AA32" s="8">
        <v>45315</v>
      </c>
      <c r="AB32" s="3">
        <v>1382.1</v>
      </c>
      <c r="AC32" s="1">
        <f t="shared" si="6"/>
        <v>2.7570195167960776E-3</v>
      </c>
      <c r="AD32" s="1"/>
      <c r="AE32" s="8">
        <v>45253</v>
      </c>
      <c r="AF32" s="3">
        <v>1174.4000000000001</v>
      </c>
      <c r="AG32" s="34">
        <f t="shared" si="7"/>
        <v>-7.7382355251787271E-2</v>
      </c>
    </row>
    <row r="33" spans="1:33">
      <c r="A33" s="8">
        <v>45587</v>
      </c>
      <c r="B33" s="3">
        <v>1887.55</v>
      </c>
      <c r="C33" s="16">
        <f t="shared" si="0"/>
        <v>-4.981549815498143E-3</v>
      </c>
      <c r="D33" s="1">
        <v>24472.1</v>
      </c>
      <c r="E33" s="17">
        <v>-1.247E-2</v>
      </c>
      <c r="F33" s="3">
        <v>22828.2</v>
      </c>
      <c r="G33" s="16">
        <f t="shared" si="1"/>
        <v>1.2900710524701875E-2</v>
      </c>
      <c r="H33" s="1"/>
      <c r="I33" s="154" t="s">
        <v>138</v>
      </c>
      <c r="J33" s="154">
        <f>B13</f>
        <v>1780</v>
      </c>
      <c r="K33" s="67">
        <f>J33/$J$28-1</f>
        <v>0.49003850661309234</v>
      </c>
      <c r="L33" s="120"/>
      <c r="S33" s="8">
        <v>45594</v>
      </c>
      <c r="T33" s="3">
        <v>1871.6</v>
      </c>
      <c r="U33" s="3">
        <f t="shared" si="4"/>
        <v>-1.6448578485469656E-2</v>
      </c>
      <c r="V33" s="1"/>
      <c r="W33" s="8">
        <v>45405</v>
      </c>
      <c r="X33" s="3">
        <v>1484.65</v>
      </c>
      <c r="Y33" s="1">
        <f t="shared" si="5"/>
        <v>-3.6004155574313246E-2</v>
      </c>
      <c r="Z33" s="1"/>
      <c r="AA33" s="8">
        <v>45314</v>
      </c>
      <c r="AB33" s="3">
        <v>1378.3</v>
      </c>
      <c r="AC33" s="1">
        <f t="shared" si="6"/>
        <v>3.9324359989443058E-2</v>
      </c>
      <c r="AD33" s="1"/>
      <c r="AE33" s="8">
        <v>45252</v>
      </c>
      <c r="AF33" s="3">
        <v>1272.9000000000001</v>
      </c>
      <c r="AG33" s="34">
        <f t="shared" si="7"/>
        <v>1.5071770334928347E-2</v>
      </c>
    </row>
    <row r="34" spans="1:33">
      <c r="A34" s="8">
        <v>45586</v>
      </c>
      <c r="B34" s="3">
        <v>1897</v>
      </c>
      <c r="C34" s="16">
        <f t="shared" si="0"/>
        <v>-6.9882482267646928E-3</v>
      </c>
      <c r="D34" s="1">
        <v>24781.1</v>
      </c>
      <c r="E34" s="17">
        <v>-2.9399999999999999E-3</v>
      </c>
      <c r="F34" s="3">
        <v>23122.7</v>
      </c>
      <c r="G34" s="16">
        <f t="shared" si="1"/>
        <v>1.0098301668922671E-2</v>
      </c>
      <c r="H34" s="1"/>
      <c r="I34" s="1"/>
      <c r="L34" s="120"/>
      <c r="S34" s="8">
        <v>45593</v>
      </c>
      <c r="T34" s="3">
        <v>1902.9</v>
      </c>
      <c r="U34" s="3">
        <f t="shared" si="4"/>
        <v>2.284454955923465E-2</v>
      </c>
      <c r="V34" s="1"/>
      <c r="W34" s="8">
        <v>45404</v>
      </c>
      <c r="X34" s="3">
        <v>1540.1</v>
      </c>
      <c r="Y34" s="1">
        <f t="shared" si="5"/>
        <v>1.1360651431573388E-2</v>
      </c>
      <c r="Z34" s="1"/>
      <c r="AA34" s="8">
        <v>45311</v>
      </c>
      <c r="AB34" s="3">
        <v>1326.15</v>
      </c>
      <c r="AC34" s="1">
        <f t="shared" si="6"/>
        <v>-7.0754716981130672E-3</v>
      </c>
      <c r="AD34" s="1"/>
      <c r="AE34" s="8">
        <v>45251</v>
      </c>
      <c r="AF34" s="3">
        <v>1254</v>
      </c>
      <c r="AG34" s="34">
        <f t="shared" si="7"/>
        <v>4.2042042042043093E-3</v>
      </c>
    </row>
    <row r="35" spans="1:33">
      <c r="A35" s="8">
        <v>45583</v>
      </c>
      <c r="B35" s="3">
        <v>1910.35</v>
      </c>
      <c r="C35" s="16">
        <f t="shared" si="0"/>
        <v>1.1007911936704584E-2</v>
      </c>
      <c r="D35" s="1">
        <v>24854.05</v>
      </c>
      <c r="E35" s="17">
        <v>4.2100000000000002E-3</v>
      </c>
      <c r="F35" s="3">
        <v>23356.2</v>
      </c>
      <c r="G35" s="16">
        <f t="shared" si="1"/>
        <v>-4.3757118024336794E-3</v>
      </c>
      <c r="H35" s="1"/>
      <c r="I35" s="1"/>
      <c r="L35" s="120"/>
      <c r="S35" s="8">
        <v>45590</v>
      </c>
      <c r="T35" s="3">
        <v>1860.4</v>
      </c>
      <c r="U35" s="3">
        <f t="shared" si="4"/>
        <v>6.2199145437826786E-3</v>
      </c>
      <c r="V35" s="1"/>
      <c r="W35" s="8">
        <v>45401</v>
      </c>
      <c r="X35" s="3">
        <v>1522.8</v>
      </c>
      <c r="Y35" s="1">
        <f t="shared" si="5"/>
        <v>4.2205222896332106E-3</v>
      </c>
      <c r="Z35" s="1"/>
      <c r="AA35" s="8">
        <v>45310</v>
      </c>
      <c r="AB35" s="3">
        <v>1335.6</v>
      </c>
      <c r="AC35" s="1">
        <f t="shared" si="6"/>
        <v>-1.1229646266153193E-4</v>
      </c>
      <c r="AD35" s="1"/>
      <c r="AE35" s="18">
        <v>45250</v>
      </c>
      <c r="AF35" s="3">
        <v>1248.75</v>
      </c>
      <c r="AG35" s="34" t="e">
        <f t="shared" si="7"/>
        <v>#DIV/0!</v>
      </c>
    </row>
    <row r="36" spans="1:33">
      <c r="A36" s="8">
        <v>45582</v>
      </c>
      <c r="B36" s="3">
        <v>1889.55</v>
      </c>
      <c r="C36" s="16">
        <f t="shared" si="0"/>
        <v>-4.714248090597839E-3</v>
      </c>
      <c r="D36" s="1">
        <v>24749.85</v>
      </c>
      <c r="E36" s="17">
        <v>-8.8699999999999994E-3</v>
      </c>
      <c r="F36" s="3">
        <v>23254</v>
      </c>
      <c r="G36" s="16">
        <f t="shared" si="1"/>
        <v>9.1747656317191506E-3</v>
      </c>
      <c r="H36" s="1"/>
      <c r="I36" s="1"/>
      <c r="L36" s="120"/>
      <c r="S36" s="8">
        <v>45589</v>
      </c>
      <c r="T36" s="3">
        <v>1848.9</v>
      </c>
      <c r="U36" s="3">
        <f t="shared" si="4"/>
        <v>5.1920515399461742E-3</v>
      </c>
      <c r="V36" s="1"/>
      <c r="W36" s="8">
        <v>45400</v>
      </c>
      <c r="X36" s="3">
        <v>1516.4</v>
      </c>
      <c r="Y36" s="1">
        <f t="shared" si="5"/>
        <v>-1.3755650222756932E-2</v>
      </c>
      <c r="Z36" s="1"/>
      <c r="AA36" s="8">
        <v>45309</v>
      </c>
      <c r="AB36" s="3">
        <v>1335.75</v>
      </c>
      <c r="AC36" s="1">
        <f t="shared" si="6"/>
        <v>2.8290993071593551E-2</v>
      </c>
      <c r="AD36" s="1"/>
      <c r="AE36" s="1"/>
      <c r="AF36" s="1"/>
    </row>
    <row r="37" spans="1:33">
      <c r="A37" s="8">
        <v>45581</v>
      </c>
      <c r="B37" s="3">
        <v>1898.5</v>
      </c>
      <c r="C37" s="16">
        <f t="shared" si="0"/>
        <v>2.6337275145449368E-5</v>
      </c>
      <c r="D37" s="1">
        <v>24971.3</v>
      </c>
      <c r="E37" s="17">
        <v>-3.4299999999999999E-3</v>
      </c>
      <c r="F37" s="3">
        <v>23467.35</v>
      </c>
      <c r="G37" s="16">
        <f t="shared" si="1"/>
        <v>3.7648051441685482E-3</v>
      </c>
      <c r="H37" s="1"/>
      <c r="I37" s="1"/>
      <c r="L37" s="120"/>
      <c r="S37" s="8">
        <v>45588</v>
      </c>
      <c r="T37" s="3">
        <v>1839.35</v>
      </c>
      <c r="U37" s="3">
        <f t="shared" si="4"/>
        <v>-2.5535747397419928E-2</v>
      </c>
      <c r="V37" s="1"/>
      <c r="W37" s="8">
        <v>45398</v>
      </c>
      <c r="X37" s="3">
        <v>1537.55</v>
      </c>
      <c r="Y37" s="1">
        <f t="shared" si="5"/>
        <v>-1.6233239180546422E-3</v>
      </c>
      <c r="Z37" s="1"/>
      <c r="AA37" s="8">
        <v>45308</v>
      </c>
      <c r="AB37" s="3">
        <v>1299</v>
      </c>
      <c r="AC37" s="1">
        <f t="shared" si="6"/>
        <v>-1.1001560775058095E-2</v>
      </c>
      <c r="AD37" s="1"/>
      <c r="AE37" s="1"/>
      <c r="AF37" s="1"/>
    </row>
    <row r="38" spans="1:33">
      <c r="A38" s="8">
        <v>45580</v>
      </c>
      <c r="B38" s="3">
        <v>1898.45</v>
      </c>
      <c r="C38" s="16">
        <f t="shared" si="0"/>
        <v>-5.9170048435659428E-3</v>
      </c>
      <c r="D38" s="1">
        <v>25057.35</v>
      </c>
      <c r="E38" s="17">
        <v>-2.81E-3</v>
      </c>
      <c r="F38" s="3">
        <v>23555.7</v>
      </c>
      <c r="G38" s="16">
        <f t="shared" si="1"/>
        <v>5.2768544343830825E-3</v>
      </c>
      <c r="H38" s="1"/>
      <c r="I38" s="1"/>
      <c r="L38" s="120"/>
      <c r="S38" s="8">
        <v>45587</v>
      </c>
      <c r="T38" s="3">
        <v>1887.55</v>
      </c>
      <c r="U38" s="3">
        <f t="shared" si="4"/>
        <v>-4.981549815498143E-3</v>
      </c>
      <c r="V38" s="1"/>
      <c r="W38" s="8">
        <v>45397</v>
      </c>
      <c r="X38" s="3">
        <v>1540.05</v>
      </c>
      <c r="Y38" s="1">
        <f t="shared" si="5"/>
        <v>3.2467532467439497E-5</v>
      </c>
      <c r="Z38" s="1"/>
      <c r="AA38" s="8">
        <v>45307</v>
      </c>
      <c r="AB38" s="3">
        <v>1313.45</v>
      </c>
      <c r="AC38" s="1">
        <f t="shared" si="6"/>
        <v>-1.196073268890796E-2</v>
      </c>
      <c r="AD38" s="1"/>
      <c r="AE38" s="1"/>
      <c r="AF38" s="1"/>
    </row>
    <row r="39" spans="1:33">
      <c r="A39" s="8">
        <v>45579</v>
      </c>
      <c r="B39" s="3">
        <v>1909.75</v>
      </c>
      <c r="C39" s="16">
        <f t="shared" si="0"/>
        <v>4.1010541812349643E-3</v>
      </c>
      <c r="D39" s="1">
        <v>25127.95</v>
      </c>
      <c r="E39" s="17">
        <v>6.5570000000000003E-3</v>
      </c>
      <c r="F39" s="3">
        <v>23680</v>
      </c>
      <c r="G39" s="16">
        <f t="shared" si="1"/>
        <v>-4.1279560810810745E-3</v>
      </c>
      <c r="H39" s="1"/>
      <c r="I39" s="1"/>
      <c r="L39" s="120"/>
      <c r="S39" s="8">
        <v>45586</v>
      </c>
      <c r="T39" s="3">
        <v>1897</v>
      </c>
      <c r="U39" s="3">
        <f t="shared" si="4"/>
        <v>-6.9882482267646928E-3</v>
      </c>
      <c r="V39" s="1"/>
      <c r="W39" s="8">
        <v>45394</v>
      </c>
      <c r="X39" s="3">
        <v>1540</v>
      </c>
      <c r="Y39" s="1">
        <f t="shared" si="5"/>
        <v>-3.9930176740126555E-2</v>
      </c>
      <c r="Z39" s="1"/>
      <c r="AA39" s="8">
        <v>45306</v>
      </c>
      <c r="AB39" s="3">
        <v>1329.35</v>
      </c>
      <c r="AC39" s="1">
        <f t="shared" si="6"/>
        <v>2.5641992533653735E-3</v>
      </c>
      <c r="AD39" s="1"/>
      <c r="AE39" s="1"/>
      <c r="AF39" s="1"/>
    </row>
    <row r="40" spans="1:33">
      <c r="A40" s="8">
        <v>45576</v>
      </c>
      <c r="B40" s="3">
        <v>1901.95</v>
      </c>
      <c r="C40" s="16">
        <f t="shared" si="0"/>
        <v>7.5221824923852321E-3</v>
      </c>
      <c r="D40" s="1">
        <v>24964.25</v>
      </c>
      <c r="E40" s="17">
        <v>-1.3699999999999999E-3</v>
      </c>
      <c r="F40" s="3">
        <v>23582.25</v>
      </c>
      <c r="G40" s="16">
        <f t="shared" si="1"/>
        <v>-1.1750363090883953E-2</v>
      </c>
      <c r="H40" s="1"/>
      <c r="I40" s="1"/>
      <c r="L40" s="120"/>
      <c r="S40" s="8">
        <v>45583</v>
      </c>
      <c r="T40" s="3">
        <v>1910.35</v>
      </c>
      <c r="U40" s="3">
        <f t="shared" si="4"/>
        <v>1.1007911936704584E-2</v>
      </c>
      <c r="V40" s="1"/>
      <c r="W40" s="8">
        <v>45392</v>
      </c>
      <c r="X40" s="3">
        <v>1604.05</v>
      </c>
      <c r="Y40" s="1">
        <f t="shared" si="5"/>
        <v>9.3600823687256529E-4</v>
      </c>
      <c r="Z40" s="1"/>
      <c r="AA40" s="8">
        <v>45303</v>
      </c>
      <c r="AB40" s="3">
        <v>1325.95</v>
      </c>
      <c r="AC40" s="1">
        <f t="shared" si="6"/>
        <v>7.3694207027541481E-3</v>
      </c>
      <c r="AD40" s="1"/>
      <c r="AE40" s="1"/>
      <c r="AF40" s="1"/>
    </row>
    <row r="41" spans="1:33">
      <c r="A41" s="8">
        <v>45575</v>
      </c>
      <c r="B41" s="3">
        <v>1887.75</v>
      </c>
      <c r="C41" s="16">
        <f t="shared" si="0"/>
        <v>-2.2321775383898235E-2</v>
      </c>
      <c r="D41" s="1">
        <v>24998.45</v>
      </c>
      <c r="E41" s="17">
        <v>6.6E-4</v>
      </c>
      <c r="F41" s="3">
        <v>23305.15</v>
      </c>
      <c r="G41" s="16">
        <f t="shared" si="1"/>
        <v>2.0538378856175488E-2</v>
      </c>
      <c r="H41" s="1"/>
      <c r="I41" s="1"/>
      <c r="L41" s="120"/>
      <c r="S41" s="8">
        <v>45582</v>
      </c>
      <c r="T41" s="3">
        <v>1889.55</v>
      </c>
      <c r="U41" s="3">
        <f t="shared" si="4"/>
        <v>-4.714248090597839E-3</v>
      </c>
      <c r="V41" s="1"/>
      <c r="W41" s="8">
        <v>45391</v>
      </c>
      <c r="X41" s="3">
        <v>1602.55</v>
      </c>
      <c r="Y41" s="1">
        <f t="shared" si="5"/>
        <v>1.7815840470087885E-3</v>
      </c>
      <c r="Z41" s="1"/>
      <c r="AA41" s="8">
        <v>45302</v>
      </c>
      <c r="AB41" s="3">
        <v>1316.25</v>
      </c>
      <c r="AC41" s="1">
        <f t="shared" si="6"/>
        <v>-6.4913009019887946E-3</v>
      </c>
      <c r="AD41" s="1"/>
      <c r="AE41" s="1"/>
      <c r="AF41" s="1"/>
    </row>
    <row r="42" spans="1:33">
      <c r="A42" s="8">
        <v>45574</v>
      </c>
      <c r="B42" s="3">
        <v>1930.85</v>
      </c>
      <c r="C42" s="16">
        <f t="shared" si="0"/>
        <v>7.1460240461100888E-3</v>
      </c>
      <c r="D42" s="1">
        <v>24981.95</v>
      </c>
      <c r="E42" s="17">
        <v>-1.25E-3</v>
      </c>
      <c r="F42" s="3">
        <v>23783.8</v>
      </c>
      <c r="G42" s="16">
        <f t="shared" si="1"/>
        <v>-2.0007315904102763E-2</v>
      </c>
      <c r="H42" s="1"/>
      <c r="I42" s="1"/>
      <c r="L42" s="120"/>
      <c r="S42" s="8">
        <v>45581</v>
      </c>
      <c r="T42" s="3">
        <v>1898.5</v>
      </c>
      <c r="U42" s="3">
        <f t="shared" si="4"/>
        <v>2.6337275145449368E-5</v>
      </c>
      <c r="V42" s="1"/>
      <c r="W42" s="8">
        <v>45390</v>
      </c>
      <c r="X42" s="3">
        <v>1599.7</v>
      </c>
      <c r="Y42" s="1">
        <f t="shared" si="5"/>
        <v>-5.7799875699191539E-3</v>
      </c>
      <c r="Z42" s="1"/>
      <c r="AA42" s="8">
        <v>45301</v>
      </c>
      <c r="AB42" s="3">
        <v>1324.85</v>
      </c>
      <c r="AC42" s="1">
        <f t="shared" si="6"/>
        <v>6.4199395770381251E-4</v>
      </c>
      <c r="AD42" s="1"/>
      <c r="AE42" s="1"/>
      <c r="AF42" s="1"/>
    </row>
    <row r="43" spans="1:33">
      <c r="A43" s="8">
        <v>45573</v>
      </c>
      <c r="B43" s="3">
        <v>1917.15</v>
      </c>
      <c r="C43" s="16">
        <f t="shared" si="0"/>
        <v>6.2458994882561569E-3</v>
      </c>
      <c r="D43" s="1">
        <v>25013.15</v>
      </c>
      <c r="E43" s="17">
        <v>8.7679999999999998E-3</v>
      </c>
      <c r="F43" s="3">
        <v>23307.95</v>
      </c>
      <c r="G43" s="16">
        <f t="shared" si="1"/>
        <v>-1.4164694878786022E-2</v>
      </c>
      <c r="H43" s="1"/>
      <c r="I43" s="1"/>
      <c r="L43" s="120"/>
      <c r="S43" s="8">
        <v>45580</v>
      </c>
      <c r="T43" s="3">
        <v>1898.45</v>
      </c>
      <c r="U43" s="3">
        <f t="shared" si="4"/>
        <v>-5.9170048435659428E-3</v>
      </c>
      <c r="V43" s="1"/>
      <c r="W43" s="8">
        <v>45387</v>
      </c>
      <c r="X43" s="3">
        <v>1609</v>
      </c>
      <c r="Y43" s="1">
        <f t="shared" si="5"/>
        <v>-6.3914533609163993E-3</v>
      </c>
      <c r="Z43" s="1"/>
      <c r="AA43" s="8">
        <v>45300</v>
      </c>
      <c r="AB43" s="3">
        <v>1324</v>
      </c>
      <c r="AC43" s="1">
        <f t="shared" si="6"/>
        <v>1.4326208534436669E-2</v>
      </c>
      <c r="AD43" s="1"/>
      <c r="AE43" s="1"/>
      <c r="AF43" s="1"/>
    </row>
    <row r="44" spans="1:33">
      <c r="A44" s="8">
        <v>45572</v>
      </c>
      <c r="B44" s="3">
        <v>1905.25</v>
      </c>
      <c r="C44" s="16">
        <f t="shared" si="0"/>
        <v>-2.5130232192874802E-3</v>
      </c>
      <c r="D44" s="1">
        <v>24795.75</v>
      </c>
      <c r="E44" s="17">
        <v>-8.7500000000000008E-3</v>
      </c>
      <c r="F44" s="3">
        <v>22977.8</v>
      </c>
      <c r="G44" s="16">
        <f t="shared" si="1"/>
        <v>5.0875192577184425E-3</v>
      </c>
      <c r="H44" s="1"/>
      <c r="I44" s="1"/>
      <c r="L44" s="120"/>
      <c r="S44" s="8">
        <v>45579</v>
      </c>
      <c r="T44" s="3">
        <v>1909.75</v>
      </c>
      <c r="U44" s="3">
        <f t="shared" si="4"/>
        <v>4.1010541812349643E-3</v>
      </c>
      <c r="V44" s="1"/>
      <c r="W44" s="8">
        <v>45386</v>
      </c>
      <c r="X44" s="3">
        <v>1619.35</v>
      </c>
      <c r="Y44" s="1">
        <f t="shared" si="5"/>
        <v>-3.0867055591565773E-4</v>
      </c>
      <c r="Z44" s="1"/>
      <c r="AA44" s="8">
        <v>45299</v>
      </c>
      <c r="AB44" s="3">
        <v>1305.3</v>
      </c>
      <c r="AC44" s="1">
        <f t="shared" si="6"/>
        <v>3.9224734656206905E-3</v>
      </c>
      <c r="AD44" s="1"/>
      <c r="AE44" s="1"/>
      <c r="AF44" s="1"/>
    </row>
    <row r="45" spans="1:33">
      <c r="A45" s="8">
        <v>45569</v>
      </c>
      <c r="B45" s="3">
        <v>1910.05</v>
      </c>
      <c r="C45" s="16">
        <f t="shared" si="0"/>
        <v>-4.1866185205530204E-4</v>
      </c>
      <c r="D45" s="1">
        <v>25014.6</v>
      </c>
      <c r="E45" s="17">
        <v>-9.3299999999999998E-3</v>
      </c>
      <c r="F45" s="3">
        <v>23094.7</v>
      </c>
      <c r="G45" s="16">
        <f t="shared" si="1"/>
        <v>3.6393631439246565E-3</v>
      </c>
      <c r="H45" s="1"/>
      <c r="I45" s="1"/>
      <c r="L45" s="120"/>
      <c r="S45" s="8">
        <v>45576</v>
      </c>
      <c r="T45" s="3">
        <v>1901.95</v>
      </c>
      <c r="U45" s="3">
        <f t="shared" si="4"/>
        <v>7.5221824923852321E-3</v>
      </c>
      <c r="V45" s="1"/>
      <c r="W45" s="8">
        <v>45385</v>
      </c>
      <c r="X45" s="3">
        <v>1619.85</v>
      </c>
      <c r="Y45" s="1">
        <f t="shared" si="5"/>
        <v>-1.4794267221451829E-3</v>
      </c>
      <c r="Z45" s="1"/>
      <c r="AA45" s="8">
        <v>45296</v>
      </c>
      <c r="AB45" s="3">
        <v>1300.2</v>
      </c>
      <c r="AC45" s="1">
        <f t="shared" si="6"/>
        <v>-9.7109562435736541E-3</v>
      </c>
      <c r="AD45" s="1"/>
      <c r="AE45" s="1"/>
      <c r="AF45" s="1"/>
    </row>
    <row r="46" spans="1:33">
      <c r="A46" s="8">
        <v>45568</v>
      </c>
      <c r="B46" s="3">
        <v>1910.85</v>
      </c>
      <c r="C46" s="16">
        <f t="shared" si="0"/>
        <v>-4.7397067631970158E-3</v>
      </c>
      <c r="D46" s="1">
        <v>25250.1</v>
      </c>
      <c r="E46" s="17">
        <v>-2.12E-2</v>
      </c>
      <c r="F46" s="3">
        <v>23178.75</v>
      </c>
      <c r="G46" s="16">
        <f t="shared" si="1"/>
        <v>5.0822412770317182E-3</v>
      </c>
      <c r="H46" s="1"/>
      <c r="I46" s="1"/>
      <c r="L46" s="120"/>
      <c r="S46" s="8">
        <v>45575</v>
      </c>
      <c r="T46" s="3">
        <v>1887.75</v>
      </c>
      <c r="U46" s="3">
        <f t="shared" si="4"/>
        <v>-2.2321775383898235E-2</v>
      </c>
      <c r="V46" s="1"/>
      <c r="W46" s="8">
        <v>45384</v>
      </c>
      <c r="X46" s="3">
        <v>1622.25</v>
      </c>
      <c r="Y46" s="1">
        <f t="shared" ref="Y46:Y77" si="8">X46/X47-1</f>
        <v>-4.2964554242749253E-3</v>
      </c>
      <c r="Z46" s="1"/>
      <c r="AA46" s="8">
        <v>45295</v>
      </c>
      <c r="AB46" s="3">
        <v>1312.95</v>
      </c>
      <c r="AC46" s="1">
        <f t="shared" ref="AC46:AC76" si="9">AB46/AB47-1</f>
        <v>1.1050361928230501E-2</v>
      </c>
      <c r="AD46" s="1"/>
      <c r="AE46" s="1"/>
      <c r="AF46" s="1"/>
    </row>
    <row r="47" spans="1:33">
      <c r="A47" s="8">
        <v>45566</v>
      </c>
      <c r="B47" s="3">
        <v>1919.95</v>
      </c>
      <c r="C47" s="16">
        <f t="shared" si="0"/>
        <v>-3.5033995951626595E-3</v>
      </c>
      <c r="D47" s="1">
        <v>25796.9</v>
      </c>
      <c r="E47" s="17">
        <v>-5.4000000000000001E-4</v>
      </c>
      <c r="F47" s="3">
        <v>23296.55</v>
      </c>
      <c r="G47" s="16">
        <f t="shared" si="1"/>
        <v>-6.5889584509293275E-4</v>
      </c>
      <c r="H47" s="1"/>
      <c r="I47" s="1"/>
      <c r="L47" s="120"/>
      <c r="S47" s="8">
        <v>45574</v>
      </c>
      <c r="T47" s="3">
        <v>1930.85</v>
      </c>
      <c r="U47" s="3">
        <f t="shared" si="4"/>
        <v>7.1460240461100888E-3</v>
      </c>
      <c r="V47" s="1"/>
      <c r="W47" s="8">
        <v>45383</v>
      </c>
      <c r="X47" s="3">
        <v>1629.25</v>
      </c>
      <c r="Y47" s="1">
        <f t="shared" si="8"/>
        <v>5.3685477152818351E-3</v>
      </c>
      <c r="Z47" s="1"/>
      <c r="AA47" s="8">
        <v>45294</v>
      </c>
      <c r="AB47" s="3">
        <v>1298.5999999999999</v>
      </c>
      <c r="AC47" s="1">
        <f t="shared" si="9"/>
        <v>1.8515661163400754E-3</v>
      </c>
      <c r="AD47" s="1"/>
      <c r="AE47" s="1"/>
      <c r="AF47" s="1"/>
    </row>
    <row r="48" spans="1:33">
      <c r="A48" s="8">
        <v>45565</v>
      </c>
      <c r="B48" s="3">
        <v>1926.7</v>
      </c>
      <c r="C48" s="16">
        <f t="shared" si="0"/>
        <v>-1.1289577667162765E-2</v>
      </c>
      <c r="D48" s="1">
        <v>25810.85</v>
      </c>
      <c r="E48" s="17">
        <v>-1.406E-2</v>
      </c>
      <c r="F48" s="3">
        <v>23281.200000000001</v>
      </c>
      <c r="G48" s="16">
        <f t="shared" si="1"/>
        <v>1.021854543580214E-2</v>
      </c>
      <c r="H48" s="1"/>
      <c r="I48" s="1"/>
      <c r="L48" s="120"/>
      <c r="S48" s="8">
        <v>45573</v>
      </c>
      <c r="T48" s="3">
        <v>1917.15</v>
      </c>
      <c r="U48" s="3">
        <f t="shared" si="4"/>
        <v>6.2458994882561569E-3</v>
      </c>
      <c r="V48" s="1"/>
      <c r="W48" s="8">
        <v>45379</v>
      </c>
      <c r="X48" s="3">
        <v>1620.55</v>
      </c>
      <c r="Y48" s="1">
        <f t="shared" si="8"/>
        <v>1.0223482841380083E-2</v>
      </c>
      <c r="Z48" s="1"/>
      <c r="AA48" s="8">
        <v>45293</v>
      </c>
      <c r="AB48" s="3">
        <v>1296.2</v>
      </c>
      <c r="AC48" s="1">
        <f t="shared" si="9"/>
        <v>2.8526086094029068E-2</v>
      </c>
      <c r="AD48" s="1"/>
      <c r="AE48" s="1"/>
      <c r="AF48" s="1"/>
    </row>
    <row r="49" spans="1:32">
      <c r="A49" s="8">
        <v>45562</v>
      </c>
      <c r="B49" s="3">
        <v>1948.7</v>
      </c>
      <c r="C49" s="16">
        <f t="shared" si="0"/>
        <v>2.6495996628739915E-2</v>
      </c>
      <c r="D49" s="1">
        <v>26178.95</v>
      </c>
      <c r="E49" s="17">
        <v>-1.42E-3</v>
      </c>
      <c r="F49" s="3">
        <v>23519.1</v>
      </c>
      <c r="G49" s="16">
        <f t="shared" si="1"/>
        <v>-1.1403497582815558E-2</v>
      </c>
      <c r="H49" s="1"/>
      <c r="I49" s="1"/>
      <c r="L49" s="120"/>
      <c r="S49" s="8">
        <v>45572</v>
      </c>
      <c r="T49" s="3">
        <v>1905.25</v>
      </c>
      <c r="U49" s="3">
        <f t="shared" si="4"/>
        <v>-2.5130232192874802E-3</v>
      </c>
      <c r="V49" s="1"/>
      <c r="W49" s="8">
        <v>45378</v>
      </c>
      <c r="X49" s="3">
        <v>1604.15</v>
      </c>
      <c r="Y49" s="1">
        <f t="shared" si="8"/>
        <v>3.7857455728678158E-3</v>
      </c>
      <c r="Z49" s="1"/>
      <c r="AA49" s="8">
        <v>45292</v>
      </c>
      <c r="AB49" s="3">
        <v>1260.25</v>
      </c>
      <c r="AC49" s="1">
        <f t="shared" si="9"/>
        <v>6.3519790384680697E-4</v>
      </c>
      <c r="AD49" s="1"/>
      <c r="AE49" s="1"/>
      <c r="AF49" s="1"/>
    </row>
    <row r="50" spans="1:32">
      <c r="A50" s="8">
        <v>45561</v>
      </c>
      <c r="B50" s="3">
        <v>1898.4</v>
      </c>
      <c r="C50" s="16">
        <f t="shared" si="0"/>
        <v>1.4888669108016339E-2</v>
      </c>
      <c r="D50" s="1">
        <v>26216.05</v>
      </c>
      <c r="E50" s="17">
        <v>8.149E-3</v>
      </c>
      <c r="F50" s="3">
        <v>23250.9</v>
      </c>
      <c r="G50" s="16">
        <f t="shared" si="1"/>
        <v>-8.1717266858571946E-5</v>
      </c>
      <c r="H50" s="1"/>
      <c r="I50" s="1"/>
      <c r="L50" s="120"/>
      <c r="S50" s="8">
        <v>45569</v>
      </c>
      <c r="T50" s="3">
        <v>1910.05</v>
      </c>
      <c r="U50" s="3">
        <f t="shared" si="4"/>
        <v>-4.1866185205530204E-4</v>
      </c>
      <c r="V50" s="1"/>
      <c r="W50" s="8">
        <v>45377</v>
      </c>
      <c r="X50" s="3">
        <v>1598.1</v>
      </c>
      <c r="Y50" s="1">
        <f t="shared" si="8"/>
        <v>-6.7126608241656616E-3</v>
      </c>
      <c r="Z50" s="1"/>
      <c r="AA50" s="8">
        <v>45289</v>
      </c>
      <c r="AB50" s="3">
        <v>1259.45</v>
      </c>
      <c r="AC50" s="1">
        <f t="shared" si="9"/>
        <v>-2.1392069088460586E-3</v>
      </c>
      <c r="AD50" s="1"/>
      <c r="AE50" s="1"/>
      <c r="AF50" s="1"/>
    </row>
    <row r="51" spans="1:32">
      <c r="A51" s="8">
        <v>45560</v>
      </c>
      <c r="B51" s="3">
        <v>1870.55</v>
      </c>
      <c r="C51" s="16">
        <f t="shared" si="0"/>
        <v>1.3114929607622727E-3</v>
      </c>
      <c r="D51" s="1">
        <v>26004.15</v>
      </c>
      <c r="E51" s="17">
        <v>2.4580000000000001E-3</v>
      </c>
      <c r="F51" s="3">
        <v>23249</v>
      </c>
      <c r="G51" s="16">
        <f t="shared" si="1"/>
        <v>-2.6065637231708072E-3</v>
      </c>
      <c r="H51" s="1"/>
      <c r="I51" s="1"/>
      <c r="L51" s="120"/>
      <c r="S51" s="8">
        <v>45568</v>
      </c>
      <c r="T51" s="3">
        <v>1910.85</v>
      </c>
      <c r="U51" s="3">
        <f t="shared" si="4"/>
        <v>-4.7397067631970158E-3</v>
      </c>
      <c r="V51" s="1"/>
      <c r="W51" s="8">
        <v>45373</v>
      </c>
      <c r="X51" s="3">
        <v>1608.9</v>
      </c>
      <c r="Y51" s="1">
        <f t="shared" si="8"/>
        <v>2.7919754663940699E-2</v>
      </c>
      <c r="Z51" s="1"/>
      <c r="AA51" s="8">
        <v>45288</v>
      </c>
      <c r="AB51" s="3">
        <v>1262.1500000000001</v>
      </c>
      <c r="AC51" s="1">
        <f t="shared" si="9"/>
        <v>7.7448201525012195E-3</v>
      </c>
      <c r="AD51" s="1"/>
      <c r="AE51" s="1"/>
      <c r="AF51" s="1"/>
    </row>
    <row r="52" spans="1:32">
      <c r="A52" s="8">
        <v>45559</v>
      </c>
      <c r="B52" s="3">
        <v>1868.1</v>
      </c>
      <c r="C52" s="16">
        <f t="shared" si="0"/>
        <v>2.8990175551617536E-3</v>
      </c>
      <c r="D52" s="1">
        <v>25940.400000000001</v>
      </c>
      <c r="E52" s="17">
        <v>5.1999999999999997E-5</v>
      </c>
      <c r="F52" s="3">
        <v>23188.400000000001</v>
      </c>
      <c r="G52" s="16">
        <f t="shared" si="1"/>
        <v>-2.3352193338048721E-3</v>
      </c>
      <c r="H52" s="1"/>
      <c r="I52" s="1"/>
      <c r="L52" s="120"/>
      <c r="S52" s="8">
        <v>45566</v>
      </c>
      <c r="T52" s="3">
        <v>1919.95</v>
      </c>
      <c r="U52" s="3">
        <f t="shared" si="4"/>
        <v>-3.5033995951626595E-3</v>
      </c>
      <c r="V52" s="1"/>
      <c r="W52" s="8">
        <v>45372</v>
      </c>
      <c r="X52" s="3">
        <v>1565.2</v>
      </c>
      <c r="Y52" s="1">
        <f t="shared" si="8"/>
        <v>1.0230096492077401E-2</v>
      </c>
      <c r="Z52" s="1"/>
      <c r="AA52" s="8">
        <v>45287</v>
      </c>
      <c r="AB52" s="3">
        <v>1252.45</v>
      </c>
      <c r="AC52" s="1">
        <f t="shared" si="9"/>
        <v>3.9679358717434887E-3</v>
      </c>
      <c r="AD52" s="1"/>
      <c r="AE52" s="1"/>
      <c r="AF52" s="1"/>
    </row>
    <row r="53" spans="1:32">
      <c r="A53" s="8">
        <v>45558</v>
      </c>
      <c r="B53" s="3">
        <v>1862.7</v>
      </c>
      <c r="C53" s="16">
        <f t="shared" si="0"/>
        <v>-1.6347313412836684E-3</v>
      </c>
      <c r="D53" s="1">
        <v>25939.05</v>
      </c>
      <c r="E53" s="17">
        <v>5.7419999999999997E-3</v>
      </c>
      <c r="F53" s="3">
        <v>23134.25</v>
      </c>
      <c r="G53" s="16">
        <f t="shared" si="1"/>
        <v>-5.5761479192106833E-3</v>
      </c>
      <c r="H53" s="1"/>
      <c r="I53" s="1"/>
      <c r="L53" s="120"/>
      <c r="S53" s="8">
        <v>45565</v>
      </c>
      <c r="T53" s="3">
        <v>1926.7</v>
      </c>
      <c r="U53" s="3">
        <f t="shared" si="4"/>
        <v>-1.1289577667162765E-2</v>
      </c>
      <c r="V53" s="1"/>
      <c r="W53" s="8">
        <v>45371</v>
      </c>
      <c r="X53" s="3">
        <v>1549.35</v>
      </c>
      <c r="Y53" s="1">
        <f t="shared" si="8"/>
        <v>5.8122638767788004E-4</v>
      </c>
      <c r="Z53" s="1"/>
      <c r="AA53" s="8">
        <v>45286</v>
      </c>
      <c r="AB53" s="3">
        <v>1247.5</v>
      </c>
      <c r="AC53" s="1">
        <f t="shared" si="9"/>
        <v>3.0957262895507931E-3</v>
      </c>
      <c r="AD53" s="1"/>
      <c r="AE53" s="1"/>
      <c r="AF53" s="1"/>
    </row>
    <row r="54" spans="1:32">
      <c r="A54" s="8">
        <v>45555</v>
      </c>
      <c r="B54" s="3">
        <v>1865.75</v>
      </c>
      <c r="C54" s="16">
        <f t="shared" si="0"/>
        <v>1.067143360147349E-2</v>
      </c>
      <c r="D54" s="1">
        <v>25790.95</v>
      </c>
      <c r="E54" s="17">
        <v>1.4761E-2</v>
      </c>
      <c r="F54" s="3">
        <v>23005.25</v>
      </c>
      <c r="G54" s="16">
        <f t="shared" si="1"/>
        <v>-3.2644722400321236E-3</v>
      </c>
      <c r="H54" s="1"/>
      <c r="I54" s="1"/>
      <c r="L54" s="120"/>
      <c r="S54" s="8">
        <v>45562</v>
      </c>
      <c r="T54" s="3">
        <v>1948.7</v>
      </c>
      <c r="U54" s="3">
        <f t="shared" si="4"/>
        <v>2.6495996628739915E-2</v>
      </c>
      <c r="V54" s="1"/>
      <c r="W54" s="8">
        <v>45370</v>
      </c>
      <c r="X54" s="3">
        <v>1548.45</v>
      </c>
      <c r="Y54" s="1">
        <f t="shared" si="8"/>
        <v>-1.4510739856801846E-2</v>
      </c>
      <c r="Z54" s="1"/>
      <c r="AA54" s="8">
        <v>45282</v>
      </c>
      <c r="AB54" s="3">
        <v>1243.6500000000001</v>
      </c>
      <c r="AC54" s="1">
        <f t="shared" si="9"/>
        <v>8.22861775435757E-3</v>
      </c>
      <c r="AD54" s="1"/>
      <c r="AE54" s="1"/>
      <c r="AF54" s="1"/>
    </row>
    <row r="55" spans="1:32">
      <c r="A55" s="8">
        <v>45554</v>
      </c>
      <c r="B55" s="3">
        <v>1846.05</v>
      </c>
      <c r="C55" s="16">
        <f t="shared" si="0"/>
        <v>5.4738562091503074E-3</v>
      </c>
      <c r="D55" s="1">
        <v>25415.8</v>
      </c>
      <c r="E55" s="17">
        <v>1.5070000000000001E-3</v>
      </c>
      <c r="F55" s="3">
        <v>22930.15</v>
      </c>
      <c r="G55" s="16">
        <f t="shared" si="1"/>
        <v>4.1451974801733904E-3</v>
      </c>
      <c r="H55" s="1"/>
      <c r="I55" s="1"/>
      <c r="L55" s="120"/>
      <c r="S55" s="8">
        <v>45561</v>
      </c>
      <c r="T55" s="3">
        <v>1898.4</v>
      </c>
      <c r="U55" s="3">
        <f t="shared" si="4"/>
        <v>1.4888669108016339E-2</v>
      </c>
      <c r="V55" s="1"/>
      <c r="W55" s="8">
        <v>45369</v>
      </c>
      <c r="X55" s="3">
        <v>1571.25</v>
      </c>
      <c r="Y55" s="1">
        <f t="shared" si="8"/>
        <v>1.4888257331094223E-2</v>
      </c>
      <c r="Z55" s="1"/>
      <c r="AA55" s="8">
        <v>45281</v>
      </c>
      <c r="AB55" s="3">
        <v>1233.5</v>
      </c>
      <c r="AC55" s="1">
        <f t="shared" si="9"/>
        <v>1.0956458223430054E-3</v>
      </c>
      <c r="AD55" s="1"/>
      <c r="AE55" s="1"/>
      <c r="AF55" s="1"/>
    </row>
    <row r="56" spans="1:32">
      <c r="A56" s="8">
        <v>45553</v>
      </c>
      <c r="B56" s="3">
        <v>1836</v>
      </c>
      <c r="C56" s="16">
        <f t="shared" si="0"/>
        <v>-1.612989657574615E-2</v>
      </c>
      <c r="D56" s="1">
        <v>25377.55</v>
      </c>
      <c r="E56" s="17">
        <v>-1.6100000000000001E-3</v>
      </c>
      <c r="F56" s="3">
        <v>23025.200000000001</v>
      </c>
      <c r="G56" s="16">
        <f t="shared" si="1"/>
        <v>1.5567725796084231E-2</v>
      </c>
      <c r="H56" s="1"/>
      <c r="I56" s="1"/>
      <c r="L56" s="120"/>
      <c r="S56" s="8">
        <v>45560</v>
      </c>
      <c r="T56" s="3">
        <v>1870.55</v>
      </c>
      <c r="U56" s="3">
        <f t="shared" si="4"/>
        <v>1.3114929607622727E-3</v>
      </c>
      <c r="V56" s="1"/>
      <c r="W56" s="8">
        <v>45366</v>
      </c>
      <c r="X56" s="3">
        <v>1548.2</v>
      </c>
      <c r="Y56" s="1">
        <f t="shared" si="8"/>
        <v>-1.4010954018596311E-2</v>
      </c>
      <c r="Z56" s="1"/>
      <c r="AA56" s="8">
        <v>45280</v>
      </c>
      <c r="AB56" s="3">
        <v>1232.1500000000001</v>
      </c>
      <c r="AC56" s="1">
        <f t="shared" si="9"/>
        <v>-1.0281537411141017E-2</v>
      </c>
      <c r="AD56" s="1"/>
      <c r="AE56" s="1"/>
      <c r="AF56" s="1"/>
    </row>
    <row r="57" spans="1:32">
      <c r="A57" s="8">
        <v>45552</v>
      </c>
      <c r="B57" s="3">
        <v>1866.1</v>
      </c>
      <c r="C57" s="16">
        <f t="shared" si="0"/>
        <v>1.6908666362489555E-3</v>
      </c>
      <c r="D57" s="1">
        <v>25418.55</v>
      </c>
      <c r="E57" s="17">
        <v>1.371E-3</v>
      </c>
      <c r="F57" s="3">
        <v>23383.65</v>
      </c>
      <c r="G57" s="16">
        <f t="shared" si="1"/>
        <v>2.7839965103821918E-3</v>
      </c>
      <c r="H57" s="1"/>
      <c r="I57" s="1"/>
      <c r="L57" s="120"/>
      <c r="S57" s="8">
        <v>45559</v>
      </c>
      <c r="T57" s="3">
        <v>1868.1</v>
      </c>
      <c r="U57" s="3">
        <f t="shared" si="4"/>
        <v>2.8990175551617536E-3</v>
      </c>
      <c r="V57" s="1"/>
      <c r="W57" s="8">
        <v>45365</v>
      </c>
      <c r="X57" s="3">
        <v>1570.2</v>
      </c>
      <c r="Y57" s="1">
        <f t="shared" si="8"/>
        <v>7.4425766713719366E-3</v>
      </c>
      <c r="Z57" s="1"/>
      <c r="AA57" s="8">
        <v>45279</v>
      </c>
      <c r="AB57" s="3">
        <v>1244.95</v>
      </c>
      <c r="AC57" s="1">
        <f t="shared" si="9"/>
        <v>-6.2263021353022863E-3</v>
      </c>
      <c r="AD57" s="1"/>
      <c r="AE57" s="1"/>
      <c r="AF57" s="1"/>
    </row>
    <row r="58" spans="1:32">
      <c r="A58" s="8">
        <v>45551</v>
      </c>
      <c r="B58" s="3">
        <v>1862.95</v>
      </c>
      <c r="C58" s="16">
        <f t="shared" si="0"/>
        <v>4.9629130141604083E-3</v>
      </c>
      <c r="D58" s="1">
        <v>25383.75</v>
      </c>
      <c r="E58" s="17">
        <v>1.075E-3</v>
      </c>
      <c r="F58" s="3">
        <v>23448.75</v>
      </c>
      <c r="G58" s="16">
        <f t="shared" si="1"/>
        <v>3.7955114878207574E-4</v>
      </c>
      <c r="H58" s="1"/>
      <c r="I58" s="1"/>
      <c r="L58" s="120"/>
      <c r="S58" s="8">
        <v>45558</v>
      </c>
      <c r="T58" s="3">
        <v>1862.7</v>
      </c>
      <c r="U58" s="3">
        <f t="shared" si="4"/>
        <v>-1.6347313412836684E-3</v>
      </c>
      <c r="V58" s="1"/>
      <c r="W58" s="8">
        <v>45364</v>
      </c>
      <c r="X58" s="3">
        <v>1558.6</v>
      </c>
      <c r="Y58" s="1">
        <f t="shared" si="8"/>
        <v>-1.6221675187780171E-2</v>
      </c>
      <c r="Z58" s="1"/>
      <c r="AA58" s="8">
        <v>45278</v>
      </c>
      <c r="AB58" s="3">
        <v>1252.75</v>
      </c>
      <c r="AC58" s="1">
        <f t="shared" si="9"/>
        <v>1.3756827837345664E-2</v>
      </c>
      <c r="AD58" s="1"/>
      <c r="AE58" s="1"/>
      <c r="AF58" s="1"/>
    </row>
    <row r="59" spans="1:32">
      <c r="A59" s="8">
        <v>45548</v>
      </c>
      <c r="B59" s="3">
        <v>1853.75</v>
      </c>
      <c r="C59" s="16">
        <f t="shared" si="0"/>
        <v>-6.2453093170365959E-3</v>
      </c>
      <c r="D59" s="1">
        <v>25356.5</v>
      </c>
      <c r="E59" s="17">
        <v>-1.2800000000000001E-3</v>
      </c>
      <c r="F59" s="3">
        <v>23457.65</v>
      </c>
      <c r="G59" s="16">
        <f t="shared" si="1"/>
        <v>-1.1957719549913204E-3</v>
      </c>
      <c r="H59" s="1"/>
      <c r="I59" s="1"/>
      <c r="L59" s="120"/>
      <c r="S59" s="8">
        <v>45555</v>
      </c>
      <c r="T59" s="3">
        <v>1865.75</v>
      </c>
      <c r="U59" s="3">
        <f t="shared" si="4"/>
        <v>1.067143360147349E-2</v>
      </c>
      <c r="V59" s="1"/>
      <c r="W59" s="8">
        <v>45363</v>
      </c>
      <c r="X59" s="3">
        <v>1584.3</v>
      </c>
      <c r="Y59" s="1">
        <f t="shared" si="8"/>
        <v>-5.8358433734939652E-3</v>
      </c>
      <c r="Z59" s="1"/>
      <c r="AA59" s="8">
        <v>45275</v>
      </c>
      <c r="AB59" s="3">
        <v>1235.75</v>
      </c>
      <c r="AC59" s="1">
        <f t="shared" si="9"/>
        <v>3.6140664338504269E-3</v>
      </c>
      <c r="AD59" s="1"/>
      <c r="AE59" s="1"/>
      <c r="AF59" s="1"/>
    </row>
    <row r="60" spans="1:32">
      <c r="A60" s="8">
        <v>45547</v>
      </c>
      <c r="B60" s="3">
        <v>1865.4</v>
      </c>
      <c r="C60" s="16">
        <f t="shared" si="0"/>
        <v>1.0673457224901206E-2</v>
      </c>
      <c r="D60" s="1">
        <v>25388.9</v>
      </c>
      <c r="E60" s="17">
        <v>1.8880000000000001E-2</v>
      </c>
      <c r="F60" s="3">
        <v>23429.599999999999</v>
      </c>
      <c r="G60" s="16">
        <f t="shared" si="1"/>
        <v>-8.928876293235799E-3</v>
      </c>
      <c r="H60" s="1"/>
      <c r="I60" s="1"/>
      <c r="L60" s="120"/>
      <c r="S60" s="8">
        <v>45554</v>
      </c>
      <c r="T60" s="3">
        <v>1846.05</v>
      </c>
      <c r="U60" s="3">
        <f t="shared" si="4"/>
        <v>5.4738562091503074E-3</v>
      </c>
      <c r="V60" s="1"/>
      <c r="W60" s="8">
        <v>45362</v>
      </c>
      <c r="X60" s="3">
        <v>1593.6</v>
      </c>
      <c r="Y60" s="1">
        <f t="shared" si="8"/>
        <v>-7.5356542317992492E-3</v>
      </c>
      <c r="Z60" s="1"/>
      <c r="AA60" s="8">
        <v>45274</v>
      </c>
      <c r="AB60" s="3">
        <v>1231.3</v>
      </c>
      <c r="AC60" s="1">
        <f t="shared" si="9"/>
        <v>-1.4597356256588201E-3</v>
      </c>
      <c r="AD60" s="1"/>
      <c r="AE60" s="1"/>
      <c r="AF60" s="1"/>
    </row>
    <row r="61" spans="1:32">
      <c r="A61" s="8">
        <v>45546</v>
      </c>
      <c r="B61" s="3">
        <v>1845.7</v>
      </c>
      <c r="C61" s="16">
        <f t="shared" si="0"/>
        <v>5.0916219674899121E-3</v>
      </c>
      <c r="D61" s="1">
        <v>24918.45</v>
      </c>
      <c r="E61" s="17">
        <v>-4.8999999999999998E-3</v>
      </c>
      <c r="F61" s="3">
        <v>23220.400000000001</v>
      </c>
      <c r="G61" s="16">
        <f t="shared" si="1"/>
        <v>1.5697404006820292E-3</v>
      </c>
      <c r="H61" s="1"/>
      <c r="I61" s="1"/>
      <c r="L61" s="120"/>
      <c r="S61" s="8">
        <v>45553</v>
      </c>
      <c r="T61" s="3">
        <v>1836</v>
      </c>
      <c r="U61" s="3">
        <f t="shared" si="4"/>
        <v>-1.612989657574615E-2</v>
      </c>
      <c r="V61" s="1"/>
      <c r="W61" s="8">
        <v>45358</v>
      </c>
      <c r="X61" s="3">
        <v>1605.7</v>
      </c>
      <c r="Y61" s="1">
        <f t="shared" si="8"/>
        <v>1.0598503740648635E-3</v>
      </c>
      <c r="Z61" s="1"/>
      <c r="AA61" s="8">
        <v>45273</v>
      </c>
      <c r="AB61" s="3">
        <v>1233.0999999999999</v>
      </c>
      <c r="AC61" s="1">
        <f t="shared" si="9"/>
        <v>1.2397372742200208E-2</v>
      </c>
      <c r="AD61" s="1"/>
      <c r="AE61" s="1"/>
      <c r="AF61" s="1"/>
    </row>
    <row r="62" spans="1:32">
      <c r="A62" s="8">
        <v>45545</v>
      </c>
      <c r="B62" s="3">
        <v>1836.35</v>
      </c>
      <c r="C62" s="16">
        <f t="shared" si="0"/>
        <v>7.9589428328348255E-3</v>
      </c>
      <c r="D62" s="1">
        <v>25041.1</v>
      </c>
      <c r="E62" s="17">
        <v>4.1989999999999996E-3</v>
      </c>
      <c r="F62" s="3">
        <v>23256.85</v>
      </c>
      <c r="G62" s="16">
        <f t="shared" si="1"/>
        <v>-1.0639875993524339E-2</v>
      </c>
      <c r="H62" s="1"/>
      <c r="I62" s="1"/>
      <c r="L62" s="120"/>
      <c r="S62" s="8">
        <v>45552</v>
      </c>
      <c r="T62" s="3">
        <v>1866.1</v>
      </c>
      <c r="U62" s="3">
        <f t="shared" si="4"/>
        <v>1.6908666362489555E-3</v>
      </c>
      <c r="V62" s="1"/>
      <c r="W62" s="8">
        <v>45357</v>
      </c>
      <c r="X62" s="3">
        <v>1604</v>
      </c>
      <c r="Y62" s="1">
        <f t="shared" si="8"/>
        <v>1.8930250285859485E-2</v>
      </c>
      <c r="Z62" s="1"/>
      <c r="AA62" s="8">
        <v>45272</v>
      </c>
      <c r="AB62" s="3">
        <v>1218</v>
      </c>
      <c r="AC62" s="1">
        <f t="shared" si="9"/>
        <v>-1.8849685838569386E-2</v>
      </c>
      <c r="AD62" s="1"/>
      <c r="AE62" s="1"/>
      <c r="AF62" s="1"/>
    </row>
    <row r="63" spans="1:32">
      <c r="A63" s="8">
        <v>45544</v>
      </c>
      <c r="B63" s="3">
        <v>1821.85</v>
      </c>
      <c r="C63" s="16">
        <f t="shared" si="0"/>
        <v>-1.4798169411636142E-3</v>
      </c>
      <c r="D63" s="1">
        <v>24936.400000000001</v>
      </c>
      <c r="E63" s="17">
        <v>3.3899999999999998E-3</v>
      </c>
      <c r="F63" s="3">
        <v>23009.4</v>
      </c>
      <c r="G63" s="16">
        <f t="shared" si="1"/>
        <v>1.4776569575911669E-3</v>
      </c>
      <c r="H63" s="1"/>
      <c r="I63" s="1"/>
      <c r="L63" s="120"/>
      <c r="S63" s="8">
        <v>45551</v>
      </c>
      <c r="T63" s="3">
        <v>1862.95</v>
      </c>
      <c r="U63" s="3">
        <f t="shared" si="4"/>
        <v>4.9629130141604083E-3</v>
      </c>
      <c r="V63" s="1"/>
      <c r="W63" s="8">
        <v>45356</v>
      </c>
      <c r="X63" s="3">
        <v>1574.2</v>
      </c>
      <c r="Y63" s="1">
        <f t="shared" si="8"/>
        <v>1.4238773274917849E-2</v>
      </c>
      <c r="Z63" s="1"/>
      <c r="AA63" s="8">
        <v>45271</v>
      </c>
      <c r="AB63" s="3">
        <v>1241.4000000000001</v>
      </c>
      <c r="AC63" s="1">
        <f t="shared" si="9"/>
        <v>4.5314775853699807E-3</v>
      </c>
      <c r="AD63" s="1"/>
      <c r="AE63" s="1"/>
      <c r="AF63" s="1"/>
    </row>
    <row r="64" spans="1:32">
      <c r="A64" s="8">
        <v>45541</v>
      </c>
      <c r="B64" s="3">
        <v>1824.55</v>
      </c>
      <c r="C64" s="16">
        <f t="shared" si="0"/>
        <v>-1.067615658362997E-3</v>
      </c>
      <c r="D64" s="1">
        <v>24852.15</v>
      </c>
      <c r="E64" s="17">
        <v>-1.1650000000000001E-2</v>
      </c>
      <c r="F64" s="3">
        <v>23043.4</v>
      </c>
      <c r="G64" s="16">
        <f t="shared" si="1"/>
        <v>4.9168091514273371E-3</v>
      </c>
      <c r="H64" s="1"/>
      <c r="I64" s="1"/>
      <c r="L64" s="120"/>
      <c r="S64" s="8">
        <v>45548</v>
      </c>
      <c r="T64" s="3">
        <v>1853.75</v>
      </c>
      <c r="U64" s="3">
        <f t="shared" si="4"/>
        <v>-6.2453093170365959E-3</v>
      </c>
      <c r="V64" s="1"/>
      <c r="W64" s="8">
        <v>45355</v>
      </c>
      <c r="X64" s="3">
        <v>1552.1</v>
      </c>
      <c r="Y64" s="1">
        <f t="shared" si="8"/>
        <v>9.9964528715612566E-4</v>
      </c>
      <c r="Z64" s="1"/>
      <c r="AA64" s="8">
        <v>45268</v>
      </c>
      <c r="AB64" s="3">
        <v>1235.8</v>
      </c>
      <c r="AC64" s="1">
        <f t="shared" si="9"/>
        <v>-2.8241749374646741E-3</v>
      </c>
      <c r="AD64" s="1"/>
      <c r="AE64" s="1"/>
      <c r="AF64" s="1"/>
    </row>
    <row r="65" spans="1:32">
      <c r="A65" s="8">
        <v>45540</v>
      </c>
      <c r="B65" s="3">
        <v>1826.5</v>
      </c>
      <c r="C65" s="16">
        <f t="shared" si="0"/>
        <v>-3.4645497449327101E-3</v>
      </c>
      <c r="D65" s="1">
        <v>25145.1</v>
      </c>
      <c r="E65" s="17">
        <v>-2.1299999999999999E-3</v>
      </c>
      <c r="F65" s="3">
        <v>23156.7</v>
      </c>
      <c r="G65" s="16">
        <f t="shared" si="1"/>
        <v>1.1961980765826663E-3</v>
      </c>
      <c r="H65" s="1"/>
      <c r="I65" s="1"/>
      <c r="L65" s="120"/>
      <c r="S65" s="8">
        <v>45547</v>
      </c>
      <c r="T65" s="3">
        <v>1865.4</v>
      </c>
      <c r="U65" s="3">
        <f t="shared" si="4"/>
        <v>1.0673457224901206E-2</v>
      </c>
      <c r="V65" s="1"/>
      <c r="W65" s="8">
        <v>45353</v>
      </c>
      <c r="X65" s="3">
        <v>1550.55</v>
      </c>
      <c r="Y65" s="1">
        <f t="shared" si="8"/>
        <v>-5.5796055796055732E-3</v>
      </c>
      <c r="Z65" s="1"/>
      <c r="AA65" s="8">
        <v>45267</v>
      </c>
      <c r="AB65" s="3">
        <v>1239.3</v>
      </c>
      <c r="AC65" s="1">
        <f t="shared" si="9"/>
        <v>-8.4653525214650749E-4</v>
      </c>
      <c r="AD65" s="1"/>
      <c r="AE65" s="1"/>
      <c r="AF65" s="1"/>
    </row>
    <row r="66" spans="1:32">
      <c r="A66" s="8">
        <v>45539</v>
      </c>
      <c r="B66" s="3">
        <v>1832.85</v>
      </c>
      <c r="C66" s="16">
        <f t="shared" si="0"/>
        <v>1.1785812862268763E-2</v>
      </c>
      <c r="D66" s="1">
        <v>25198.7</v>
      </c>
      <c r="E66" s="17">
        <v>-3.2100000000000002E-3</v>
      </c>
      <c r="F66" s="3">
        <v>23184.400000000001</v>
      </c>
      <c r="G66" s="16">
        <f t="shared" si="1"/>
        <v>-7.336829937371725E-3</v>
      </c>
      <c r="H66" s="1"/>
      <c r="I66" s="1"/>
      <c r="L66" s="120"/>
      <c r="S66" s="8">
        <v>45546</v>
      </c>
      <c r="T66" s="3">
        <v>1845.7</v>
      </c>
      <c r="U66" s="3">
        <f t="shared" si="4"/>
        <v>5.0916219674899121E-3</v>
      </c>
      <c r="V66" s="1"/>
      <c r="W66" s="8">
        <v>45352</v>
      </c>
      <c r="X66" s="3">
        <v>1559.25</v>
      </c>
      <c r="Y66" s="1">
        <f t="shared" si="8"/>
        <v>-1.1850819100732046E-2</v>
      </c>
      <c r="Z66" s="1"/>
      <c r="AA66" s="8">
        <v>45266</v>
      </c>
      <c r="AB66" s="3">
        <v>1240.3499999999999</v>
      </c>
      <c r="AC66" s="1">
        <f t="shared" si="9"/>
        <v>6.4539550643383237E-4</v>
      </c>
      <c r="AD66" s="1"/>
      <c r="AE66" s="1"/>
      <c r="AF66" s="1"/>
    </row>
    <row r="67" spans="1:32">
      <c r="A67" s="8">
        <v>45538</v>
      </c>
      <c r="B67" s="3">
        <v>1811.5</v>
      </c>
      <c r="C67" s="16">
        <f t="shared" si="0"/>
        <v>-2.4505079985682743E-3</v>
      </c>
      <c r="D67" s="1">
        <v>25279.85</v>
      </c>
      <c r="E67" s="17">
        <v>4.5500000000000001E-5</v>
      </c>
      <c r="F67" s="3">
        <v>23014.3</v>
      </c>
      <c r="G67" s="16">
        <f t="shared" si="1"/>
        <v>-1.1666659424791614E-3</v>
      </c>
      <c r="H67" s="1"/>
      <c r="I67" s="1"/>
      <c r="L67" s="120"/>
      <c r="S67" s="8">
        <v>45545</v>
      </c>
      <c r="T67" s="3">
        <v>1836.35</v>
      </c>
      <c r="U67" s="3">
        <f t="shared" si="4"/>
        <v>7.9589428328348255E-3</v>
      </c>
      <c r="V67" s="1"/>
      <c r="W67" s="8">
        <v>45351</v>
      </c>
      <c r="X67" s="3">
        <v>1577.95</v>
      </c>
      <c r="Y67" s="1">
        <f t="shared" si="8"/>
        <v>2.6050767226863947E-3</v>
      </c>
      <c r="Z67" s="1"/>
      <c r="AA67" s="8">
        <v>45265</v>
      </c>
      <c r="AB67" s="3">
        <v>1239.55</v>
      </c>
      <c r="AC67" s="1">
        <f t="shared" si="9"/>
        <v>6.8228891686632487E-3</v>
      </c>
      <c r="AD67" s="1"/>
      <c r="AE67" s="1"/>
      <c r="AF67" s="1"/>
    </row>
    <row r="68" spans="1:32">
      <c r="A68" s="8">
        <v>45537</v>
      </c>
      <c r="B68" s="3">
        <v>1815.95</v>
      </c>
      <c r="C68" s="16">
        <f t="shared" si="0"/>
        <v>-3.1290313726566321E-3</v>
      </c>
      <c r="D68" s="1">
        <v>25278.7</v>
      </c>
      <c r="E68" s="17">
        <v>1.696E-3</v>
      </c>
      <c r="F68" s="3">
        <v>22987.45</v>
      </c>
      <c r="G68" s="16">
        <f t="shared" si="1"/>
        <v>1.0011984800401885E-2</v>
      </c>
      <c r="H68" s="1"/>
      <c r="I68" s="1"/>
      <c r="L68" s="120"/>
      <c r="S68" s="8">
        <v>45544</v>
      </c>
      <c r="T68" s="3">
        <v>1821.85</v>
      </c>
      <c r="U68" s="3">
        <f t="shared" si="4"/>
        <v>-1.4798169411636142E-3</v>
      </c>
      <c r="V68" s="1"/>
      <c r="W68" s="8">
        <v>45350</v>
      </c>
      <c r="X68" s="3">
        <v>1573.85</v>
      </c>
      <c r="Y68" s="1">
        <f t="shared" si="8"/>
        <v>-5.6231243089559513E-3</v>
      </c>
      <c r="Z68" s="1"/>
      <c r="AA68" s="8">
        <v>45264</v>
      </c>
      <c r="AB68" s="3">
        <v>1231.1500000000001</v>
      </c>
      <c r="AC68" s="1">
        <f t="shared" si="9"/>
        <v>-8.1218274111560795E-5</v>
      </c>
      <c r="AD68" s="1"/>
      <c r="AE68" s="1"/>
      <c r="AF68" s="1"/>
    </row>
    <row r="69" spans="1:32">
      <c r="A69" s="8">
        <v>45534</v>
      </c>
      <c r="B69" s="3">
        <v>1821.65</v>
      </c>
      <c r="C69" s="16">
        <f t="shared" si="0"/>
        <v>1.2477767896843073E-2</v>
      </c>
      <c r="D69" s="1">
        <v>25235.9</v>
      </c>
      <c r="E69" s="17">
        <v>3.3379999999999998E-3</v>
      </c>
      <c r="F69" s="3">
        <v>23217.599999999999</v>
      </c>
      <c r="G69" s="16">
        <f t="shared" si="1"/>
        <v>-1.4624681276273144E-2</v>
      </c>
      <c r="H69" s="1"/>
      <c r="I69" s="1"/>
      <c r="L69" s="120"/>
      <c r="S69" s="8">
        <v>45541</v>
      </c>
      <c r="T69" s="3">
        <v>1824.55</v>
      </c>
      <c r="U69" s="3">
        <f t="shared" si="4"/>
        <v>-1.067615658362997E-3</v>
      </c>
      <c r="V69" s="1"/>
      <c r="W69" s="8">
        <v>45349</v>
      </c>
      <c r="X69" s="3">
        <v>1582.75</v>
      </c>
      <c r="Y69" s="1">
        <f t="shared" si="8"/>
        <v>1.6570859693631812E-2</v>
      </c>
      <c r="Z69" s="1"/>
      <c r="AA69" s="8">
        <v>45261</v>
      </c>
      <c r="AB69" s="3">
        <v>1231.25</v>
      </c>
      <c r="AC69" s="1">
        <f t="shared" si="9"/>
        <v>4.4051066606844991E-3</v>
      </c>
      <c r="AD69" s="1"/>
      <c r="AE69" s="1"/>
      <c r="AF69" s="1"/>
    </row>
    <row r="70" spans="1:32">
      <c r="A70" s="8">
        <v>45533</v>
      </c>
      <c r="B70" s="3">
        <v>1799.2</v>
      </c>
      <c r="C70" s="16">
        <f t="shared" si="0"/>
        <v>-6.9818141678393841E-3</v>
      </c>
      <c r="D70" s="1">
        <v>25151.95</v>
      </c>
      <c r="E70" s="17">
        <v>3.9760000000000004E-3</v>
      </c>
      <c r="F70" s="3">
        <v>22878.05</v>
      </c>
      <c r="G70" s="16">
        <f t="shared" si="1"/>
        <v>4.8539976090620218E-3</v>
      </c>
      <c r="H70" s="1"/>
      <c r="I70" s="1"/>
      <c r="L70" s="120"/>
      <c r="S70" s="8">
        <v>45540</v>
      </c>
      <c r="T70" s="3">
        <v>1826.5</v>
      </c>
      <c r="U70" s="3">
        <f t="shared" si="4"/>
        <v>-3.4645497449327101E-3</v>
      </c>
      <c r="V70" s="1"/>
      <c r="W70" s="8">
        <v>45348</v>
      </c>
      <c r="X70" s="3">
        <v>1556.95</v>
      </c>
      <c r="Y70" s="1">
        <f t="shared" si="8"/>
        <v>-2.7542033626901663E-3</v>
      </c>
      <c r="Z70" s="1"/>
      <c r="AA70" s="8">
        <v>45260</v>
      </c>
      <c r="AB70" s="3">
        <v>1225.8499999999999</v>
      </c>
      <c r="AC70" s="1">
        <f t="shared" si="9"/>
        <v>1.9672267509565744E-2</v>
      </c>
      <c r="AD70" s="1"/>
      <c r="AE70" s="1"/>
      <c r="AF70" s="1"/>
    </row>
    <row r="71" spans="1:32">
      <c r="A71" s="8">
        <v>45532</v>
      </c>
      <c r="B71" s="3">
        <v>1811.85</v>
      </c>
      <c r="C71" s="16">
        <f t="shared" si="0"/>
        <v>1.2546104839610939E-2</v>
      </c>
      <c r="D71" s="1">
        <v>25052.35</v>
      </c>
      <c r="E71" s="17">
        <v>1.3829999999999999E-3</v>
      </c>
      <c r="F71" s="3">
        <v>22989.1</v>
      </c>
      <c r="G71" s="16">
        <f t="shared" si="1"/>
        <v>-1.1314057531612742E-2</v>
      </c>
      <c r="H71" s="1"/>
      <c r="I71" s="1"/>
      <c r="L71" s="120"/>
      <c r="S71" s="8">
        <v>45539</v>
      </c>
      <c r="T71" s="3">
        <v>1832.85</v>
      </c>
      <c r="U71" s="3">
        <f t="shared" si="4"/>
        <v>1.1785812862268763E-2</v>
      </c>
      <c r="V71" s="1"/>
      <c r="W71" s="8">
        <v>45345</v>
      </c>
      <c r="X71" s="3">
        <v>1561.25</v>
      </c>
      <c r="Y71" s="1">
        <f t="shared" si="8"/>
        <v>2.0538493629858046E-3</v>
      </c>
      <c r="Z71" s="1"/>
      <c r="AA71" s="8">
        <v>45259</v>
      </c>
      <c r="AB71" s="3">
        <v>1202.2</v>
      </c>
      <c r="AC71" s="1">
        <f t="shared" si="9"/>
        <v>9.107315230620916E-3</v>
      </c>
      <c r="AD71" s="1"/>
      <c r="AE71" s="1"/>
      <c r="AF71" s="1"/>
    </row>
    <row r="72" spans="1:32">
      <c r="A72" s="8">
        <v>45531</v>
      </c>
      <c r="B72" s="3">
        <v>1789.4</v>
      </c>
      <c r="C72" s="16">
        <f t="shared" si="0"/>
        <v>9.5630342181725059E-3</v>
      </c>
      <c r="D72" s="1">
        <v>25017.75</v>
      </c>
      <c r="E72" s="17">
        <v>2.8600000000000001E-4</v>
      </c>
      <c r="F72" s="3">
        <v>22729</v>
      </c>
      <c r="G72" s="16">
        <f t="shared" si="1"/>
        <v>-7.6576180210303768E-3</v>
      </c>
      <c r="H72" s="1"/>
      <c r="I72" s="1"/>
      <c r="L72" s="120"/>
      <c r="S72" s="8">
        <v>45538</v>
      </c>
      <c r="T72" s="3">
        <v>1811.5</v>
      </c>
      <c r="U72" s="3">
        <f t="shared" si="4"/>
        <v>-2.4505079985682743E-3</v>
      </c>
      <c r="V72" s="1"/>
      <c r="W72" s="8">
        <v>45344</v>
      </c>
      <c r="X72" s="3">
        <v>1558.05</v>
      </c>
      <c r="Y72" s="1">
        <f t="shared" si="8"/>
        <v>9.4920305818322337E-3</v>
      </c>
      <c r="Z72" s="1"/>
      <c r="AA72" s="18">
        <v>45258</v>
      </c>
      <c r="AB72" s="24">
        <v>1191.3499999999999</v>
      </c>
      <c r="AC72" s="1">
        <f t="shared" si="9"/>
        <v>-3.4296708352504757E-3</v>
      </c>
      <c r="AD72" s="1"/>
      <c r="AE72" s="1"/>
      <c r="AF72" s="1"/>
    </row>
    <row r="73" spans="1:32">
      <c r="A73" s="8">
        <v>45530</v>
      </c>
      <c r="B73" s="3">
        <v>1772.45</v>
      </c>
      <c r="C73" s="16">
        <f t="shared" ref="C73:C136" si="10">B73/B74-1</f>
        <v>-1.8583697029423973E-3</v>
      </c>
      <c r="D73" s="1">
        <v>25010.6</v>
      </c>
      <c r="E73" s="17">
        <v>7.5510000000000004E-3</v>
      </c>
      <c r="F73" s="3">
        <v>22554.95</v>
      </c>
      <c r="G73" s="16">
        <f t="shared" ref="G73:G136" si="11">F74/F73-1</f>
        <v>-1.2015100898029596E-3</v>
      </c>
      <c r="H73" s="1"/>
      <c r="I73" s="1"/>
      <c r="L73" s="120"/>
      <c r="S73" s="8">
        <v>45537</v>
      </c>
      <c r="T73" s="3">
        <v>1815.95</v>
      </c>
      <c r="U73" s="3">
        <f t="shared" si="4"/>
        <v>-3.1290313726566321E-3</v>
      </c>
      <c r="V73" s="1"/>
      <c r="W73" s="8">
        <v>45343</v>
      </c>
      <c r="X73" s="3">
        <v>1543.4</v>
      </c>
      <c r="Y73" s="1">
        <f t="shared" si="8"/>
        <v>3.0545265483850059E-3</v>
      </c>
      <c r="Z73" s="1"/>
      <c r="AA73" s="8">
        <v>45254</v>
      </c>
      <c r="AB73" s="3">
        <v>1195.45</v>
      </c>
      <c r="AC73" s="1">
        <f t="shared" si="9"/>
        <v>-2.7944611277943565E-3</v>
      </c>
      <c r="AD73" s="1"/>
      <c r="AE73" s="1"/>
      <c r="AF73" s="1"/>
    </row>
    <row r="74" spans="1:32">
      <c r="A74" s="8">
        <v>45527</v>
      </c>
      <c r="B74" s="3">
        <v>1775.75</v>
      </c>
      <c r="C74" s="16">
        <f t="shared" si="10"/>
        <v>1.4337531773912504E-2</v>
      </c>
      <c r="D74" s="1">
        <v>24823.15</v>
      </c>
      <c r="E74" s="17">
        <v>4.6999999999999999E-4</v>
      </c>
      <c r="F74" s="3">
        <v>22527.85</v>
      </c>
      <c r="G74" s="16">
        <f t="shared" si="11"/>
        <v>8.1010837696449123E-4</v>
      </c>
      <c r="H74" s="1"/>
      <c r="I74" s="1"/>
      <c r="L74" s="120"/>
      <c r="S74" s="8">
        <v>45534</v>
      </c>
      <c r="T74" s="3">
        <v>1821.65</v>
      </c>
      <c r="U74" s="3">
        <f t="shared" si="4"/>
        <v>1.2477767896843073E-2</v>
      </c>
      <c r="V74" s="1"/>
      <c r="W74" s="8">
        <v>45342</v>
      </c>
      <c r="X74" s="3">
        <v>1538.7</v>
      </c>
      <c r="Y74" s="1">
        <f t="shared" si="8"/>
        <v>5.620547676622456E-3</v>
      </c>
      <c r="Z74" s="1"/>
      <c r="AA74" s="8">
        <v>45253</v>
      </c>
      <c r="AB74" s="3">
        <v>1198.8</v>
      </c>
      <c r="AC74" s="1">
        <f t="shared" si="9"/>
        <v>-4.4016277717797703E-3</v>
      </c>
      <c r="AD74" s="1"/>
      <c r="AE74" s="1"/>
      <c r="AF74" s="1"/>
    </row>
    <row r="75" spans="1:32">
      <c r="A75" s="8">
        <v>45526</v>
      </c>
      <c r="B75" s="3">
        <v>1750.65</v>
      </c>
      <c r="C75" s="16">
        <f t="shared" si="10"/>
        <v>-7.9335845635112312E-3</v>
      </c>
      <c r="D75" s="1">
        <v>24811.5</v>
      </c>
      <c r="E75" s="17">
        <v>1.6670000000000001E-3</v>
      </c>
      <c r="F75" s="3">
        <v>22546.1</v>
      </c>
      <c r="G75" s="16">
        <f t="shared" si="11"/>
        <v>1.4104434913355668E-3</v>
      </c>
      <c r="H75" s="1"/>
      <c r="I75" s="1"/>
      <c r="L75" s="120"/>
      <c r="S75" s="8">
        <v>45533</v>
      </c>
      <c r="T75" s="3">
        <v>1799.2</v>
      </c>
      <c r="U75" s="3">
        <f t="shared" si="4"/>
        <v>-6.9818141678393841E-3</v>
      </c>
      <c r="V75" s="1"/>
      <c r="W75" s="8">
        <v>45341</v>
      </c>
      <c r="X75" s="3">
        <v>1530.1</v>
      </c>
      <c r="Y75" s="1">
        <f t="shared" si="8"/>
        <v>1.3344812742143608E-2</v>
      </c>
      <c r="Z75" s="1"/>
      <c r="AA75" s="8">
        <v>45252</v>
      </c>
      <c r="AB75" s="3">
        <v>1204.0999999999999</v>
      </c>
      <c r="AC75" s="1">
        <f t="shared" si="9"/>
        <v>2.2473780589311598E-3</v>
      </c>
      <c r="AD75" s="1"/>
      <c r="AE75" s="1"/>
      <c r="AF75" s="1"/>
    </row>
    <row r="76" spans="1:32">
      <c r="A76" s="8">
        <v>45525</v>
      </c>
      <c r="B76" s="3">
        <v>1764.65</v>
      </c>
      <c r="C76" s="16">
        <f t="shared" si="10"/>
        <v>-9.6243666317541443E-4</v>
      </c>
      <c r="D76" s="1">
        <v>24770.2</v>
      </c>
      <c r="E76" s="17">
        <v>2.8890000000000001E-3</v>
      </c>
      <c r="F76" s="3">
        <v>22577.9</v>
      </c>
      <c r="G76" s="16">
        <f t="shared" si="11"/>
        <v>-9.0198822742594276E-3</v>
      </c>
      <c r="H76" s="1"/>
      <c r="I76" s="1"/>
      <c r="L76" s="120"/>
      <c r="S76" s="8">
        <v>45532</v>
      </c>
      <c r="T76" s="3">
        <v>1811.85</v>
      </c>
      <c r="U76" s="3">
        <f t="shared" si="4"/>
        <v>1.2546104839610939E-2</v>
      </c>
      <c r="V76" s="1"/>
      <c r="W76" s="8">
        <v>45338</v>
      </c>
      <c r="X76" s="3">
        <v>1509.95</v>
      </c>
      <c r="Y76" s="1">
        <f t="shared" si="8"/>
        <v>3.3114775813025688E-5</v>
      </c>
      <c r="Z76" s="1"/>
      <c r="AA76" s="8">
        <v>45251</v>
      </c>
      <c r="AB76" s="3">
        <v>1201.4000000000001</v>
      </c>
      <c r="AC76" s="1">
        <f t="shared" si="9"/>
        <v>1.1279461279461334E-2</v>
      </c>
      <c r="AD76" s="1"/>
      <c r="AE76" s="1"/>
      <c r="AF76" s="1"/>
    </row>
    <row r="77" spans="1:32">
      <c r="A77" s="8">
        <v>45524</v>
      </c>
      <c r="B77" s="3">
        <v>1766.35</v>
      </c>
      <c r="C77" s="16">
        <f t="shared" si="10"/>
        <v>1.0613342487698851E-2</v>
      </c>
      <c r="D77" s="1">
        <v>24698.85</v>
      </c>
      <c r="E77" s="17">
        <v>5.1359999999999999E-3</v>
      </c>
      <c r="F77" s="3">
        <v>22374.25</v>
      </c>
      <c r="G77" s="16">
        <f t="shared" si="11"/>
        <v>-6.0962937305161224E-3</v>
      </c>
      <c r="H77" s="1"/>
      <c r="I77" s="1"/>
      <c r="L77" s="120"/>
      <c r="S77" s="8">
        <v>45531</v>
      </c>
      <c r="T77" s="3">
        <v>1789.4</v>
      </c>
      <c r="U77" s="3">
        <f t="shared" si="4"/>
        <v>9.5630342181725059E-3</v>
      </c>
      <c r="V77" s="1"/>
      <c r="W77" s="8">
        <v>45337</v>
      </c>
      <c r="X77" s="3">
        <v>1509.9</v>
      </c>
      <c r="Y77" s="1">
        <f t="shared" si="8"/>
        <v>-6.906077348066253E-3</v>
      </c>
      <c r="Z77" s="1"/>
      <c r="AA77" s="18">
        <v>45250</v>
      </c>
      <c r="AB77" s="24">
        <v>1188</v>
      </c>
      <c r="AC77" s="1"/>
      <c r="AD77" s="1"/>
      <c r="AE77" s="1"/>
      <c r="AF77" s="1"/>
    </row>
    <row r="78" spans="1:32">
      <c r="A78" s="8">
        <v>45523</v>
      </c>
      <c r="B78" s="3">
        <v>1747.8</v>
      </c>
      <c r="C78" s="16">
        <f t="shared" si="10"/>
        <v>2.897719122077147E-3</v>
      </c>
      <c r="D78" s="1">
        <v>24572.65</v>
      </c>
      <c r="E78" s="17">
        <v>1.284E-3</v>
      </c>
      <c r="F78" s="3">
        <v>22237.85</v>
      </c>
      <c r="G78" s="16">
        <f t="shared" si="11"/>
        <v>-5.906596186232016E-3</v>
      </c>
      <c r="H78" s="1"/>
      <c r="I78" s="1"/>
      <c r="L78" s="120"/>
      <c r="S78" s="8">
        <v>45530</v>
      </c>
      <c r="T78" s="3">
        <v>1772.45</v>
      </c>
      <c r="U78" s="3">
        <f t="shared" ref="U78:U141" si="12">T78/T79-1</f>
        <v>-1.8583697029423973E-3</v>
      </c>
      <c r="V78" s="1"/>
      <c r="W78" s="8">
        <v>45336</v>
      </c>
      <c r="X78" s="3">
        <v>1520.4</v>
      </c>
      <c r="Y78" s="1">
        <f t="shared" ref="Y78:Y109" si="13">X78/X79-1</f>
        <v>-1.4135650369601849E-2</v>
      </c>
      <c r="Z78" s="1"/>
      <c r="AA78" s="1"/>
      <c r="AB78" s="1"/>
      <c r="AC78" s="1"/>
      <c r="AD78" s="1"/>
      <c r="AE78" s="1"/>
      <c r="AF78" s="1"/>
    </row>
    <row r="79" spans="1:32">
      <c r="A79" s="8">
        <v>45520</v>
      </c>
      <c r="B79" s="3">
        <v>1742.75</v>
      </c>
      <c r="C79" s="16">
        <f t="shared" si="10"/>
        <v>6.3158499124393863E-4</v>
      </c>
      <c r="D79" s="1">
        <v>24541.15</v>
      </c>
      <c r="E79" s="17">
        <v>1.6459999999999999E-2</v>
      </c>
      <c r="F79" s="3">
        <v>22106.5</v>
      </c>
      <c r="G79" s="16">
        <f t="shared" si="11"/>
        <v>-4.2430959220138842E-3</v>
      </c>
      <c r="H79" s="1"/>
      <c r="I79" s="1"/>
      <c r="L79" s="120"/>
      <c r="S79" s="8">
        <v>45527</v>
      </c>
      <c r="T79" s="3">
        <v>1775.75</v>
      </c>
      <c r="U79" s="3">
        <f t="shared" si="12"/>
        <v>1.4337531773912504E-2</v>
      </c>
      <c r="V79" s="1"/>
      <c r="W79" s="8">
        <v>45335</v>
      </c>
      <c r="X79" s="3">
        <v>1542.2</v>
      </c>
      <c r="Y79" s="1">
        <f t="shared" si="13"/>
        <v>5.0506696210368407E-3</v>
      </c>
      <c r="Z79" s="1"/>
      <c r="AA79" s="1"/>
      <c r="AB79" s="1"/>
      <c r="AC79" s="1"/>
      <c r="AD79" s="1"/>
      <c r="AE79" s="1"/>
      <c r="AF79" s="1"/>
    </row>
    <row r="80" spans="1:32">
      <c r="A80" s="8">
        <v>45518</v>
      </c>
      <c r="B80" s="3">
        <v>1741.65</v>
      </c>
      <c r="C80" s="16">
        <f t="shared" si="10"/>
        <v>8.9075340497690725E-4</v>
      </c>
      <c r="D80" s="1">
        <v>24143.75</v>
      </c>
      <c r="E80" s="17">
        <v>1.9699999999999999E-4</v>
      </c>
      <c r="F80" s="3">
        <v>22012.7</v>
      </c>
      <c r="G80" s="16">
        <f t="shared" si="11"/>
        <v>8.1271266132731945E-3</v>
      </c>
      <c r="H80" s="1"/>
      <c r="I80" s="1"/>
      <c r="L80" s="120"/>
      <c r="S80" s="8">
        <v>45526</v>
      </c>
      <c r="T80" s="3">
        <v>1750.65</v>
      </c>
      <c r="U80" s="3">
        <f t="shared" si="12"/>
        <v>-7.9335845635112312E-3</v>
      </c>
      <c r="V80" s="1"/>
      <c r="W80" s="8">
        <v>45334</v>
      </c>
      <c r="X80" s="3">
        <v>1534.45</v>
      </c>
      <c r="Y80" s="1">
        <f t="shared" si="13"/>
        <v>-2.2804274172527617E-4</v>
      </c>
      <c r="Z80" s="1"/>
      <c r="AA80" s="1"/>
      <c r="AB80" s="1"/>
      <c r="AC80" s="1"/>
      <c r="AD80" s="1"/>
      <c r="AE80" s="1"/>
      <c r="AF80" s="1"/>
    </row>
    <row r="81" spans="1:32">
      <c r="A81" s="8">
        <v>45517</v>
      </c>
      <c r="B81" s="3">
        <v>1740.1</v>
      </c>
      <c r="C81" s="16">
        <f t="shared" si="10"/>
        <v>3.6046947544481345E-3</v>
      </c>
      <c r="D81" s="1">
        <v>24139</v>
      </c>
      <c r="E81" s="17">
        <v>-8.5400000000000007E-3</v>
      </c>
      <c r="F81" s="3">
        <v>22191.599999999999</v>
      </c>
      <c r="G81" s="16">
        <f t="shared" si="11"/>
        <v>6.3086933794775923E-4</v>
      </c>
      <c r="H81" s="1"/>
      <c r="I81" s="1"/>
      <c r="L81" s="120"/>
      <c r="S81" s="8">
        <v>45525</v>
      </c>
      <c r="T81" s="3">
        <v>1764.65</v>
      </c>
      <c r="U81" s="3">
        <f t="shared" si="12"/>
        <v>-9.6243666317541443E-4</v>
      </c>
      <c r="V81" s="1"/>
      <c r="W81" s="8">
        <v>45331</v>
      </c>
      <c r="X81" s="3">
        <v>1534.8</v>
      </c>
      <c r="Y81" s="1">
        <f t="shared" si="13"/>
        <v>2.3472926113630388E-2</v>
      </c>
      <c r="Z81" s="1"/>
      <c r="AA81" s="1"/>
      <c r="AB81" s="1"/>
      <c r="AC81" s="1"/>
      <c r="AD81" s="1"/>
      <c r="AE81" s="1"/>
      <c r="AF81" s="1"/>
    </row>
    <row r="82" spans="1:32">
      <c r="A82" s="8">
        <v>45516</v>
      </c>
      <c r="B82" s="3">
        <v>1733.85</v>
      </c>
      <c r="C82" s="16">
        <f t="shared" si="10"/>
        <v>-8.3559038782921036E-4</v>
      </c>
      <c r="D82" s="1">
        <v>24347</v>
      </c>
      <c r="E82" s="17">
        <v>-8.4000000000000003E-4</v>
      </c>
      <c r="F82" s="3">
        <v>22205.599999999999</v>
      </c>
      <c r="G82" s="16">
        <f t="shared" si="11"/>
        <v>1.7788305652621794E-4</v>
      </c>
      <c r="H82" s="1"/>
      <c r="I82" s="1"/>
      <c r="L82" s="120"/>
      <c r="S82" s="8">
        <v>45524</v>
      </c>
      <c r="T82" s="3">
        <v>1766.35</v>
      </c>
      <c r="U82" s="3">
        <f t="shared" si="12"/>
        <v>1.0613342487698851E-2</v>
      </c>
      <c r="V82" s="1"/>
      <c r="W82" s="8">
        <v>45330</v>
      </c>
      <c r="X82" s="3">
        <v>1499.6</v>
      </c>
      <c r="Y82" s="1">
        <f t="shared" si="13"/>
        <v>2.2724234727977688E-3</v>
      </c>
      <c r="Z82" s="1"/>
      <c r="AA82" s="1"/>
      <c r="AB82" s="1"/>
      <c r="AC82" s="1"/>
      <c r="AD82" s="1"/>
      <c r="AE82" s="1"/>
      <c r="AF82" s="1"/>
    </row>
    <row r="83" spans="1:32">
      <c r="A83" s="8">
        <v>45513</v>
      </c>
      <c r="B83" s="3">
        <v>1735.3</v>
      </c>
      <c r="C83" s="16">
        <f t="shared" si="10"/>
        <v>-1.007455168244964E-3</v>
      </c>
      <c r="D83" s="1">
        <v>24367.5</v>
      </c>
      <c r="E83" s="17">
        <v>1.0387E-2</v>
      </c>
      <c r="F83" s="3">
        <v>22209.55</v>
      </c>
      <c r="G83" s="16">
        <f t="shared" si="11"/>
        <v>-4.2909469124767785E-3</v>
      </c>
      <c r="H83" s="1"/>
      <c r="I83" s="1"/>
      <c r="L83" s="120"/>
      <c r="S83" s="8">
        <v>45523</v>
      </c>
      <c r="T83" s="3">
        <v>1747.8</v>
      </c>
      <c r="U83" s="3">
        <f t="shared" si="12"/>
        <v>2.897719122077147E-3</v>
      </c>
      <c r="V83" s="1"/>
      <c r="W83" s="8">
        <v>45329</v>
      </c>
      <c r="X83" s="3">
        <v>1496.2</v>
      </c>
      <c r="Y83" s="1">
        <f t="shared" si="13"/>
        <v>1.4304114975256077E-2</v>
      </c>
      <c r="Z83" s="1"/>
      <c r="AA83" s="1"/>
      <c r="AB83" s="1"/>
      <c r="AC83" s="1"/>
      <c r="AD83" s="1"/>
      <c r="AE83" s="1"/>
      <c r="AF83" s="1"/>
    </row>
    <row r="84" spans="1:32">
      <c r="A84" s="8">
        <v>45512</v>
      </c>
      <c r="B84" s="3">
        <v>1737.05</v>
      </c>
      <c r="C84" s="16">
        <f t="shared" si="10"/>
        <v>1.4990342759952924E-3</v>
      </c>
      <c r="D84" s="1">
        <v>24117</v>
      </c>
      <c r="E84" s="17">
        <v>-7.43E-3</v>
      </c>
      <c r="F84" s="3">
        <v>22114.25</v>
      </c>
      <c r="G84" s="16">
        <f t="shared" si="11"/>
        <v>-3.4954836813366752E-3</v>
      </c>
      <c r="H84" s="1"/>
      <c r="I84" s="1"/>
      <c r="L84" s="120"/>
      <c r="S84" s="8">
        <v>45520</v>
      </c>
      <c r="T84" s="3">
        <v>1742.75</v>
      </c>
      <c r="U84" s="3">
        <f t="shared" si="12"/>
        <v>6.3158499124393863E-4</v>
      </c>
      <c r="V84" s="1"/>
      <c r="W84" s="8">
        <v>45328</v>
      </c>
      <c r="X84" s="3">
        <v>1475.1</v>
      </c>
      <c r="Y84" s="1">
        <f t="shared" si="13"/>
        <v>7.7196338297580436E-3</v>
      </c>
      <c r="Z84" s="1"/>
      <c r="AA84" s="1"/>
      <c r="AB84" s="1"/>
      <c r="AC84" s="1"/>
      <c r="AD84" s="1"/>
      <c r="AE84" s="1"/>
      <c r="AF84" s="1"/>
    </row>
    <row r="85" spans="1:32">
      <c r="A85" s="8">
        <v>45511</v>
      </c>
      <c r="B85" s="3">
        <v>1734.45</v>
      </c>
      <c r="C85" s="16">
        <f t="shared" si="10"/>
        <v>1.5753565049339668E-2</v>
      </c>
      <c r="D85" s="1">
        <v>24297.5</v>
      </c>
      <c r="E85" s="17">
        <v>1.2710000000000001E-2</v>
      </c>
      <c r="F85" s="3">
        <v>22036.95</v>
      </c>
      <c r="G85" s="16">
        <f t="shared" si="11"/>
        <v>-2.1527479982484055E-2</v>
      </c>
      <c r="H85" s="1"/>
      <c r="I85" s="1"/>
      <c r="L85" s="120"/>
      <c r="S85" s="8">
        <v>45518</v>
      </c>
      <c r="T85" s="3">
        <v>1741.65</v>
      </c>
      <c r="U85" s="3">
        <f t="shared" si="12"/>
        <v>8.9075340497690725E-4</v>
      </c>
      <c r="V85" s="1"/>
      <c r="W85" s="8">
        <v>45327</v>
      </c>
      <c r="X85" s="3">
        <v>1463.8</v>
      </c>
      <c r="Y85" s="1">
        <f t="shared" si="13"/>
        <v>3.3282744502876493E-2</v>
      </c>
      <c r="Z85" s="1"/>
      <c r="AA85" s="1"/>
      <c r="AB85" s="1"/>
      <c r="AC85" s="1"/>
      <c r="AD85" s="1"/>
      <c r="AE85" s="1"/>
      <c r="AF85" s="1"/>
    </row>
    <row r="86" spans="1:32">
      <c r="A86" s="8">
        <v>45510</v>
      </c>
      <c r="B86" s="3">
        <v>1707.55</v>
      </c>
      <c r="C86" s="16">
        <f t="shared" si="10"/>
        <v>-7.4403464411311182E-3</v>
      </c>
      <c r="D86" s="1">
        <v>23992.55</v>
      </c>
      <c r="E86" s="17">
        <v>-2.6199999999999999E-3</v>
      </c>
      <c r="F86" s="3">
        <v>21562.55</v>
      </c>
      <c r="G86" s="16">
        <f t="shared" si="11"/>
        <v>9.5072243310734272E-4</v>
      </c>
      <c r="H86" s="1"/>
      <c r="I86" s="1"/>
      <c r="L86" s="120"/>
      <c r="S86" s="8">
        <v>45517</v>
      </c>
      <c r="T86" s="3">
        <v>1740.1</v>
      </c>
      <c r="U86" s="3">
        <f t="shared" si="12"/>
        <v>3.6046947544481345E-3</v>
      </c>
      <c r="V86" s="1"/>
      <c r="W86" s="8">
        <v>45324</v>
      </c>
      <c r="X86" s="3">
        <v>1416.65</v>
      </c>
      <c r="Y86" s="1">
        <f t="shared" si="13"/>
        <v>6.1791967044284579E-3</v>
      </c>
      <c r="Z86" s="1"/>
      <c r="AA86" s="1"/>
      <c r="AB86" s="1"/>
      <c r="AC86" s="1"/>
      <c r="AD86" s="1"/>
      <c r="AE86" s="1"/>
      <c r="AF86" s="1"/>
    </row>
    <row r="87" spans="1:32">
      <c r="A87" s="8">
        <v>45509</v>
      </c>
      <c r="B87" s="3">
        <v>1720.35</v>
      </c>
      <c r="C87" s="16">
        <f t="shared" si="10"/>
        <v>-6.5255680997893251E-3</v>
      </c>
      <c r="D87" s="1">
        <v>24055.599999999999</v>
      </c>
      <c r="E87" s="17">
        <v>-2.6790000000000001E-2</v>
      </c>
      <c r="F87" s="3">
        <v>21583.05</v>
      </c>
      <c r="G87" s="16">
        <f t="shared" si="11"/>
        <v>1.4817182928270167E-2</v>
      </c>
      <c r="H87" s="1"/>
      <c r="I87" s="1"/>
      <c r="L87" s="120"/>
      <c r="S87" s="8">
        <v>45516</v>
      </c>
      <c r="T87" s="3">
        <v>1733.85</v>
      </c>
      <c r="U87" s="3">
        <f t="shared" si="12"/>
        <v>-8.3559038782921036E-4</v>
      </c>
      <c r="V87" s="1"/>
      <c r="W87" s="8">
        <v>45323</v>
      </c>
      <c r="X87" s="3">
        <v>1407.95</v>
      </c>
      <c r="Y87" s="1">
        <f t="shared" si="13"/>
        <v>-7.4024463322640566E-3</v>
      </c>
      <c r="Z87" s="1"/>
      <c r="AA87" s="1"/>
      <c r="AB87" s="1"/>
      <c r="AC87" s="1"/>
      <c r="AD87" s="1"/>
      <c r="AE87" s="1"/>
      <c r="AF87" s="1"/>
    </row>
    <row r="88" spans="1:32">
      <c r="A88" s="8">
        <v>45506</v>
      </c>
      <c r="B88" s="3">
        <v>1731.65</v>
      </c>
      <c r="C88" s="16">
        <f t="shared" si="10"/>
        <v>9.5907182835821558E-3</v>
      </c>
      <c r="D88" s="1">
        <v>24717.7</v>
      </c>
      <c r="E88" s="17">
        <v>-1.172E-2</v>
      </c>
      <c r="F88" s="3">
        <v>21902.85</v>
      </c>
      <c r="G88" s="16">
        <f t="shared" si="11"/>
        <v>-5.1363178764407547E-3</v>
      </c>
      <c r="H88" s="1"/>
      <c r="I88" s="1"/>
      <c r="L88" s="120"/>
      <c r="S88" s="8">
        <v>45513</v>
      </c>
      <c r="T88" s="3">
        <v>1735.3</v>
      </c>
      <c r="U88" s="3">
        <f t="shared" si="12"/>
        <v>-1.007455168244964E-3</v>
      </c>
      <c r="V88" s="1"/>
      <c r="W88" s="8">
        <v>45322</v>
      </c>
      <c r="X88" s="3">
        <v>1418.45</v>
      </c>
      <c r="Y88" s="1">
        <f t="shared" si="13"/>
        <v>3.4044104246400586E-2</v>
      </c>
      <c r="Z88" s="1"/>
      <c r="AA88" s="1"/>
      <c r="AB88" s="1"/>
      <c r="AC88" s="1"/>
      <c r="AD88" s="1"/>
      <c r="AE88" s="1"/>
      <c r="AF88" s="1"/>
    </row>
    <row r="89" spans="1:32">
      <c r="A89" s="8">
        <v>45505</v>
      </c>
      <c r="B89" s="3">
        <v>1715.2</v>
      </c>
      <c r="C89" s="16">
        <f t="shared" si="10"/>
        <v>-2.4137028528221638E-3</v>
      </c>
      <c r="D89" s="1">
        <v>25010.9</v>
      </c>
      <c r="E89" s="17">
        <v>2.395E-3</v>
      </c>
      <c r="F89" s="3">
        <v>21790.35</v>
      </c>
      <c r="G89" s="16">
        <f t="shared" si="11"/>
        <v>-6.0577273884987459E-4</v>
      </c>
      <c r="H89" s="1"/>
      <c r="I89" s="1"/>
      <c r="L89" s="120"/>
      <c r="S89" s="8">
        <v>45512</v>
      </c>
      <c r="T89" s="3">
        <v>1737.05</v>
      </c>
      <c r="U89" s="3">
        <f t="shared" si="12"/>
        <v>1.4990342759952924E-3</v>
      </c>
      <c r="V89" s="1"/>
      <c r="W89" s="8">
        <v>45321</v>
      </c>
      <c r="X89" s="3">
        <v>1371.75</v>
      </c>
      <c r="Y89" s="1">
        <f t="shared" si="13"/>
        <v>-2.0773102045186786E-2</v>
      </c>
      <c r="Z89" s="1"/>
      <c r="AA89" s="1"/>
      <c r="AB89" s="1"/>
      <c r="AC89" s="1"/>
      <c r="AD89" s="1"/>
      <c r="AE89" s="1"/>
      <c r="AF89" s="1"/>
    </row>
    <row r="90" spans="1:32">
      <c r="A90" s="8">
        <v>45504</v>
      </c>
      <c r="B90" s="3">
        <v>1719.35</v>
      </c>
      <c r="C90" s="16">
        <f t="shared" si="10"/>
        <v>1.0431358721203488E-2</v>
      </c>
      <c r="D90" s="1">
        <v>24951.15</v>
      </c>
      <c r="E90" s="17">
        <v>3.7759999999999998E-3</v>
      </c>
      <c r="F90" s="3">
        <v>21777.15</v>
      </c>
      <c r="G90" s="16">
        <f t="shared" si="11"/>
        <v>-1.085311898021557E-2</v>
      </c>
      <c r="H90" s="1"/>
      <c r="I90" s="1"/>
      <c r="L90" s="120"/>
      <c r="S90" s="8">
        <v>45511</v>
      </c>
      <c r="T90" s="3">
        <v>1734.45</v>
      </c>
      <c r="U90" s="3">
        <f t="shared" si="12"/>
        <v>1.5753565049339668E-2</v>
      </c>
      <c r="V90" s="1"/>
      <c r="W90" s="8">
        <v>45320</v>
      </c>
      <c r="X90" s="3">
        <v>1400.85</v>
      </c>
      <c r="Y90" s="1">
        <f t="shared" si="13"/>
        <v>2.3788642841482188E-2</v>
      </c>
      <c r="Z90" s="1"/>
      <c r="AA90" s="1"/>
      <c r="AB90" s="1"/>
      <c r="AC90" s="1"/>
      <c r="AD90" s="1"/>
      <c r="AE90" s="1"/>
      <c r="AF90" s="1"/>
    </row>
    <row r="91" spans="1:32">
      <c r="A91" s="8">
        <v>45503</v>
      </c>
      <c r="B91" s="3">
        <v>1701.6</v>
      </c>
      <c r="C91" s="16">
        <f t="shared" si="10"/>
        <v>-1.256347018714643E-2</v>
      </c>
      <c r="D91" s="1">
        <v>24857.3</v>
      </c>
      <c r="E91" s="17">
        <v>8.5400000000000005E-4</v>
      </c>
      <c r="F91" s="3">
        <v>21540.799999999999</v>
      </c>
      <c r="G91" s="16">
        <f t="shared" si="11"/>
        <v>6.2277167050435178E-3</v>
      </c>
      <c r="H91" s="1"/>
      <c r="I91" s="1"/>
      <c r="L91" s="120"/>
      <c r="S91" s="8">
        <v>45510</v>
      </c>
      <c r="T91" s="3">
        <v>1707.55</v>
      </c>
      <c r="U91" s="3">
        <f t="shared" si="12"/>
        <v>-7.4403464411311182E-3</v>
      </c>
      <c r="V91" s="1"/>
      <c r="W91" s="8">
        <v>45316</v>
      </c>
      <c r="X91" s="3">
        <v>1368.3</v>
      </c>
      <c r="Y91" s="1">
        <f t="shared" si="13"/>
        <v>-9.9848057304101623E-3</v>
      </c>
      <c r="Z91" s="1"/>
      <c r="AA91" s="1"/>
      <c r="AB91" s="1"/>
      <c r="AC91" s="1"/>
      <c r="AD91" s="1"/>
      <c r="AE91" s="1"/>
      <c r="AF91" s="1"/>
    </row>
    <row r="92" spans="1:32">
      <c r="A92" s="8">
        <v>45502</v>
      </c>
      <c r="B92" s="3">
        <v>1723.25</v>
      </c>
      <c r="C92" s="16">
        <f t="shared" si="10"/>
        <v>5.2501093772787666E-3</v>
      </c>
      <c r="D92" s="1">
        <v>24836.1</v>
      </c>
      <c r="E92" s="17">
        <v>5.0300000000000003E-5</v>
      </c>
      <c r="F92" s="3">
        <v>21674.95</v>
      </c>
      <c r="G92" s="16">
        <f t="shared" si="11"/>
        <v>-3.3148865395307148E-3</v>
      </c>
      <c r="H92" s="1"/>
      <c r="I92" s="1"/>
      <c r="L92" s="120"/>
      <c r="S92" s="8">
        <v>45509</v>
      </c>
      <c r="T92" s="3">
        <v>1720.35</v>
      </c>
      <c r="U92" s="3">
        <f t="shared" si="12"/>
        <v>-6.5255680997893251E-3</v>
      </c>
      <c r="V92" s="1"/>
      <c r="W92" s="8">
        <v>45315</v>
      </c>
      <c r="X92" s="3">
        <v>1382.1</v>
      </c>
      <c r="Y92" s="1">
        <f t="shared" si="13"/>
        <v>2.7570195167960776E-3</v>
      </c>
      <c r="Z92" s="1"/>
      <c r="AA92" s="1"/>
      <c r="AB92" s="1"/>
      <c r="AC92" s="1"/>
      <c r="AD92" s="1"/>
      <c r="AE92" s="1"/>
      <c r="AF92" s="1"/>
    </row>
    <row r="93" spans="1:32">
      <c r="A93" s="8">
        <v>45499</v>
      </c>
      <c r="B93" s="3">
        <v>1714.25</v>
      </c>
      <c r="C93" s="16">
        <f t="shared" si="10"/>
        <v>2.9085124264617734E-2</v>
      </c>
      <c r="D93" s="1">
        <v>24834.85</v>
      </c>
      <c r="E93" s="17">
        <v>1.7566999999999999E-2</v>
      </c>
      <c r="F93" s="3">
        <v>21603.1</v>
      </c>
      <c r="G93" s="16">
        <f t="shared" si="11"/>
        <v>-2.3033731270049151E-2</v>
      </c>
      <c r="H93" s="1"/>
      <c r="I93" s="1"/>
      <c r="L93" s="120"/>
      <c r="S93" s="8">
        <v>45506</v>
      </c>
      <c r="T93" s="3">
        <v>1731.65</v>
      </c>
      <c r="U93" s="3">
        <f t="shared" si="12"/>
        <v>9.5907182835821558E-3</v>
      </c>
      <c r="V93" s="1"/>
      <c r="W93" s="8">
        <v>45314</v>
      </c>
      <c r="X93" s="3">
        <v>1378.3</v>
      </c>
      <c r="Y93" s="1">
        <f t="shared" si="13"/>
        <v>3.9324359989443058E-2</v>
      </c>
      <c r="Z93" s="1"/>
      <c r="AA93" s="1"/>
      <c r="AB93" s="1"/>
      <c r="AC93" s="1"/>
      <c r="AD93" s="1"/>
      <c r="AE93" s="1"/>
      <c r="AF93" s="1"/>
    </row>
    <row r="94" spans="1:32">
      <c r="A94" s="8">
        <v>45498</v>
      </c>
      <c r="B94" s="3">
        <v>1665.8</v>
      </c>
      <c r="C94" s="16">
        <f t="shared" si="10"/>
        <v>2.8620828058908865E-2</v>
      </c>
      <c r="D94" s="1">
        <v>24406.1</v>
      </c>
      <c r="E94" s="17">
        <v>-2.9999999999999997E-4</v>
      </c>
      <c r="F94" s="3">
        <v>21105.5</v>
      </c>
      <c r="G94" s="16">
        <f t="shared" si="11"/>
        <v>-9.3340598422212429E-3</v>
      </c>
      <c r="H94" s="1"/>
      <c r="I94" s="1"/>
      <c r="L94" s="120"/>
      <c r="S94" s="8">
        <v>45505</v>
      </c>
      <c r="T94" s="3">
        <v>1715.2</v>
      </c>
      <c r="U94" s="3">
        <f t="shared" si="12"/>
        <v>-2.4137028528221638E-3</v>
      </c>
      <c r="V94" s="1"/>
      <c r="W94" s="8">
        <v>45311</v>
      </c>
      <c r="X94" s="3">
        <v>1326.15</v>
      </c>
      <c r="Y94" s="1">
        <f t="shared" si="13"/>
        <v>-7.0754716981130672E-3</v>
      </c>
      <c r="Z94" s="1"/>
      <c r="AA94" s="1"/>
      <c r="AB94" s="1"/>
      <c r="AC94" s="1"/>
      <c r="AD94" s="1"/>
      <c r="AE94" s="1"/>
      <c r="AF94" s="1"/>
    </row>
    <row r="95" spans="1:32">
      <c r="A95" s="8">
        <v>45497</v>
      </c>
      <c r="B95" s="3">
        <v>1619.45</v>
      </c>
      <c r="C95" s="16">
        <f t="shared" si="10"/>
        <v>1.1145104895105007E-2</v>
      </c>
      <c r="D95" s="1">
        <v>24413.5</v>
      </c>
      <c r="E95" s="17">
        <v>-2.6800000000000001E-3</v>
      </c>
      <c r="F95" s="3">
        <v>20908.5</v>
      </c>
      <c r="G95" s="16">
        <f t="shared" si="11"/>
        <v>-7.3247722218237055E-3</v>
      </c>
      <c r="H95" s="1"/>
      <c r="I95" s="1"/>
      <c r="L95" s="120"/>
      <c r="S95" s="8">
        <v>45504</v>
      </c>
      <c r="T95" s="3">
        <v>1719.35</v>
      </c>
      <c r="U95" s="3">
        <f t="shared" si="12"/>
        <v>1.0431358721203488E-2</v>
      </c>
      <c r="V95" s="1"/>
      <c r="W95" s="8">
        <v>45310</v>
      </c>
      <c r="X95" s="3">
        <v>1335.6</v>
      </c>
      <c r="Y95" s="1">
        <f t="shared" si="13"/>
        <v>-1.1229646266153193E-4</v>
      </c>
      <c r="Z95" s="1"/>
      <c r="AA95" s="1"/>
      <c r="AB95" s="1"/>
      <c r="AC95" s="1"/>
      <c r="AD95" s="1"/>
      <c r="AE95" s="1"/>
      <c r="AF95" s="1"/>
    </row>
    <row r="96" spans="1:32">
      <c r="A96" s="8">
        <v>45496</v>
      </c>
      <c r="B96" s="3">
        <v>1601.6</v>
      </c>
      <c r="C96" s="16">
        <f t="shared" si="10"/>
        <v>8.9772261946010623E-3</v>
      </c>
      <c r="D96" s="1">
        <v>24479.05</v>
      </c>
      <c r="E96" s="17">
        <v>-1.23E-3</v>
      </c>
      <c r="F96" s="3">
        <v>20755.349999999999</v>
      </c>
      <c r="G96" s="16">
        <f t="shared" si="11"/>
        <v>-5.4829236799186498E-3</v>
      </c>
      <c r="H96" s="1"/>
      <c r="I96" s="1"/>
      <c r="L96" s="120"/>
      <c r="S96" s="8">
        <v>45503</v>
      </c>
      <c r="T96" s="3">
        <v>1701.6</v>
      </c>
      <c r="U96" s="3">
        <f t="shared" si="12"/>
        <v>-1.256347018714643E-2</v>
      </c>
      <c r="V96" s="1"/>
      <c r="W96" s="8">
        <v>45309</v>
      </c>
      <c r="X96" s="3">
        <v>1335.75</v>
      </c>
      <c r="Y96" s="1">
        <f t="shared" si="13"/>
        <v>2.8290993071593551E-2</v>
      </c>
      <c r="Z96" s="1"/>
      <c r="AA96" s="1"/>
      <c r="AB96" s="1"/>
      <c r="AC96" s="1"/>
      <c r="AD96" s="1"/>
      <c r="AE96" s="1"/>
      <c r="AF96" s="1"/>
    </row>
    <row r="97" spans="1:32">
      <c r="A97" s="8">
        <v>45495</v>
      </c>
      <c r="B97" s="3">
        <v>1587.35</v>
      </c>
      <c r="C97" s="16">
        <f t="shared" si="10"/>
        <v>1.1921078634494542E-2</v>
      </c>
      <c r="D97" s="1">
        <v>24509.25</v>
      </c>
      <c r="E97" s="17">
        <v>-8.8000000000000003E-4</v>
      </c>
      <c r="F97" s="3">
        <v>20641.55</v>
      </c>
      <c r="G97" s="16">
        <f t="shared" si="11"/>
        <v>-1.0471597336440208E-2</v>
      </c>
      <c r="H97" s="1"/>
      <c r="I97" s="1"/>
      <c r="L97" s="120"/>
      <c r="S97" s="8">
        <v>45502</v>
      </c>
      <c r="T97" s="3">
        <v>1723.25</v>
      </c>
      <c r="U97" s="3">
        <f t="shared" si="12"/>
        <v>5.2501093772787666E-3</v>
      </c>
      <c r="V97" s="1"/>
      <c r="W97" s="8">
        <v>45308</v>
      </c>
      <c r="X97" s="3">
        <v>1299</v>
      </c>
      <c r="Y97" s="1">
        <f t="shared" si="13"/>
        <v>-1.1001560775058095E-2</v>
      </c>
      <c r="Z97" s="1"/>
      <c r="AA97" s="1"/>
      <c r="AB97" s="1"/>
      <c r="AC97" s="1"/>
      <c r="AD97" s="1"/>
      <c r="AE97" s="1"/>
      <c r="AF97" s="1"/>
    </row>
    <row r="98" spans="1:32">
      <c r="A98" s="8">
        <v>45492</v>
      </c>
      <c r="B98" s="3">
        <v>1568.65</v>
      </c>
      <c r="C98" s="16">
        <f t="shared" si="10"/>
        <v>-1.6057707385918052E-2</v>
      </c>
      <c r="D98" s="1">
        <v>24530.9</v>
      </c>
      <c r="E98" s="17">
        <v>-1.0880000000000001E-2</v>
      </c>
      <c r="F98" s="3">
        <v>20425.400000000001</v>
      </c>
      <c r="G98" s="16">
        <f t="shared" si="11"/>
        <v>1.6790368854465276E-2</v>
      </c>
      <c r="H98" s="1"/>
      <c r="I98" s="1"/>
      <c r="L98" s="120"/>
      <c r="S98" s="8">
        <v>45499</v>
      </c>
      <c r="T98" s="3">
        <v>1714.25</v>
      </c>
      <c r="U98" s="3">
        <f t="shared" si="12"/>
        <v>2.9085124264617734E-2</v>
      </c>
      <c r="V98" s="1"/>
      <c r="W98" s="8">
        <v>45307</v>
      </c>
      <c r="X98" s="3">
        <v>1313.45</v>
      </c>
      <c r="Y98" s="1">
        <f t="shared" si="13"/>
        <v>-1.196073268890796E-2</v>
      </c>
      <c r="Z98" s="1"/>
      <c r="AA98" s="1"/>
      <c r="AB98" s="1"/>
      <c r="AC98" s="1"/>
      <c r="AD98" s="1"/>
      <c r="AE98" s="1"/>
      <c r="AF98" s="1"/>
    </row>
    <row r="99" spans="1:32">
      <c r="A99" s="8">
        <v>45491</v>
      </c>
      <c r="B99" s="3">
        <v>1594.25</v>
      </c>
      <c r="C99" s="16">
        <f t="shared" si="10"/>
        <v>9.4662192110428478E-3</v>
      </c>
      <c r="D99" s="1">
        <v>24800.85</v>
      </c>
      <c r="E99" s="17">
        <v>7.6319999999999999E-3</v>
      </c>
      <c r="F99" s="3">
        <v>20768.349999999999</v>
      </c>
      <c r="G99" s="16">
        <f t="shared" si="11"/>
        <v>-1.3963555121121463E-4</v>
      </c>
      <c r="H99" s="1"/>
      <c r="I99" s="1"/>
      <c r="L99" s="120"/>
      <c r="S99" s="8">
        <v>45498</v>
      </c>
      <c r="T99" s="3">
        <v>1665.8</v>
      </c>
      <c r="U99" s="3">
        <f t="shared" si="12"/>
        <v>2.8620828058908865E-2</v>
      </c>
      <c r="V99" s="1"/>
      <c r="W99" s="8">
        <v>45306</v>
      </c>
      <c r="X99" s="3">
        <v>1329.35</v>
      </c>
      <c r="Y99" s="1">
        <f t="shared" si="13"/>
        <v>2.5641992533653735E-3</v>
      </c>
      <c r="Z99" s="1"/>
      <c r="AA99" s="1"/>
      <c r="AB99" s="1"/>
      <c r="AC99" s="1"/>
      <c r="AD99" s="1"/>
      <c r="AE99" s="1"/>
      <c r="AF99" s="1"/>
    </row>
    <row r="100" spans="1:32">
      <c r="A100" s="8">
        <v>45489</v>
      </c>
      <c r="B100" s="3">
        <v>1579.3</v>
      </c>
      <c r="C100" s="16">
        <f t="shared" si="10"/>
        <v>-4.3500189131258082E-3</v>
      </c>
      <c r="D100" s="1">
        <v>24613</v>
      </c>
      <c r="E100" s="17">
        <v>1.07E-3</v>
      </c>
      <c r="F100" s="3">
        <v>20765.45</v>
      </c>
      <c r="G100" s="16">
        <f t="shared" si="11"/>
        <v>3.809211936172785E-3</v>
      </c>
      <c r="H100" s="1"/>
      <c r="I100" s="1"/>
      <c r="L100" s="120"/>
      <c r="S100" s="8">
        <v>45497</v>
      </c>
      <c r="T100" s="3">
        <v>1619.45</v>
      </c>
      <c r="U100" s="3">
        <f t="shared" si="12"/>
        <v>1.1145104895105007E-2</v>
      </c>
      <c r="V100" s="1"/>
      <c r="W100" s="8">
        <v>45303</v>
      </c>
      <c r="X100" s="3">
        <v>1325.95</v>
      </c>
      <c r="Y100" s="1">
        <f t="shared" si="13"/>
        <v>7.3694207027541481E-3</v>
      </c>
      <c r="Z100" s="1"/>
      <c r="AA100" s="1"/>
      <c r="AB100" s="1"/>
      <c r="AC100" s="1"/>
      <c r="AD100" s="1"/>
      <c r="AE100" s="1"/>
      <c r="AF100" s="1"/>
    </row>
    <row r="101" spans="1:32">
      <c r="A101" s="8">
        <v>45488</v>
      </c>
      <c r="B101" s="3">
        <v>1586.2</v>
      </c>
      <c r="C101" s="16">
        <f t="shared" si="10"/>
        <v>5.6425537310593743E-3</v>
      </c>
      <c r="D101" s="1">
        <v>24586.7</v>
      </c>
      <c r="E101" s="17">
        <v>3.4510000000000001E-3</v>
      </c>
      <c r="F101" s="3">
        <v>20844.55</v>
      </c>
      <c r="G101" s="16">
        <f t="shared" si="11"/>
        <v>-1.1125210186835321E-2</v>
      </c>
      <c r="H101" s="1"/>
      <c r="I101" s="1"/>
      <c r="L101" s="120"/>
      <c r="S101" s="8">
        <v>45496</v>
      </c>
      <c r="T101" s="3">
        <v>1601.6</v>
      </c>
      <c r="U101" s="3">
        <f t="shared" si="12"/>
        <v>8.9772261946010623E-3</v>
      </c>
      <c r="V101" s="1"/>
      <c r="W101" s="8">
        <v>45302</v>
      </c>
      <c r="X101" s="3">
        <v>1316.25</v>
      </c>
      <c r="Y101" s="1">
        <f t="shared" si="13"/>
        <v>-6.4913009019887946E-3</v>
      </c>
      <c r="Z101" s="1"/>
      <c r="AA101" s="1"/>
      <c r="AB101" s="1"/>
      <c r="AC101" s="1"/>
      <c r="AD101" s="1"/>
      <c r="AE101" s="1"/>
      <c r="AF101" s="1"/>
    </row>
    <row r="102" spans="1:32">
      <c r="A102" s="8">
        <v>45485</v>
      </c>
      <c r="B102" s="3">
        <v>1577.3</v>
      </c>
      <c r="C102" s="16">
        <f t="shared" si="10"/>
        <v>-2.8133396554449464E-3</v>
      </c>
      <c r="D102" s="1">
        <v>24502.15</v>
      </c>
      <c r="E102" s="17">
        <v>7.6579999999999999E-3</v>
      </c>
      <c r="F102" s="3">
        <v>20612.650000000001</v>
      </c>
      <c r="G102" s="16">
        <f t="shared" si="11"/>
        <v>-5.3122718330733676E-4</v>
      </c>
      <c r="H102" s="1"/>
      <c r="I102" s="1"/>
      <c r="L102" s="120"/>
      <c r="S102" s="8">
        <v>45495</v>
      </c>
      <c r="T102" s="3">
        <v>1587.35</v>
      </c>
      <c r="U102" s="3">
        <f t="shared" si="12"/>
        <v>1.1921078634494542E-2</v>
      </c>
      <c r="V102" s="1"/>
      <c r="W102" s="8">
        <v>45301</v>
      </c>
      <c r="X102" s="3">
        <v>1324.85</v>
      </c>
      <c r="Y102" s="1">
        <f t="shared" si="13"/>
        <v>6.4199395770381251E-4</v>
      </c>
      <c r="Z102" s="1"/>
      <c r="AA102" s="1"/>
      <c r="AB102" s="1"/>
      <c r="AC102" s="1"/>
      <c r="AD102" s="1"/>
      <c r="AE102" s="1"/>
      <c r="AF102" s="1"/>
    </row>
    <row r="103" spans="1:32">
      <c r="A103" s="8">
        <v>45484</v>
      </c>
      <c r="B103" s="3">
        <v>1581.75</v>
      </c>
      <c r="C103" s="16">
        <f t="shared" si="10"/>
        <v>-1.0509524256357317E-2</v>
      </c>
      <c r="D103" s="1">
        <v>24315.95</v>
      </c>
      <c r="E103" s="17">
        <v>-3.5E-4</v>
      </c>
      <c r="F103" s="3">
        <v>20601.7</v>
      </c>
      <c r="G103" s="16">
        <f t="shared" si="11"/>
        <v>6.0310556895790679E-3</v>
      </c>
      <c r="H103" s="1"/>
      <c r="I103" s="1"/>
      <c r="L103" s="120"/>
      <c r="S103" s="8">
        <v>45492</v>
      </c>
      <c r="T103" s="3">
        <v>1568.65</v>
      </c>
      <c r="U103" s="3">
        <f t="shared" si="12"/>
        <v>-1.6057707385918052E-2</v>
      </c>
      <c r="V103" s="1"/>
      <c r="W103" s="8">
        <v>45300</v>
      </c>
      <c r="X103" s="3">
        <v>1324</v>
      </c>
      <c r="Y103" s="1">
        <f t="shared" si="13"/>
        <v>1.4326208534436669E-2</v>
      </c>
      <c r="Z103" s="1"/>
      <c r="AA103" s="1"/>
      <c r="AB103" s="1"/>
      <c r="AC103" s="1"/>
      <c r="AD103" s="1"/>
      <c r="AE103" s="1"/>
      <c r="AF103" s="1"/>
    </row>
    <row r="104" spans="1:32">
      <c r="A104" s="8">
        <v>45483</v>
      </c>
      <c r="B104" s="3">
        <v>1598.55</v>
      </c>
      <c r="C104" s="16">
        <f t="shared" si="10"/>
        <v>8.2944367352086878E-3</v>
      </c>
      <c r="D104" s="1">
        <v>24324.45</v>
      </c>
      <c r="E104" s="17">
        <v>-4.45E-3</v>
      </c>
      <c r="F104" s="3">
        <v>20725.95</v>
      </c>
      <c r="G104" s="16">
        <f t="shared" si="11"/>
        <v>-3.8671327490417129E-3</v>
      </c>
      <c r="H104" s="1"/>
      <c r="I104" s="1"/>
      <c r="L104" s="120"/>
      <c r="S104" s="8">
        <v>45491</v>
      </c>
      <c r="T104" s="3">
        <v>1594.25</v>
      </c>
      <c r="U104" s="3">
        <f t="shared" si="12"/>
        <v>9.4662192110428478E-3</v>
      </c>
      <c r="V104" s="1"/>
      <c r="W104" s="8">
        <v>45299</v>
      </c>
      <c r="X104" s="3">
        <v>1305.3</v>
      </c>
      <c r="Y104" s="1">
        <f t="shared" si="13"/>
        <v>3.9224734656206905E-3</v>
      </c>
      <c r="Z104" s="1"/>
      <c r="AA104" s="1"/>
      <c r="AB104" s="1"/>
      <c r="AC104" s="1"/>
      <c r="AD104" s="1"/>
      <c r="AE104" s="1"/>
      <c r="AF104" s="1"/>
    </row>
    <row r="105" spans="1:32">
      <c r="A105" s="8">
        <v>45482</v>
      </c>
      <c r="B105" s="3">
        <v>1585.4</v>
      </c>
      <c r="C105" s="16">
        <f t="shared" si="10"/>
        <v>1.8632742225648924E-2</v>
      </c>
      <c r="D105" s="1">
        <v>24433.200000000001</v>
      </c>
      <c r="E105" s="17">
        <v>4.6319999999999998E-3</v>
      </c>
      <c r="F105" s="3">
        <v>20645.8</v>
      </c>
      <c r="G105" s="16">
        <f t="shared" si="11"/>
        <v>-1.549952048358505E-2</v>
      </c>
      <c r="H105" s="1"/>
      <c r="I105" s="1"/>
      <c r="L105" s="120"/>
      <c r="S105" s="8">
        <v>45489</v>
      </c>
      <c r="T105" s="3">
        <v>1579.3</v>
      </c>
      <c r="U105" s="3">
        <f t="shared" si="12"/>
        <v>-4.3500189131258082E-3</v>
      </c>
      <c r="V105" s="1"/>
      <c r="W105" s="8">
        <v>45296</v>
      </c>
      <c r="X105" s="3">
        <v>1300.2</v>
      </c>
      <c r="Y105" s="1">
        <f t="shared" si="13"/>
        <v>-9.7109562435736541E-3</v>
      </c>
      <c r="Z105" s="1"/>
      <c r="AA105" s="1"/>
      <c r="AB105" s="1"/>
      <c r="AC105" s="1"/>
      <c r="AD105" s="1"/>
      <c r="AE105" s="1"/>
      <c r="AF105" s="1"/>
    </row>
    <row r="106" spans="1:32">
      <c r="A106" s="8">
        <v>45481</v>
      </c>
      <c r="B106" s="3">
        <v>1556.4</v>
      </c>
      <c r="C106" s="16">
        <f t="shared" si="10"/>
        <v>-7.6511094108645539E-3</v>
      </c>
      <c r="D106" s="1">
        <v>24320.55</v>
      </c>
      <c r="E106" s="17">
        <v>-1.3999999999999999E-4</v>
      </c>
      <c r="F106" s="3">
        <v>20325.8</v>
      </c>
      <c r="G106" s="16">
        <f t="shared" si="11"/>
        <v>6.2998750356688671E-3</v>
      </c>
      <c r="H106" s="1"/>
      <c r="I106" s="1"/>
      <c r="L106" s="120"/>
      <c r="S106" s="8">
        <v>45488</v>
      </c>
      <c r="T106" s="3">
        <v>1586.2</v>
      </c>
      <c r="U106" s="3">
        <f t="shared" si="12"/>
        <v>5.6425537310593743E-3</v>
      </c>
      <c r="V106" s="1"/>
      <c r="W106" s="8">
        <v>45295</v>
      </c>
      <c r="X106" s="3">
        <v>1312.95</v>
      </c>
      <c r="Y106" s="1">
        <f t="shared" si="13"/>
        <v>1.1050361928230501E-2</v>
      </c>
      <c r="Z106" s="1"/>
      <c r="AA106" s="1"/>
      <c r="AB106" s="1"/>
      <c r="AC106" s="1"/>
      <c r="AD106" s="1"/>
      <c r="AE106" s="1"/>
      <c r="AF106" s="1"/>
    </row>
    <row r="107" spans="1:32">
      <c r="A107" s="8">
        <v>45478</v>
      </c>
      <c r="B107" s="3">
        <v>1568.4</v>
      </c>
      <c r="C107" s="16">
        <f t="shared" si="10"/>
        <v>6.7398420951281235E-3</v>
      </c>
      <c r="D107" s="1">
        <v>24323.85</v>
      </c>
      <c r="E107" s="17">
        <v>8.9300000000000002E-4</v>
      </c>
      <c r="F107" s="3">
        <v>20453.849999999999</v>
      </c>
      <c r="G107" s="16">
        <f t="shared" si="11"/>
        <v>-1.2772656492543E-2</v>
      </c>
      <c r="H107" s="1"/>
      <c r="I107" s="1"/>
      <c r="L107" s="120"/>
      <c r="S107" s="8">
        <v>45485</v>
      </c>
      <c r="T107" s="3">
        <v>1577.3</v>
      </c>
      <c r="U107" s="3">
        <f t="shared" si="12"/>
        <v>-2.8133396554449464E-3</v>
      </c>
      <c r="V107" s="1"/>
      <c r="W107" s="8">
        <v>45294</v>
      </c>
      <c r="X107" s="3">
        <v>1298.5999999999999</v>
      </c>
      <c r="Y107" s="1">
        <f t="shared" si="13"/>
        <v>1.8515661163400754E-3</v>
      </c>
      <c r="Z107" s="1"/>
      <c r="AA107" s="1"/>
      <c r="AB107" s="1"/>
      <c r="AC107" s="1"/>
      <c r="AD107" s="1"/>
      <c r="AE107" s="1"/>
      <c r="AF107" s="1"/>
    </row>
    <row r="108" spans="1:32">
      <c r="A108" s="8">
        <v>45477</v>
      </c>
      <c r="B108" s="3">
        <v>1557.9</v>
      </c>
      <c r="C108" s="16">
        <f t="shared" si="10"/>
        <v>1.5613285961080914E-2</v>
      </c>
      <c r="D108" s="1">
        <v>24302.15</v>
      </c>
      <c r="E108" s="17">
        <v>6.4400000000000004E-4</v>
      </c>
      <c r="F108" s="3">
        <v>20192.599999999999</v>
      </c>
      <c r="G108" s="16">
        <f t="shared" si="11"/>
        <v>-1.3732753582995749E-2</v>
      </c>
      <c r="H108" s="1"/>
      <c r="I108" s="1"/>
      <c r="L108" s="120"/>
      <c r="S108" s="8">
        <v>45484</v>
      </c>
      <c r="T108" s="3">
        <v>1581.75</v>
      </c>
      <c r="U108" s="3">
        <f t="shared" si="12"/>
        <v>-1.0509524256357317E-2</v>
      </c>
      <c r="V108" s="1"/>
      <c r="W108" s="8">
        <v>45293</v>
      </c>
      <c r="X108" s="3">
        <v>1296.2</v>
      </c>
      <c r="Y108" s="1">
        <f t="shared" si="13"/>
        <v>2.8526086094029068E-2</v>
      </c>
      <c r="Z108" s="1"/>
      <c r="AA108" s="1"/>
      <c r="AB108" s="1"/>
      <c r="AC108" s="1"/>
      <c r="AD108" s="1"/>
      <c r="AE108" s="1"/>
      <c r="AF108" s="1"/>
    </row>
    <row r="109" spans="1:32">
      <c r="A109" s="8">
        <v>45476</v>
      </c>
      <c r="B109" s="3">
        <v>1533.95</v>
      </c>
      <c r="C109" s="16">
        <f t="shared" si="10"/>
        <v>6.4958498736917836E-3</v>
      </c>
      <c r="D109" s="1">
        <v>24286.5</v>
      </c>
      <c r="E109" s="17">
        <v>6.7419999999999997E-3</v>
      </c>
      <c r="F109" s="3">
        <v>19915.3</v>
      </c>
      <c r="G109" s="16">
        <f t="shared" si="11"/>
        <v>-6.4724106591413921E-3</v>
      </c>
      <c r="H109" s="1"/>
      <c r="I109" s="1"/>
      <c r="L109" s="120"/>
      <c r="S109" s="8">
        <v>45483</v>
      </c>
      <c r="T109" s="3">
        <v>1598.55</v>
      </c>
      <c r="U109" s="3">
        <f t="shared" si="12"/>
        <v>8.2944367352086878E-3</v>
      </c>
      <c r="V109" s="1"/>
      <c r="W109" s="8">
        <v>45292</v>
      </c>
      <c r="X109" s="3">
        <v>1260.25</v>
      </c>
      <c r="Y109" s="1">
        <f t="shared" si="13"/>
        <v>6.3519790384680697E-4</v>
      </c>
      <c r="Z109" s="1"/>
      <c r="AA109" s="1"/>
      <c r="AB109" s="1"/>
      <c r="AC109" s="1"/>
      <c r="AD109" s="1"/>
      <c r="AE109" s="1"/>
      <c r="AF109" s="1"/>
    </row>
    <row r="110" spans="1:32">
      <c r="A110" s="8">
        <v>45475</v>
      </c>
      <c r="B110" s="3">
        <v>1524.05</v>
      </c>
      <c r="C110" s="16">
        <f t="shared" si="10"/>
        <v>2.5985132557069246E-3</v>
      </c>
      <c r="D110" s="1">
        <v>24123.85</v>
      </c>
      <c r="E110" s="17">
        <v>-7.5000000000000002E-4</v>
      </c>
      <c r="F110" s="3">
        <v>19786.400000000001</v>
      </c>
      <c r="G110" s="16">
        <f t="shared" si="11"/>
        <v>-1.4226943759350075E-3</v>
      </c>
      <c r="H110" s="1"/>
      <c r="I110" s="1"/>
      <c r="L110" s="120"/>
      <c r="S110" s="8">
        <v>45482</v>
      </c>
      <c r="T110" s="3">
        <v>1585.4</v>
      </c>
      <c r="U110" s="3">
        <f t="shared" si="12"/>
        <v>1.8632742225648924E-2</v>
      </c>
      <c r="V110" s="1"/>
      <c r="W110" s="8">
        <v>45289</v>
      </c>
      <c r="X110" s="3">
        <v>1259.45</v>
      </c>
      <c r="Y110" s="1">
        <f t="shared" ref="Y110:Y137" si="14">X110/X111-1</f>
        <v>-2.1392069088460586E-3</v>
      </c>
      <c r="Z110" s="1"/>
      <c r="AA110" s="1"/>
      <c r="AB110" s="1"/>
      <c r="AC110" s="1"/>
      <c r="AD110" s="1"/>
      <c r="AE110" s="1"/>
      <c r="AF110" s="1"/>
    </row>
    <row r="111" spans="1:32">
      <c r="A111" s="8">
        <v>45474</v>
      </c>
      <c r="B111" s="3">
        <v>1520.1</v>
      </c>
      <c r="C111" s="16">
        <f t="shared" si="10"/>
        <v>-4.9314528059962726E-4</v>
      </c>
      <c r="D111" s="1">
        <v>24141.95</v>
      </c>
      <c r="E111" s="17">
        <v>5.4710000000000002E-3</v>
      </c>
      <c r="F111" s="3">
        <v>19758.25</v>
      </c>
      <c r="G111" s="16">
        <f t="shared" si="11"/>
        <v>-1.3513342527805561E-3</v>
      </c>
      <c r="H111" s="1"/>
      <c r="I111" s="1"/>
      <c r="L111" s="120"/>
      <c r="S111" s="8">
        <v>45481</v>
      </c>
      <c r="T111" s="3">
        <v>1556.4</v>
      </c>
      <c r="U111" s="3">
        <f t="shared" si="12"/>
        <v>-7.6511094108645539E-3</v>
      </c>
      <c r="V111" s="1"/>
      <c r="W111" s="8">
        <v>45288</v>
      </c>
      <c r="X111" s="3">
        <v>1262.1500000000001</v>
      </c>
      <c r="Y111" s="1">
        <f t="shared" si="14"/>
        <v>7.7448201525012195E-3</v>
      </c>
      <c r="Z111" s="1"/>
      <c r="AA111" s="1"/>
      <c r="AB111" s="1"/>
      <c r="AC111" s="1"/>
      <c r="AD111" s="1"/>
      <c r="AE111" s="1"/>
      <c r="AF111" s="1"/>
    </row>
    <row r="112" spans="1:32">
      <c r="A112" s="8">
        <v>45471</v>
      </c>
      <c r="B112" s="3">
        <v>1520.85</v>
      </c>
      <c r="C112" s="16">
        <f t="shared" si="10"/>
        <v>3.0338004946413033E-3</v>
      </c>
      <c r="D112" s="1">
        <v>24010.6</v>
      </c>
      <c r="E112" s="17">
        <v>-1.41E-3</v>
      </c>
      <c r="F112" s="3">
        <v>19731.55</v>
      </c>
      <c r="G112" s="16">
        <f t="shared" si="11"/>
        <v>-1.0984945430034587E-2</v>
      </c>
      <c r="H112" s="1"/>
      <c r="I112" s="1"/>
      <c r="L112" s="120"/>
      <c r="S112" s="8">
        <v>45478</v>
      </c>
      <c r="T112" s="3">
        <v>1568.4</v>
      </c>
      <c r="U112" s="3">
        <f t="shared" si="12"/>
        <v>6.7398420951281235E-3</v>
      </c>
      <c r="V112" s="1"/>
      <c r="W112" s="8">
        <v>45287</v>
      </c>
      <c r="X112" s="3">
        <v>1252.45</v>
      </c>
      <c r="Y112" s="1">
        <f t="shared" si="14"/>
        <v>3.9679358717434887E-3</v>
      </c>
      <c r="Z112" s="1"/>
      <c r="AA112" s="1"/>
      <c r="AB112" s="1"/>
      <c r="AC112" s="1"/>
      <c r="AD112" s="1"/>
      <c r="AE112" s="1"/>
      <c r="AF112" s="1"/>
    </row>
    <row r="113" spans="1:32">
      <c r="A113" s="8">
        <v>45470</v>
      </c>
      <c r="B113" s="3">
        <v>1516.25</v>
      </c>
      <c r="C113" s="16">
        <f t="shared" si="10"/>
        <v>-3.2212470827992501E-3</v>
      </c>
      <c r="D113" s="1">
        <v>24044.5</v>
      </c>
      <c r="E113" s="17">
        <v>7.3610000000000004E-3</v>
      </c>
      <c r="F113" s="3">
        <v>19514.8</v>
      </c>
      <c r="G113" s="16">
        <f t="shared" si="11"/>
        <v>1.5654785086189893E-3</v>
      </c>
      <c r="H113" s="1"/>
      <c r="I113" s="1"/>
      <c r="L113" s="120"/>
      <c r="S113" s="8">
        <v>45477</v>
      </c>
      <c r="T113" s="3">
        <v>1557.9</v>
      </c>
      <c r="U113" s="3">
        <f t="shared" si="12"/>
        <v>1.5613285961080914E-2</v>
      </c>
      <c r="V113" s="1"/>
      <c r="W113" s="8">
        <v>45286</v>
      </c>
      <c r="X113" s="3">
        <v>1247.5</v>
      </c>
      <c r="Y113" s="1">
        <f t="shared" si="14"/>
        <v>3.0957262895507931E-3</v>
      </c>
      <c r="Z113" s="1"/>
      <c r="AA113" s="1"/>
      <c r="AB113" s="1"/>
      <c r="AC113" s="1"/>
      <c r="AD113" s="1"/>
      <c r="AE113" s="1"/>
      <c r="AF113" s="1"/>
    </row>
    <row r="114" spans="1:32">
      <c r="A114" s="8">
        <v>45469</v>
      </c>
      <c r="B114" s="3">
        <v>1521.15</v>
      </c>
      <c r="C114" s="16">
        <f t="shared" si="10"/>
        <v>1.0596598458676665E-2</v>
      </c>
      <c r="D114" s="1">
        <v>23868.799999999999</v>
      </c>
      <c r="E114" s="17">
        <v>6.2179999999999996E-3</v>
      </c>
      <c r="F114" s="3">
        <v>19545.349999999999</v>
      </c>
      <c r="G114" s="16">
        <f t="shared" si="11"/>
        <v>-6.6767798990552407E-4</v>
      </c>
      <c r="H114" s="1"/>
      <c r="I114" s="1"/>
      <c r="L114" s="120"/>
      <c r="S114" s="8">
        <v>45476</v>
      </c>
      <c r="T114" s="3">
        <v>1533.95</v>
      </c>
      <c r="U114" s="3">
        <f t="shared" si="12"/>
        <v>6.4958498736917836E-3</v>
      </c>
      <c r="V114" s="1"/>
      <c r="W114" s="8">
        <v>45282</v>
      </c>
      <c r="X114" s="3">
        <v>1243.6500000000001</v>
      </c>
      <c r="Y114" s="1">
        <f t="shared" si="14"/>
        <v>8.22861775435757E-3</v>
      </c>
      <c r="Z114" s="1"/>
      <c r="AA114" s="1"/>
      <c r="AB114" s="1"/>
      <c r="AC114" s="1"/>
      <c r="AD114" s="1"/>
      <c r="AE114" s="1"/>
      <c r="AF114" s="1"/>
    </row>
    <row r="115" spans="1:32">
      <c r="A115" s="8">
        <v>45468</v>
      </c>
      <c r="B115" s="3">
        <v>1505.2</v>
      </c>
      <c r="C115" s="16">
        <f t="shared" si="10"/>
        <v>7.1595851455337201E-3</v>
      </c>
      <c r="D115" s="1">
        <v>23721.3</v>
      </c>
      <c r="E115" s="17">
        <v>7.7939999999999997E-3</v>
      </c>
      <c r="F115" s="3">
        <v>19532.3</v>
      </c>
      <c r="G115" s="16">
        <f t="shared" si="11"/>
        <v>-5.7084931114093074E-4</v>
      </c>
      <c r="H115" s="1"/>
      <c r="I115" s="1"/>
      <c r="L115" s="120"/>
      <c r="S115" s="8">
        <v>45475</v>
      </c>
      <c r="T115" s="3">
        <v>1524.05</v>
      </c>
      <c r="U115" s="3">
        <f t="shared" si="12"/>
        <v>2.5985132557069246E-3</v>
      </c>
      <c r="V115" s="1"/>
      <c r="W115" s="8">
        <v>45281</v>
      </c>
      <c r="X115" s="3">
        <v>1233.5</v>
      </c>
      <c r="Y115" s="1">
        <f t="shared" si="14"/>
        <v>1.0956458223430054E-3</v>
      </c>
      <c r="Z115" s="1"/>
      <c r="AA115" s="1"/>
      <c r="AB115" s="1"/>
      <c r="AC115" s="1"/>
      <c r="AD115" s="1"/>
      <c r="AE115" s="1"/>
      <c r="AF115" s="1"/>
    </row>
    <row r="116" spans="1:32">
      <c r="A116" s="8">
        <v>45467</v>
      </c>
      <c r="B116" s="3">
        <v>1494.5</v>
      </c>
      <c r="C116" s="16">
        <f t="shared" si="10"/>
        <v>1.8572158800477023E-2</v>
      </c>
      <c r="D116" s="1">
        <v>23537.85</v>
      </c>
      <c r="E116" s="17">
        <v>1.5640000000000001E-3</v>
      </c>
      <c r="F116" s="3">
        <v>19521.150000000001</v>
      </c>
      <c r="G116" s="16">
        <f t="shared" si="11"/>
        <v>3.7139205425917865E-4</v>
      </c>
      <c r="H116" s="1"/>
      <c r="I116" s="1"/>
      <c r="L116" s="120"/>
      <c r="S116" s="8">
        <v>45474</v>
      </c>
      <c r="T116" s="3">
        <v>1520.1</v>
      </c>
      <c r="U116" s="3">
        <f t="shared" si="12"/>
        <v>-4.9314528059962726E-4</v>
      </c>
      <c r="V116" s="1"/>
      <c r="W116" s="8">
        <v>45280</v>
      </c>
      <c r="X116" s="3">
        <v>1232.1500000000001</v>
      </c>
      <c r="Y116" s="1">
        <f t="shared" si="14"/>
        <v>-1.0281537411141017E-2</v>
      </c>
      <c r="Z116" s="1"/>
      <c r="AA116" s="1"/>
      <c r="AB116" s="1"/>
      <c r="AC116" s="1"/>
      <c r="AD116" s="1"/>
      <c r="AE116" s="1"/>
      <c r="AF116" s="1"/>
    </row>
    <row r="117" spans="1:32">
      <c r="A117" s="8">
        <v>45464</v>
      </c>
      <c r="B117" s="3">
        <v>1467.25</v>
      </c>
      <c r="C117" s="16">
        <f t="shared" si="10"/>
        <v>-2.5492861998640537E-3</v>
      </c>
      <c r="D117" s="1">
        <v>23501.1</v>
      </c>
      <c r="E117" s="17">
        <v>-2.8E-3</v>
      </c>
      <c r="F117" s="3">
        <v>19528.400000000001</v>
      </c>
      <c r="G117" s="16">
        <f t="shared" si="11"/>
        <v>8.2700067593854953E-4</v>
      </c>
      <c r="H117" s="1"/>
      <c r="I117" s="1"/>
      <c r="L117" s="120"/>
      <c r="S117" s="8">
        <v>45471</v>
      </c>
      <c r="T117" s="3">
        <v>1520.85</v>
      </c>
      <c r="U117" s="3">
        <f t="shared" si="12"/>
        <v>3.0338004946413033E-3</v>
      </c>
      <c r="V117" s="1"/>
      <c r="W117" s="8">
        <v>45279</v>
      </c>
      <c r="X117" s="3">
        <v>1244.95</v>
      </c>
      <c r="Y117" s="1">
        <f t="shared" si="14"/>
        <v>-6.2263021353022863E-3</v>
      </c>
      <c r="Z117" s="1"/>
      <c r="AA117" s="1"/>
      <c r="AB117" s="1"/>
      <c r="AC117" s="1"/>
      <c r="AD117" s="1"/>
      <c r="AE117" s="1"/>
      <c r="AF117" s="1"/>
    </row>
    <row r="118" spans="1:32">
      <c r="A118" s="8">
        <v>45463</v>
      </c>
      <c r="B118" s="3">
        <v>1471</v>
      </c>
      <c r="C118" s="16">
        <f t="shared" si="10"/>
        <v>-2.1941489361702149E-2</v>
      </c>
      <c r="D118" s="1">
        <v>23567</v>
      </c>
      <c r="E118" s="17">
        <v>2.1689999999999999E-3</v>
      </c>
      <c r="F118" s="3">
        <v>19544.55</v>
      </c>
      <c r="G118" s="16">
        <f t="shared" si="11"/>
        <v>5.1139575994332276E-3</v>
      </c>
      <c r="H118" s="1"/>
      <c r="I118" s="1"/>
      <c r="L118" s="120"/>
      <c r="S118" s="8">
        <v>45470</v>
      </c>
      <c r="T118" s="3">
        <v>1516.25</v>
      </c>
      <c r="U118" s="3">
        <f t="shared" si="12"/>
        <v>-3.2212470827992501E-3</v>
      </c>
      <c r="V118" s="1"/>
      <c r="W118" s="8">
        <v>45278</v>
      </c>
      <c r="X118" s="3">
        <v>1252.75</v>
      </c>
      <c r="Y118" s="1">
        <f t="shared" si="14"/>
        <v>1.3756827837345664E-2</v>
      </c>
      <c r="Z118" s="1"/>
      <c r="AA118" s="1"/>
      <c r="AB118" s="1"/>
      <c r="AC118" s="1"/>
      <c r="AD118" s="1"/>
      <c r="AE118" s="1"/>
      <c r="AF118" s="1"/>
    </row>
    <row r="119" spans="1:32">
      <c r="A119" s="8">
        <v>45462</v>
      </c>
      <c r="B119" s="3">
        <v>1504</v>
      </c>
      <c r="C119" s="16">
        <f t="shared" si="10"/>
        <v>-1.1144350570367223E-2</v>
      </c>
      <c r="D119" s="1">
        <v>23516</v>
      </c>
      <c r="E119" s="17">
        <v>-1.7799999999999999E-3</v>
      </c>
      <c r="F119" s="3">
        <v>19644.5</v>
      </c>
      <c r="G119" s="16">
        <f t="shared" si="11"/>
        <v>9.2723154063478752E-3</v>
      </c>
      <c r="H119" s="1"/>
      <c r="I119" s="1"/>
      <c r="L119" s="120"/>
      <c r="S119" s="8">
        <v>45469</v>
      </c>
      <c r="T119" s="3">
        <v>1521.15</v>
      </c>
      <c r="U119" s="3">
        <f t="shared" si="12"/>
        <v>1.0596598458676665E-2</v>
      </c>
      <c r="V119" s="1"/>
      <c r="W119" s="8">
        <v>45275</v>
      </c>
      <c r="X119" s="3">
        <v>1235.75</v>
      </c>
      <c r="Y119" s="1">
        <f t="shared" si="14"/>
        <v>3.6140664338504269E-3</v>
      </c>
      <c r="Z119" s="1"/>
      <c r="AA119" s="1"/>
      <c r="AB119" s="1"/>
      <c r="AC119" s="1"/>
      <c r="AD119" s="1"/>
      <c r="AE119" s="1"/>
      <c r="AF119" s="1"/>
    </row>
    <row r="120" spans="1:32">
      <c r="A120" s="8">
        <v>45461</v>
      </c>
      <c r="B120" s="3">
        <v>1520.95</v>
      </c>
      <c r="C120" s="16">
        <f t="shared" si="10"/>
        <v>3.2651715039577756E-3</v>
      </c>
      <c r="D120" s="1">
        <v>23557.9</v>
      </c>
      <c r="E120" s="17">
        <v>3.9329999999999999E-3</v>
      </c>
      <c r="F120" s="3">
        <v>19826.650000000001</v>
      </c>
      <c r="G120" s="16">
        <f t="shared" si="11"/>
        <v>3.4801643242807767E-3</v>
      </c>
      <c r="H120" s="1"/>
      <c r="I120" s="1"/>
      <c r="L120" s="120"/>
      <c r="S120" s="8">
        <v>45468</v>
      </c>
      <c r="T120" s="3">
        <v>1505.2</v>
      </c>
      <c r="U120" s="3">
        <f t="shared" si="12"/>
        <v>7.1595851455337201E-3</v>
      </c>
      <c r="V120" s="1"/>
      <c r="W120" s="8">
        <v>45274</v>
      </c>
      <c r="X120" s="3">
        <v>1231.3</v>
      </c>
      <c r="Y120" s="1">
        <f t="shared" si="14"/>
        <v>-1.4597356256588201E-3</v>
      </c>
      <c r="Z120" s="1"/>
      <c r="AA120" s="1"/>
      <c r="AB120" s="1"/>
      <c r="AC120" s="1"/>
      <c r="AD120" s="1"/>
      <c r="AE120" s="1"/>
      <c r="AF120" s="1"/>
    </row>
    <row r="121" spans="1:32">
      <c r="A121" s="8">
        <v>45457</v>
      </c>
      <c r="B121" s="3">
        <v>1516</v>
      </c>
      <c r="C121" s="16">
        <f t="shared" si="10"/>
        <v>3.4418850939899048E-3</v>
      </c>
      <c r="D121" s="1">
        <v>23465.599999999999</v>
      </c>
      <c r="E121" s="17">
        <v>2.8509999999999998E-3</v>
      </c>
      <c r="F121" s="3">
        <v>19895.650000000001</v>
      </c>
      <c r="G121" s="16">
        <f t="shared" si="11"/>
        <v>-2.8724872019764147E-3</v>
      </c>
      <c r="H121" s="1"/>
      <c r="I121" s="1"/>
      <c r="L121" s="120"/>
      <c r="S121" s="8">
        <v>45467</v>
      </c>
      <c r="T121" s="3">
        <v>1494.5</v>
      </c>
      <c r="U121" s="3">
        <f t="shared" si="12"/>
        <v>1.8572158800477023E-2</v>
      </c>
      <c r="V121" s="1"/>
      <c r="W121" s="8">
        <v>45273</v>
      </c>
      <c r="X121" s="3">
        <v>1233.0999999999999</v>
      </c>
      <c r="Y121" s="1">
        <f t="shared" si="14"/>
        <v>1.2397372742200208E-2</v>
      </c>
      <c r="Z121" s="1"/>
      <c r="AA121" s="1"/>
      <c r="AB121" s="1"/>
      <c r="AC121" s="1"/>
      <c r="AD121" s="1"/>
      <c r="AE121" s="1"/>
      <c r="AF121" s="1"/>
    </row>
    <row r="122" spans="1:32">
      <c r="A122" s="8">
        <v>45456</v>
      </c>
      <c r="B122" s="3">
        <v>1510.8</v>
      </c>
      <c r="C122" s="16">
        <f t="shared" si="10"/>
        <v>2.6213624448352402E-3</v>
      </c>
      <c r="D122" s="1">
        <v>23398.9</v>
      </c>
      <c r="E122" s="17">
        <v>3.2560000000000002E-3</v>
      </c>
      <c r="F122" s="3">
        <v>19838.5</v>
      </c>
      <c r="G122" s="16">
        <f t="shared" si="11"/>
        <v>-5.0104594601406705E-3</v>
      </c>
      <c r="H122" s="1"/>
      <c r="I122" s="1"/>
      <c r="L122" s="120"/>
      <c r="S122" s="8">
        <v>45464</v>
      </c>
      <c r="T122" s="3">
        <v>1467.25</v>
      </c>
      <c r="U122" s="3">
        <f t="shared" si="12"/>
        <v>-2.5492861998640537E-3</v>
      </c>
      <c r="V122" s="1"/>
      <c r="W122" s="8">
        <v>45272</v>
      </c>
      <c r="X122" s="3">
        <v>1218</v>
      </c>
      <c r="Y122" s="1">
        <f t="shared" si="14"/>
        <v>-1.8849685838569386E-2</v>
      </c>
      <c r="Z122" s="1"/>
      <c r="AA122" s="1"/>
      <c r="AB122" s="1"/>
      <c r="AC122" s="1"/>
      <c r="AD122" s="1"/>
      <c r="AE122" s="1"/>
      <c r="AF122" s="1"/>
    </row>
    <row r="123" spans="1:32">
      <c r="A123" s="8">
        <v>45455</v>
      </c>
      <c r="B123" s="3">
        <v>1506.85</v>
      </c>
      <c r="C123" s="16">
        <f t="shared" si="10"/>
        <v>4.7341223537256116E-3</v>
      </c>
      <c r="D123" s="1">
        <v>23322.95</v>
      </c>
      <c r="E123" s="17">
        <v>2.4970000000000001E-3</v>
      </c>
      <c r="F123" s="3">
        <v>19739.099999999999</v>
      </c>
      <c r="G123" s="16">
        <f t="shared" si="11"/>
        <v>-2.50264703051295E-3</v>
      </c>
      <c r="H123" s="1"/>
      <c r="I123" s="1"/>
      <c r="L123" s="120"/>
      <c r="S123" s="8">
        <v>45463</v>
      </c>
      <c r="T123" s="3">
        <v>1471</v>
      </c>
      <c r="U123" s="3">
        <f t="shared" si="12"/>
        <v>-2.1941489361702149E-2</v>
      </c>
      <c r="V123" s="1"/>
      <c r="W123" s="8">
        <v>45271</v>
      </c>
      <c r="X123" s="3">
        <v>1241.4000000000001</v>
      </c>
      <c r="Y123" s="1">
        <f t="shared" si="14"/>
        <v>4.5314775853699807E-3</v>
      </c>
      <c r="Z123" s="1"/>
      <c r="AA123" s="1"/>
      <c r="AB123" s="1"/>
      <c r="AC123" s="1"/>
      <c r="AD123" s="1"/>
      <c r="AE123" s="1"/>
      <c r="AF123" s="1"/>
    </row>
    <row r="124" spans="1:32">
      <c r="A124" s="8">
        <v>45454</v>
      </c>
      <c r="B124" s="3">
        <v>1499.75</v>
      </c>
      <c r="C124" s="16">
        <f t="shared" si="10"/>
        <v>-8.8229462692485106E-3</v>
      </c>
      <c r="D124" s="1">
        <v>23264.85</v>
      </c>
      <c r="E124" s="17">
        <v>2.43E-4</v>
      </c>
      <c r="F124" s="3">
        <v>19689.7</v>
      </c>
      <c r="G124" s="16">
        <f t="shared" si="11"/>
        <v>4.3169779123095608E-3</v>
      </c>
      <c r="H124" s="1"/>
      <c r="I124" s="1"/>
      <c r="L124" s="120"/>
      <c r="S124" s="8">
        <v>45462</v>
      </c>
      <c r="T124" s="3">
        <v>1504</v>
      </c>
      <c r="U124" s="3">
        <f t="shared" si="12"/>
        <v>-1.1144350570367223E-2</v>
      </c>
      <c r="V124" s="1"/>
      <c r="W124" s="8">
        <v>45268</v>
      </c>
      <c r="X124" s="3">
        <v>1235.8</v>
      </c>
      <c r="Y124" s="1">
        <f t="shared" si="14"/>
        <v>-2.8241749374646741E-3</v>
      </c>
      <c r="Z124" s="1"/>
      <c r="AA124" s="1"/>
      <c r="AB124" s="1"/>
      <c r="AC124" s="1"/>
      <c r="AD124" s="1"/>
      <c r="AE124" s="1"/>
      <c r="AF124" s="1"/>
    </row>
    <row r="125" spans="1:32">
      <c r="A125" s="8">
        <v>45453</v>
      </c>
      <c r="B125" s="3">
        <v>1513.1</v>
      </c>
      <c r="C125" s="16">
        <f t="shared" si="10"/>
        <v>4.147725387397605E-3</v>
      </c>
      <c r="D125" s="1">
        <v>23259.200000000001</v>
      </c>
      <c r="E125" s="17">
        <v>-1.33E-3</v>
      </c>
      <c r="F125" s="3">
        <v>19774.7</v>
      </c>
      <c r="G125" s="16">
        <f t="shared" si="11"/>
        <v>-9.9470535583346953E-3</v>
      </c>
      <c r="H125" s="1"/>
      <c r="I125" s="1"/>
      <c r="L125" s="120"/>
      <c r="S125" s="8">
        <v>45461</v>
      </c>
      <c r="T125" s="3">
        <v>1520.95</v>
      </c>
      <c r="U125" s="3">
        <f t="shared" si="12"/>
        <v>3.2651715039577756E-3</v>
      </c>
      <c r="V125" s="1"/>
      <c r="W125" s="8">
        <v>45267</v>
      </c>
      <c r="X125" s="3">
        <v>1239.3</v>
      </c>
      <c r="Y125" s="1">
        <f t="shared" si="14"/>
        <v>-8.4653525214650749E-4</v>
      </c>
      <c r="Z125" s="1"/>
      <c r="AA125" s="1"/>
      <c r="AB125" s="1"/>
      <c r="AC125" s="1"/>
      <c r="AD125" s="1"/>
      <c r="AE125" s="1"/>
      <c r="AF125" s="1"/>
    </row>
    <row r="126" spans="1:32">
      <c r="A126" s="8">
        <v>45450</v>
      </c>
      <c r="B126" s="3">
        <v>1506.85</v>
      </c>
      <c r="C126" s="16">
        <f t="shared" si="10"/>
        <v>2.3188701025327552E-2</v>
      </c>
      <c r="D126" s="1">
        <v>23290.15</v>
      </c>
      <c r="E126" s="17">
        <v>2.0539999999999999E-2</v>
      </c>
      <c r="F126" s="3">
        <v>19578</v>
      </c>
      <c r="G126" s="16">
        <f t="shared" si="11"/>
        <v>-1.7667790376953763E-2</v>
      </c>
      <c r="H126" s="1"/>
      <c r="I126" s="1"/>
      <c r="L126" s="120"/>
      <c r="S126" s="8">
        <v>45457</v>
      </c>
      <c r="T126" s="3">
        <v>1516</v>
      </c>
      <c r="U126" s="3">
        <f t="shared" si="12"/>
        <v>3.4418850939899048E-3</v>
      </c>
      <c r="V126" s="1"/>
      <c r="W126" s="8">
        <v>45266</v>
      </c>
      <c r="X126" s="3">
        <v>1240.3499999999999</v>
      </c>
      <c r="Y126" s="1">
        <f t="shared" si="14"/>
        <v>6.4539550643383237E-4</v>
      </c>
      <c r="Z126" s="1"/>
      <c r="AA126" s="1"/>
      <c r="AB126" s="1"/>
      <c r="AC126" s="1"/>
      <c r="AD126" s="1"/>
      <c r="AE126" s="1"/>
      <c r="AF126" s="1"/>
    </row>
    <row r="127" spans="1:32">
      <c r="A127" s="8">
        <v>45449</v>
      </c>
      <c r="B127" s="3">
        <v>1472.7</v>
      </c>
      <c r="C127" s="16">
        <f t="shared" si="10"/>
        <v>-9.8164459086935718E-3</v>
      </c>
      <c r="D127" s="1">
        <v>22821.4</v>
      </c>
      <c r="E127" s="17">
        <v>8.8880000000000001E-3</v>
      </c>
      <c r="F127" s="3">
        <v>19232.099999999999</v>
      </c>
      <c r="G127" s="16">
        <f t="shared" si="11"/>
        <v>2.5556231508780947E-3</v>
      </c>
      <c r="H127" s="1"/>
      <c r="I127" s="1"/>
      <c r="L127" s="120"/>
      <c r="S127" s="8">
        <v>45456</v>
      </c>
      <c r="T127" s="3">
        <v>1510.8</v>
      </c>
      <c r="U127" s="3">
        <f t="shared" si="12"/>
        <v>2.6213624448352402E-3</v>
      </c>
      <c r="V127" s="1"/>
      <c r="W127" s="8">
        <v>45265</v>
      </c>
      <c r="X127" s="3">
        <v>1239.55</v>
      </c>
      <c r="Y127" s="1">
        <f t="shared" si="14"/>
        <v>6.8228891686632487E-3</v>
      </c>
      <c r="Z127" s="1"/>
      <c r="AA127" s="1"/>
      <c r="AB127" s="1"/>
      <c r="AC127" s="1"/>
      <c r="AD127" s="1"/>
      <c r="AE127" s="1"/>
      <c r="AF127" s="1"/>
    </row>
    <row r="128" spans="1:32">
      <c r="A128" s="8">
        <v>45448</v>
      </c>
      <c r="B128" s="3">
        <v>1487.3</v>
      </c>
      <c r="C128" s="16">
        <f t="shared" si="10"/>
        <v>4.017903975941528E-2</v>
      </c>
      <c r="D128" s="1">
        <v>22620.35</v>
      </c>
      <c r="E128" s="17">
        <v>3.3624000000000001E-2</v>
      </c>
      <c r="F128" s="3">
        <v>19281.25</v>
      </c>
      <c r="G128" s="16">
        <f t="shared" si="11"/>
        <v>-3.5168881685575304E-2</v>
      </c>
      <c r="H128" s="1"/>
      <c r="I128" s="1"/>
      <c r="L128" s="120"/>
      <c r="S128" s="8">
        <v>45455</v>
      </c>
      <c r="T128" s="3">
        <v>1506.85</v>
      </c>
      <c r="U128" s="3">
        <f t="shared" si="12"/>
        <v>4.7341223537256116E-3</v>
      </c>
      <c r="V128" s="1"/>
      <c r="W128" s="8">
        <v>45264</v>
      </c>
      <c r="X128" s="3">
        <v>1231.1500000000001</v>
      </c>
      <c r="Y128" s="1">
        <f t="shared" si="14"/>
        <v>-8.1218274111560795E-5</v>
      </c>
      <c r="Z128" s="1"/>
      <c r="AA128" s="1"/>
      <c r="AB128" s="1"/>
      <c r="AC128" s="1"/>
      <c r="AD128" s="1"/>
      <c r="AE128" s="1"/>
      <c r="AF128" s="1"/>
    </row>
    <row r="129" spans="1:32">
      <c r="A129" s="8">
        <v>45447</v>
      </c>
      <c r="B129" s="3">
        <v>1429.85</v>
      </c>
      <c r="C129" s="16">
        <f t="shared" si="10"/>
        <v>-1.5966415470906048E-2</v>
      </c>
      <c r="D129" s="1">
        <v>21884.5</v>
      </c>
      <c r="E129" s="17">
        <v>-5.9290000000000002E-2</v>
      </c>
      <c r="F129" s="3">
        <v>18603.150000000001</v>
      </c>
      <c r="G129" s="16">
        <f t="shared" si="11"/>
        <v>1.4029882036106889E-2</v>
      </c>
      <c r="H129" s="1"/>
      <c r="I129" s="1"/>
      <c r="L129" s="120"/>
      <c r="S129" s="8">
        <v>45454</v>
      </c>
      <c r="T129" s="3">
        <v>1499.75</v>
      </c>
      <c r="U129" s="3">
        <f t="shared" si="12"/>
        <v>-8.8229462692485106E-3</v>
      </c>
      <c r="V129" s="1"/>
      <c r="W129" s="8">
        <v>45261</v>
      </c>
      <c r="X129" s="3">
        <v>1231.25</v>
      </c>
      <c r="Y129" s="1">
        <f t="shared" si="14"/>
        <v>4.4051066606844991E-3</v>
      </c>
      <c r="Z129" s="1"/>
      <c r="AA129" s="1"/>
      <c r="AB129" s="1"/>
      <c r="AC129" s="1"/>
      <c r="AD129" s="1"/>
      <c r="AE129" s="1"/>
      <c r="AF129" s="1"/>
    </row>
    <row r="130" spans="1:32">
      <c r="A130" s="8">
        <v>45446</v>
      </c>
      <c r="B130" s="3">
        <v>1453.05</v>
      </c>
      <c r="C130" s="16">
        <f t="shared" si="10"/>
        <v>-4.6239210850801404E-3</v>
      </c>
      <c r="D130" s="1">
        <v>23263.9</v>
      </c>
      <c r="E130" s="17">
        <v>3.2542000000000001E-2</v>
      </c>
      <c r="F130" s="3">
        <v>18864.150000000001</v>
      </c>
      <c r="G130" s="16">
        <f t="shared" si="11"/>
        <v>-3.5967695337453254E-3</v>
      </c>
      <c r="H130" s="1"/>
      <c r="I130" s="1"/>
      <c r="L130" s="120"/>
      <c r="S130" s="8">
        <v>45453</v>
      </c>
      <c r="T130" s="3">
        <v>1513.1</v>
      </c>
      <c r="U130" s="3">
        <f t="shared" si="12"/>
        <v>4.147725387397605E-3</v>
      </c>
      <c r="V130" s="1"/>
      <c r="W130" s="8">
        <v>45260</v>
      </c>
      <c r="X130" s="3">
        <v>1225.8499999999999</v>
      </c>
      <c r="Y130" s="1">
        <f t="shared" si="14"/>
        <v>1.9672267509565744E-2</v>
      </c>
      <c r="Z130" s="1"/>
      <c r="AA130" s="1"/>
      <c r="AB130" s="1"/>
      <c r="AC130" s="1"/>
      <c r="AD130" s="1"/>
      <c r="AE130" s="1"/>
      <c r="AF130" s="1"/>
    </row>
    <row r="131" spans="1:32">
      <c r="A131" s="8">
        <v>45443</v>
      </c>
      <c r="B131" s="3">
        <v>1459.8</v>
      </c>
      <c r="C131" s="16">
        <f t="shared" si="10"/>
        <v>4.7974778973336463E-4</v>
      </c>
      <c r="D131" s="1">
        <v>22530.7</v>
      </c>
      <c r="E131" s="17">
        <v>1.8699999999999999E-3</v>
      </c>
      <c r="F131" s="3">
        <v>18796.3</v>
      </c>
      <c r="G131" s="16">
        <f t="shared" si="11"/>
        <v>9.294382405047763E-3</v>
      </c>
      <c r="H131" s="1"/>
      <c r="I131" s="1"/>
      <c r="L131" s="120"/>
      <c r="S131" s="8">
        <v>45450</v>
      </c>
      <c r="T131" s="3">
        <v>1506.85</v>
      </c>
      <c r="U131" s="3">
        <f t="shared" si="12"/>
        <v>2.3188701025327552E-2</v>
      </c>
      <c r="V131" s="1"/>
      <c r="W131" s="8">
        <v>45259</v>
      </c>
      <c r="X131" s="3">
        <v>1202.2</v>
      </c>
      <c r="Y131" s="1">
        <f t="shared" si="14"/>
        <v>9.107315230620916E-3</v>
      </c>
      <c r="Z131" s="1"/>
      <c r="AA131" s="1"/>
      <c r="AB131" s="1"/>
      <c r="AC131" s="1"/>
      <c r="AD131" s="1"/>
      <c r="AE131" s="1"/>
      <c r="AF131" s="1"/>
    </row>
    <row r="132" spans="1:32">
      <c r="A132" s="8">
        <v>45442</v>
      </c>
      <c r="B132" s="3">
        <v>1459.1</v>
      </c>
      <c r="C132" s="16">
        <f t="shared" si="10"/>
        <v>-1.3421684303052905E-2</v>
      </c>
      <c r="D132" s="1">
        <v>22488.65</v>
      </c>
      <c r="E132" s="17">
        <v>-9.5200000000000007E-3</v>
      </c>
      <c r="F132" s="3">
        <v>18971</v>
      </c>
      <c r="G132" s="16">
        <f t="shared" si="11"/>
        <v>1.8467661167044458E-2</v>
      </c>
      <c r="H132" s="1"/>
      <c r="I132" s="1"/>
      <c r="L132" s="120"/>
      <c r="S132" s="8">
        <v>45449</v>
      </c>
      <c r="T132" s="3">
        <v>1472.7</v>
      </c>
      <c r="U132" s="3">
        <f t="shared" si="12"/>
        <v>-9.8164459086935718E-3</v>
      </c>
      <c r="V132" s="1"/>
      <c r="W132" s="18">
        <v>45258</v>
      </c>
      <c r="X132" s="24">
        <v>1191.3499999999999</v>
      </c>
      <c r="Y132" s="1">
        <f t="shared" si="14"/>
        <v>-3.4296708352504757E-3</v>
      </c>
      <c r="Z132" s="1"/>
      <c r="AA132" s="1"/>
      <c r="AB132" s="1"/>
      <c r="AC132" s="1"/>
      <c r="AD132" s="1"/>
      <c r="AE132" s="1"/>
      <c r="AF132" s="1"/>
    </row>
    <row r="133" spans="1:32">
      <c r="A133" s="8">
        <v>45441</v>
      </c>
      <c r="B133" s="3">
        <v>1478.95</v>
      </c>
      <c r="C133" s="16">
        <f t="shared" si="10"/>
        <v>9.5910983684892592E-3</v>
      </c>
      <c r="D133" s="1">
        <v>22704.7</v>
      </c>
      <c r="E133" s="17">
        <v>-8.0199999999999994E-3</v>
      </c>
      <c r="F133" s="3">
        <v>19321.349999999999</v>
      </c>
      <c r="G133" s="16">
        <f t="shared" si="11"/>
        <v>-5.4654566062929399E-3</v>
      </c>
      <c r="H133" s="1"/>
      <c r="I133" s="1"/>
      <c r="L133" s="120"/>
      <c r="S133" s="8">
        <v>45448</v>
      </c>
      <c r="T133" s="3">
        <v>1487.3</v>
      </c>
      <c r="U133" s="3">
        <f t="shared" si="12"/>
        <v>4.017903975941528E-2</v>
      </c>
      <c r="V133" s="1"/>
      <c r="W133" s="8">
        <v>45254</v>
      </c>
      <c r="X133" s="3">
        <v>1195.45</v>
      </c>
      <c r="Y133" s="1">
        <f t="shared" si="14"/>
        <v>-2.7944611277943565E-3</v>
      </c>
      <c r="Z133" s="1"/>
      <c r="AA133" s="1"/>
      <c r="AB133" s="1"/>
      <c r="AC133" s="1"/>
      <c r="AD133" s="1"/>
      <c r="AE133" s="1"/>
      <c r="AF133" s="1"/>
    </row>
    <row r="134" spans="1:32">
      <c r="A134" s="8">
        <v>45440</v>
      </c>
      <c r="B134" s="3">
        <v>1464.9</v>
      </c>
      <c r="C134" s="16">
        <f t="shared" si="10"/>
        <v>-7.8442072234907734E-4</v>
      </c>
      <c r="D134" s="1">
        <v>22888.15</v>
      </c>
      <c r="E134" s="17">
        <v>-1.9300000000000001E-3</v>
      </c>
      <c r="F134" s="3">
        <v>19215.75</v>
      </c>
      <c r="G134" s="16">
        <f t="shared" si="11"/>
        <v>-5.4018188204987272E-3</v>
      </c>
      <c r="H134" s="1"/>
      <c r="I134" s="1"/>
      <c r="L134" s="120"/>
      <c r="S134" s="8">
        <v>45447</v>
      </c>
      <c r="T134" s="3">
        <v>1429.85</v>
      </c>
      <c r="U134" s="3">
        <f t="shared" si="12"/>
        <v>-1.5966415470906048E-2</v>
      </c>
      <c r="V134" s="1"/>
      <c r="W134" s="8">
        <v>45253</v>
      </c>
      <c r="X134" s="3">
        <v>1198.8</v>
      </c>
      <c r="Y134" s="1">
        <f t="shared" si="14"/>
        <v>-4.4016277717797703E-3</v>
      </c>
      <c r="Z134" s="1"/>
      <c r="AA134" s="1"/>
      <c r="AB134" s="1"/>
      <c r="AC134" s="1"/>
      <c r="AD134" s="1"/>
      <c r="AE134" s="1"/>
      <c r="AF134" s="1"/>
    </row>
    <row r="135" spans="1:32">
      <c r="A135" s="8">
        <v>45439</v>
      </c>
      <c r="B135" s="3">
        <v>1466.05</v>
      </c>
      <c r="C135" s="16">
        <f t="shared" si="10"/>
        <v>-1.3889823098136911E-2</v>
      </c>
      <c r="D135" s="1">
        <v>22932.45</v>
      </c>
      <c r="E135" s="17">
        <v>-1.07E-3</v>
      </c>
      <c r="F135" s="3">
        <v>19111.95</v>
      </c>
      <c r="G135" s="16">
        <f t="shared" si="11"/>
        <v>3.9504079908114775E-4</v>
      </c>
      <c r="H135" s="1"/>
      <c r="I135" s="1"/>
      <c r="L135" s="120"/>
      <c r="S135" s="8">
        <v>45446</v>
      </c>
      <c r="T135" s="3">
        <v>1453.05</v>
      </c>
      <c r="U135" s="3">
        <f t="shared" si="12"/>
        <v>-4.6239210850801404E-3</v>
      </c>
      <c r="V135" s="1"/>
      <c r="W135" s="8">
        <v>45252</v>
      </c>
      <c r="X135" s="3">
        <v>1204.0999999999999</v>
      </c>
      <c r="Y135" s="1">
        <f t="shared" si="14"/>
        <v>2.2473780589311598E-3</v>
      </c>
      <c r="Z135" s="1"/>
      <c r="AA135" s="1"/>
      <c r="AB135" s="1"/>
      <c r="AC135" s="1"/>
      <c r="AD135" s="1"/>
      <c r="AE135" s="1"/>
      <c r="AF135" s="1"/>
    </row>
    <row r="136" spans="1:32">
      <c r="A136" s="8">
        <v>45436</v>
      </c>
      <c r="B136" s="3">
        <v>1486.7</v>
      </c>
      <c r="C136" s="16">
        <f t="shared" si="10"/>
        <v>-5.6183532874054531E-3</v>
      </c>
      <c r="D136" s="1">
        <v>22957.1</v>
      </c>
      <c r="E136" s="17">
        <v>-4.6000000000000001E-4</v>
      </c>
      <c r="F136" s="3">
        <v>19119.5</v>
      </c>
      <c r="G136" s="16">
        <f t="shared" si="11"/>
        <v>5.0655090352780263E-3</v>
      </c>
      <c r="H136" s="1"/>
      <c r="I136" s="1"/>
      <c r="L136" s="120"/>
      <c r="S136" s="8">
        <v>45443</v>
      </c>
      <c r="T136" s="3">
        <v>1459.8</v>
      </c>
      <c r="U136" s="3">
        <f t="shared" si="12"/>
        <v>4.7974778973336463E-4</v>
      </c>
      <c r="V136" s="1"/>
      <c r="W136" s="8">
        <v>45251</v>
      </c>
      <c r="X136" s="3">
        <v>1201.4000000000001</v>
      </c>
      <c r="Y136" s="1">
        <f t="shared" si="14"/>
        <v>1.1279461279461334E-2</v>
      </c>
      <c r="Z136" s="1"/>
      <c r="AA136" s="1"/>
      <c r="AB136" s="1"/>
      <c r="AC136" s="1"/>
      <c r="AD136" s="1"/>
      <c r="AE136" s="1"/>
      <c r="AF136" s="1"/>
    </row>
    <row r="137" spans="1:32">
      <c r="A137" s="8">
        <v>45435</v>
      </c>
      <c r="B137" s="3">
        <v>1495.1</v>
      </c>
      <c r="C137" s="16">
        <f t="shared" ref="C137:C200" si="15">B137/B138-1</f>
        <v>-2.8714350678880063E-2</v>
      </c>
      <c r="D137" s="1">
        <v>22967.65</v>
      </c>
      <c r="E137" s="17">
        <v>1.6367E-2</v>
      </c>
      <c r="F137" s="3">
        <v>19216.349999999999</v>
      </c>
      <c r="G137" s="16">
        <f t="shared" ref="G137:G200" si="16">F138/F137-1</f>
        <v>5.2585428554332569E-3</v>
      </c>
      <c r="H137" s="1"/>
      <c r="I137" s="1"/>
      <c r="L137" s="120"/>
      <c r="S137" s="8">
        <v>45442</v>
      </c>
      <c r="T137" s="3">
        <v>1459.1</v>
      </c>
      <c r="U137" s="3">
        <f t="shared" si="12"/>
        <v>-1.3421684303052905E-2</v>
      </c>
      <c r="V137" s="1"/>
      <c r="W137" s="18">
        <v>45250</v>
      </c>
      <c r="X137" s="24">
        <v>1188</v>
      </c>
      <c r="Y137" s="1" t="e">
        <f t="shared" si="14"/>
        <v>#DIV/0!</v>
      </c>
      <c r="Z137" s="1"/>
      <c r="AA137" s="1"/>
      <c r="AB137" s="1"/>
      <c r="AC137" s="1"/>
      <c r="AD137" s="1"/>
      <c r="AE137" s="1"/>
      <c r="AF137" s="1"/>
    </row>
    <row r="138" spans="1:32">
      <c r="A138" s="8">
        <v>45434</v>
      </c>
      <c r="B138" s="3">
        <v>1539.3</v>
      </c>
      <c r="C138" s="16">
        <f t="shared" si="15"/>
        <v>-1.0707680327071145E-3</v>
      </c>
      <c r="D138" s="1">
        <v>22597.8</v>
      </c>
      <c r="E138" s="17">
        <v>3.052E-3</v>
      </c>
      <c r="F138" s="3">
        <v>19317.400000000001</v>
      </c>
      <c r="G138" s="16">
        <f t="shared" si="16"/>
        <v>-5.8082350626896817E-3</v>
      </c>
      <c r="H138" s="1"/>
      <c r="I138" s="1"/>
      <c r="L138" s="120"/>
      <c r="S138" s="8">
        <v>45441</v>
      </c>
      <c r="T138" s="3">
        <v>1478.95</v>
      </c>
      <c r="U138" s="3">
        <f t="shared" si="12"/>
        <v>9.5910983684892592E-3</v>
      </c>
      <c r="V138" s="1"/>
      <c r="W138" s="1"/>
      <c r="X138" s="1"/>
      <c r="Y138" s="1"/>
      <c r="Z138" s="1"/>
      <c r="AA138" s="1"/>
      <c r="AB138" s="1"/>
      <c r="AC138" s="1"/>
      <c r="AD138" s="1"/>
      <c r="AE138" s="1"/>
      <c r="AF138" s="1"/>
    </row>
    <row r="139" spans="1:32">
      <c r="A139" s="8">
        <v>45433</v>
      </c>
      <c r="B139" s="3">
        <v>1540.95</v>
      </c>
      <c r="C139" s="16">
        <f t="shared" si="15"/>
        <v>5.9076963248252401E-3</v>
      </c>
      <c r="D139" s="1">
        <v>22529.05</v>
      </c>
      <c r="E139" s="17">
        <v>1.2019999999999999E-3</v>
      </c>
      <c r="F139" s="3">
        <v>19205.2</v>
      </c>
      <c r="G139" s="16">
        <f t="shared" si="16"/>
        <v>-5.061129277487364E-3</v>
      </c>
      <c r="H139" s="1"/>
      <c r="I139" s="1"/>
      <c r="L139" s="120"/>
      <c r="S139" s="8">
        <v>45440</v>
      </c>
      <c r="T139" s="3">
        <v>1464.9</v>
      </c>
      <c r="U139" s="3">
        <f t="shared" si="12"/>
        <v>-7.8442072234907734E-4</v>
      </c>
      <c r="V139" s="1"/>
      <c r="W139" s="1"/>
      <c r="X139" s="1"/>
      <c r="Y139" s="1"/>
      <c r="Z139" s="1"/>
      <c r="AA139" s="1"/>
      <c r="AB139" s="1"/>
      <c r="AC139" s="1"/>
      <c r="AD139" s="1"/>
      <c r="AE139" s="1"/>
      <c r="AF139" s="1"/>
    </row>
    <row r="140" spans="1:32">
      <c r="A140" s="8">
        <v>45430</v>
      </c>
      <c r="B140" s="3">
        <v>1531.9</v>
      </c>
      <c r="C140" s="16">
        <f t="shared" si="15"/>
        <v>3.2649862870570701E-4</v>
      </c>
      <c r="D140" s="1">
        <v>22502</v>
      </c>
      <c r="E140" s="17">
        <v>1.598E-3</v>
      </c>
      <c r="F140" s="3">
        <v>19108</v>
      </c>
      <c r="G140" s="16">
        <f t="shared" si="16"/>
        <v>-6.6150303537786392E-3</v>
      </c>
      <c r="H140" s="1"/>
      <c r="I140" s="1"/>
      <c r="L140" s="120"/>
      <c r="S140" s="8">
        <v>45439</v>
      </c>
      <c r="T140" s="3">
        <v>1466.05</v>
      </c>
      <c r="U140" s="3">
        <f t="shared" si="12"/>
        <v>-1.3889823098136911E-2</v>
      </c>
      <c r="V140" s="1"/>
      <c r="W140" s="1"/>
      <c r="X140" s="1"/>
      <c r="Y140" s="1"/>
      <c r="Z140" s="1"/>
      <c r="AA140" s="1"/>
      <c r="AB140" s="1"/>
      <c r="AC140" s="1"/>
      <c r="AD140" s="1"/>
      <c r="AE140" s="1"/>
      <c r="AF140" s="1"/>
    </row>
    <row r="141" spans="1:32">
      <c r="A141" s="8">
        <v>45429</v>
      </c>
      <c r="B141" s="3">
        <v>1531.4</v>
      </c>
      <c r="C141" s="16">
        <f t="shared" si="15"/>
        <v>-3.1894812211156198E-3</v>
      </c>
      <c r="D141" s="1">
        <v>22466.1</v>
      </c>
      <c r="E141" s="17">
        <v>2.7789999999999998E-3</v>
      </c>
      <c r="F141" s="3">
        <v>18981.599999999999</v>
      </c>
      <c r="G141" s="16">
        <f t="shared" si="16"/>
        <v>7.6653179921626347E-4</v>
      </c>
      <c r="H141" s="1"/>
      <c r="I141" s="1"/>
      <c r="L141" s="120"/>
      <c r="S141" s="8">
        <v>45436</v>
      </c>
      <c r="T141" s="3">
        <v>1486.7</v>
      </c>
      <c r="U141" s="3">
        <f t="shared" si="12"/>
        <v>-5.6183532874054531E-3</v>
      </c>
      <c r="V141" s="1"/>
      <c r="W141" s="1"/>
      <c r="X141" s="1"/>
      <c r="Y141" s="1"/>
      <c r="Z141" s="1"/>
      <c r="AA141" s="1"/>
      <c r="AB141" s="1"/>
      <c r="AC141" s="1"/>
      <c r="AD141" s="1"/>
      <c r="AE141" s="1"/>
      <c r="AF141" s="1"/>
    </row>
    <row r="142" spans="1:32">
      <c r="A142" s="8">
        <v>45428</v>
      </c>
      <c r="B142" s="3">
        <v>1536.3</v>
      </c>
      <c r="C142" s="16">
        <f t="shared" si="15"/>
        <v>5.8268953777660393E-3</v>
      </c>
      <c r="D142" s="1">
        <v>22403.85</v>
      </c>
      <c r="E142" s="17">
        <v>9.1570000000000002E-3</v>
      </c>
      <c r="F142" s="3">
        <v>18996.150000000001</v>
      </c>
      <c r="G142" s="16">
        <f t="shared" si="16"/>
        <v>-5.7695901537944128E-3</v>
      </c>
      <c r="H142" s="1"/>
      <c r="I142" s="1"/>
      <c r="L142" s="120"/>
      <c r="S142" s="8">
        <v>45435</v>
      </c>
      <c r="T142" s="3">
        <v>1495.1</v>
      </c>
      <c r="U142" s="3">
        <f t="shared" ref="U142:U205" si="17">T142/T143-1</f>
        <v>-2.8714350678880063E-2</v>
      </c>
      <c r="V142" s="1"/>
      <c r="W142" s="1"/>
      <c r="X142" s="1"/>
      <c r="Y142" s="1"/>
      <c r="Z142" s="1"/>
      <c r="AA142" s="1"/>
      <c r="AB142" s="1"/>
      <c r="AC142" s="1"/>
      <c r="AD142" s="1"/>
      <c r="AE142" s="1"/>
      <c r="AF142" s="1"/>
    </row>
    <row r="143" spans="1:32">
      <c r="A143" s="8">
        <v>45427</v>
      </c>
      <c r="B143" s="3">
        <v>1527.4</v>
      </c>
      <c r="C143" s="16">
        <f t="shared" si="15"/>
        <v>-1.1551528878822159E-2</v>
      </c>
      <c r="D143" s="1">
        <v>22200.55</v>
      </c>
      <c r="E143" s="17">
        <v>-7.7999999999999999E-4</v>
      </c>
      <c r="F143" s="3">
        <v>18886.55</v>
      </c>
      <c r="G143" s="16">
        <f t="shared" si="16"/>
        <v>-1.3607567289950495E-3</v>
      </c>
      <c r="H143" s="1"/>
      <c r="I143" s="1"/>
      <c r="L143" s="120"/>
      <c r="S143" s="8">
        <v>45434</v>
      </c>
      <c r="T143" s="3">
        <v>1539.3</v>
      </c>
      <c r="U143" s="3">
        <f t="shared" si="17"/>
        <v>-1.0707680327071145E-3</v>
      </c>
      <c r="V143" s="1"/>
      <c r="W143" s="1"/>
      <c r="X143" s="1"/>
      <c r="Y143" s="1"/>
      <c r="Z143" s="1"/>
      <c r="AA143" s="1"/>
      <c r="AB143" s="1"/>
      <c r="AC143" s="1"/>
      <c r="AD143" s="1"/>
      <c r="AE143" s="1"/>
      <c r="AF143" s="1"/>
    </row>
    <row r="144" spans="1:32">
      <c r="A144" s="8">
        <v>45426</v>
      </c>
      <c r="B144" s="3">
        <v>1545.25</v>
      </c>
      <c r="C144" s="16">
        <f t="shared" si="15"/>
        <v>1.3245467361725938E-2</v>
      </c>
      <c r="D144" s="1">
        <v>22217.85</v>
      </c>
      <c r="E144" s="17">
        <v>5.1479999999999998E-3</v>
      </c>
      <c r="F144" s="3">
        <v>18860.849999999999</v>
      </c>
      <c r="G144" s="16">
        <f t="shared" si="16"/>
        <v>4.1435036066774789E-3</v>
      </c>
      <c r="H144" s="1"/>
      <c r="I144" s="1"/>
      <c r="L144" s="120"/>
      <c r="S144" s="8">
        <v>45433</v>
      </c>
      <c r="T144" s="3">
        <v>1540.95</v>
      </c>
      <c r="U144" s="3">
        <f t="shared" si="17"/>
        <v>5.9076963248252401E-3</v>
      </c>
      <c r="V144" s="1"/>
      <c r="W144" s="1"/>
      <c r="X144" s="1"/>
      <c r="Y144" s="1"/>
      <c r="Z144" s="1"/>
      <c r="AA144" s="1"/>
      <c r="AB144" s="1"/>
      <c r="AC144" s="1"/>
      <c r="AD144" s="1"/>
      <c r="AE144" s="1"/>
      <c r="AF144" s="1"/>
    </row>
    <row r="145" spans="1:32">
      <c r="A145" s="8">
        <v>45425</v>
      </c>
      <c r="B145" s="3">
        <v>1525.05</v>
      </c>
      <c r="C145" s="16">
        <f t="shared" si="15"/>
        <v>1.2279711924595871E-2</v>
      </c>
      <c r="D145" s="1">
        <v>22104.05</v>
      </c>
      <c r="E145" s="17">
        <v>2.215E-3</v>
      </c>
      <c r="F145" s="3">
        <v>18939</v>
      </c>
      <c r="G145" s="16">
        <f t="shared" si="16"/>
        <v>-1.7400601932520132E-2</v>
      </c>
      <c r="H145" s="1"/>
      <c r="I145" s="1"/>
      <c r="L145" s="120"/>
      <c r="S145" s="8">
        <v>45430</v>
      </c>
      <c r="T145" s="3">
        <v>1531.9</v>
      </c>
      <c r="U145" s="3">
        <f t="shared" si="17"/>
        <v>3.2649862870570701E-4</v>
      </c>
      <c r="V145" s="1"/>
      <c r="W145" s="1"/>
      <c r="X145" s="1"/>
      <c r="Y145" s="1"/>
      <c r="Z145" s="1"/>
      <c r="AA145" s="1"/>
      <c r="AB145" s="1"/>
      <c r="AC145" s="1"/>
      <c r="AD145" s="1"/>
      <c r="AE145" s="1"/>
      <c r="AF145" s="1"/>
    </row>
    <row r="146" spans="1:32">
      <c r="A146" s="8">
        <v>45422</v>
      </c>
      <c r="B146" s="3">
        <v>1506.55</v>
      </c>
      <c r="C146" s="16">
        <f t="shared" si="15"/>
        <v>7.9617301709429267E-3</v>
      </c>
      <c r="D146" s="1">
        <v>22055.200000000001</v>
      </c>
      <c r="E146" s="17">
        <v>4.45E-3</v>
      </c>
      <c r="F146" s="3">
        <v>18609.45</v>
      </c>
      <c r="G146" s="16">
        <f t="shared" si="16"/>
        <v>-9.2641104385138284E-3</v>
      </c>
      <c r="H146" s="1"/>
      <c r="I146" s="1"/>
      <c r="L146" s="120"/>
      <c r="S146" s="8">
        <v>45429</v>
      </c>
      <c r="T146" s="3">
        <v>1531.4</v>
      </c>
      <c r="U146" s="3">
        <f t="shared" si="17"/>
        <v>-3.1894812211156198E-3</v>
      </c>
      <c r="V146" s="1"/>
      <c r="W146" s="1"/>
      <c r="X146" s="1"/>
      <c r="Y146" s="1"/>
      <c r="Z146" s="1"/>
      <c r="AA146" s="1"/>
      <c r="AB146" s="1"/>
      <c r="AC146" s="1"/>
      <c r="AD146" s="1"/>
      <c r="AE146" s="1"/>
      <c r="AF146" s="1"/>
    </row>
    <row r="147" spans="1:32">
      <c r="A147" s="8">
        <v>45421</v>
      </c>
      <c r="B147" s="3">
        <v>1494.65</v>
      </c>
      <c r="C147" s="16">
        <f t="shared" si="15"/>
        <v>-1.780844422539829E-2</v>
      </c>
      <c r="D147" s="1">
        <v>21957.5</v>
      </c>
      <c r="E147" s="17">
        <v>-1.5469999999999999E-2</v>
      </c>
      <c r="F147" s="3">
        <v>18437.05</v>
      </c>
      <c r="G147" s="16">
        <f t="shared" si="16"/>
        <v>2.2443937614748499E-2</v>
      </c>
      <c r="H147" s="1"/>
      <c r="I147" s="1"/>
      <c r="L147" s="120"/>
      <c r="S147" s="8">
        <v>45428</v>
      </c>
      <c r="T147" s="3">
        <v>1536.3</v>
      </c>
      <c r="U147" s="3">
        <f t="shared" si="17"/>
        <v>5.8268953777660393E-3</v>
      </c>
      <c r="V147" s="1"/>
      <c r="W147" s="1"/>
      <c r="X147" s="1"/>
      <c r="Y147" s="1"/>
      <c r="Z147" s="1"/>
      <c r="AA147" s="1"/>
      <c r="AB147" s="1"/>
      <c r="AC147" s="1"/>
      <c r="AD147" s="1"/>
      <c r="AE147" s="1"/>
      <c r="AF147" s="1"/>
    </row>
    <row r="148" spans="1:32">
      <c r="A148" s="8">
        <v>45420</v>
      </c>
      <c r="B148" s="3">
        <v>1521.75</v>
      </c>
      <c r="C148" s="16">
        <f t="shared" si="15"/>
        <v>4.2234467284785193E-3</v>
      </c>
      <c r="D148" s="1">
        <v>22302.5</v>
      </c>
      <c r="E148" s="17">
        <v>0</v>
      </c>
      <c r="F148" s="3">
        <v>18850.849999999999</v>
      </c>
      <c r="G148" s="16">
        <f t="shared" si="16"/>
        <v>-2.4136842635735789E-4</v>
      </c>
      <c r="H148" s="1"/>
      <c r="I148" s="1"/>
      <c r="L148" s="120"/>
      <c r="S148" s="8">
        <v>45427</v>
      </c>
      <c r="T148" s="3">
        <v>1527.4</v>
      </c>
      <c r="U148" s="3">
        <f t="shared" si="17"/>
        <v>-1.1551528878822159E-2</v>
      </c>
      <c r="V148" s="1"/>
      <c r="W148" s="1"/>
      <c r="X148" s="1"/>
      <c r="Y148" s="1"/>
      <c r="Z148" s="1"/>
      <c r="AA148" s="1"/>
      <c r="AB148" s="1"/>
      <c r="AC148" s="1"/>
      <c r="AD148" s="1"/>
      <c r="AE148" s="1"/>
      <c r="AF148" s="1"/>
    </row>
    <row r="149" spans="1:32">
      <c r="A149" s="8">
        <v>45419</v>
      </c>
      <c r="B149" s="3">
        <v>1515.35</v>
      </c>
      <c r="C149" s="16">
        <f t="shared" si="15"/>
        <v>-9.0246215217605341E-3</v>
      </c>
      <c r="D149" s="1">
        <v>22302.5</v>
      </c>
      <c r="E149" s="17">
        <v>-6.2500000000000003E-3</v>
      </c>
      <c r="F149" s="3">
        <v>18846.3</v>
      </c>
      <c r="G149" s="16">
        <f t="shared" si="16"/>
        <v>1.8942710240206218E-2</v>
      </c>
      <c r="H149" s="1"/>
      <c r="I149" s="1"/>
      <c r="L149" s="120"/>
      <c r="S149" s="8">
        <v>45426</v>
      </c>
      <c r="T149" s="3">
        <v>1545.25</v>
      </c>
      <c r="U149" s="3">
        <f t="shared" si="17"/>
        <v>1.3245467361725938E-2</v>
      </c>
      <c r="V149" s="1"/>
      <c r="W149" s="1"/>
      <c r="X149" s="1"/>
      <c r="Y149" s="1"/>
      <c r="Z149" s="1"/>
      <c r="AA149" s="1"/>
      <c r="AB149" s="1"/>
      <c r="AC149" s="1"/>
      <c r="AD149" s="1"/>
      <c r="AE149" s="1"/>
      <c r="AF149" s="1"/>
    </row>
    <row r="150" spans="1:32">
      <c r="A150" s="8">
        <v>45418</v>
      </c>
      <c r="B150" s="3">
        <v>1529.15</v>
      </c>
      <c r="C150" s="16">
        <f t="shared" si="15"/>
        <v>1.1911458161003141E-2</v>
      </c>
      <c r="D150" s="1">
        <v>22442.7</v>
      </c>
      <c r="E150" s="17">
        <v>-1.47E-3</v>
      </c>
      <c r="F150" s="3">
        <v>19203.3</v>
      </c>
      <c r="G150" s="16">
        <f t="shared" si="16"/>
        <v>-3.6399993751072834E-3</v>
      </c>
      <c r="H150" s="1"/>
      <c r="I150" s="1"/>
      <c r="L150" s="120"/>
      <c r="S150" s="8">
        <v>45425</v>
      </c>
      <c r="T150" s="3">
        <v>1525.05</v>
      </c>
      <c r="U150" s="3">
        <f t="shared" si="17"/>
        <v>1.2279711924595871E-2</v>
      </c>
      <c r="V150" s="1"/>
      <c r="W150" s="1"/>
      <c r="X150" s="1"/>
      <c r="Y150" s="1"/>
      <c r="Z150" s="1"/>
      <c r="AA150" s="1"/>
      <c r="AB150" s="1"/>
      <c r="AC150" s="1"/>
      <c r="AD150" s="1"/>
      <c r="AE150" s="1"/>
      <c r="AF150" s="1"/>
    </row>
    <row r="151" spans="1:32">
      <c r="A151" s="8">
        <v>45415</v>
      </c>
      <c r="B151" s="3">
        <v>1511.15</v>
      </c>
      <c r="C151" s="16">
        <f t="shared" si="15"/>
        <v>-5.1678736010533077E-3</v>
      </c>
      <c r="D151" s="1">
        <v>22475.85</v>
      </c>
      <c r="E151" s="17">
        <v>-7.6099999999999996E-3</v>
      </c>
      <c r="F151" s="3">
        <v>19133.400000000001</v>
      </c>
      <c r="G151" s="16">
        <f t="shared" si="16"/>
        <v>-4.6776840498818917E-4</v>
      </c>
      <c r="H151" s="1"/>
      <c r="I151" s="1"/>
      <c r="L151" s="120"/>
      <c r="S151" s="8">
        <v>45422</v>
      </c>
      <c r="T151" s="3">
        <v>1506.55</v>
      </c>
      <c r="U151" s="3">
        <f t="shared" si="17"/>
        <v>7.9617301709429267E-3</v>
      </c>
      <c r="V151" s="1"/>
      <c r="W151" s="1"/>
      <c r="X151" s="1"/>
      <c r="Y151" s="1"/>
      <c r="Z151" s="1"/>
      <c r="AA151" s="1"/>
      <c r="AB151" s="1"/>
      <c r="AC151" s="1"/>
      <c r="AD151" s="1"/>
      <c r="AE151" s="1"/>
      <c r="AF151" s="1"/>
    </row>
    <row r="152" spans="1:32">
      <c r="A152" s="8">
        <v>45414</v>
      </c>
      <c r="B152" s="3">
        <v>1519</v>
      </c>
      <c r="C152" s="16">
        <f t="shared" si="15"/>
        <v>1.1250915385127458E-2</v>
      </c>
      <c r="D152" s="1">
        <v>22648.2</v>
      </c>
      <c r="E152" s="17">
        <v>1.918E-3</v>
      </c>
      <c r="F152" s="3">
        <v>19124.45</v>
      </c>
      <c r="G152" s="16">
        <f t="shared" si="16"/>
        <v>-8.0446757945981107E-3</v>
      </c>
      <c r="H152" s="1"/>
      <c r="I152" s="1"/>
      <c r="L152" s="120"/>
      <c r="S152" s="8">
        <v>45421</v>
      </c>
      <c r="T152" s="3">
        <v>1494.65</v>
      </c>
      <c r="U152" s="3">
        <f t="shared" si="17"/>
        <v>-1.780844422539829E-2</v>
      </c>
      <c r="V152" s="1"/>
      <c r="W152" s="1"/>
      <c r="X152" s="1"/>
      <c r="Y152" s="1"/>
      <c r="Z152" s="1"/>
      <c r="AA152" s="1"/>
      <c r="AB152" s="1"/>
      <c r="AC152" s="1"/>
      <c r="AD152" s="1"/>
      <c r="AE152" s="1"/>
      <c r="AF152" s="1"/>
    </row>
    <row r="153" spans="1:32">
      <c r="A153" s="8">
        <v>45412</v>
      </c>
      <c r="B153" s="3">
        <v>1502.1</v>
      </c>
      <c r="C153" s="16">
        <f t="shared" si="15"/>
        <v>-1.2815457413249187E-2</v>
      </c>
      <c r="D153" s="1">
        <v>22604.85</v>
      </c>
      <c r="E153" s="17">
        <v>-1.6999999999999999E-3</v>
      </c>
      <c r="F153" s="3">
        <v>18970.599999999999</v>
      </c>
      <c r="G153" s="16">
        <f t="shared" si="16"/>
        <v>6.6576702898171192E-3</v>
      </c>
      <c r="H153" s="1"/>
      <c r="I153" s="1"/>
      <c r="L153" s="120"/>
      <c r="S153" s="8">
        <v>45420</v>
      </c>
      <c r="T153" s="3">
        <v>1521.75</v>
      </c>
      <c r="U153" s="3">
        <f t="shared" si="17"/>
        <v>4.2234467284785193E-3</v>
      </c>
      <c r="V153" s="1"/>
      <c r="W153" s="1"/>
      <c r="X153" s="1"/>
      <c r="Y153" s="1"/>
      <c r="Z153" s="1"/>
      <c r="AA153" s="1"/>
      <c r="AB153" s="1"/>
      <c r="AC153" s="1"/>
      <c r="AD153" s="1"/>
      <c r="AE153" s="1"/>
      <c r="AF153" s="1"/>
    </row>
    <row r="154" spans="1:32">
      <c r="A154" s="8">
        <v>45411</v>
      </c>
      <c r="B154" s="3">
        <v>1521.6</v>
      </c>
      <c r="C154" s="16">
        <f t="shared" si="15"/>
        <v>9.9897115927118918E-3</v>
      </c>
      <c r="D154" s="1">
        <v>22643.4</v>
      </c>
      <c r="E154" s="17">
        <v>9.9670000000000002E-3</v>
      </c>
      <c r="F154" s="3">
        <v>19096.900000000001</v>
      </c>
      <c r="G154" s="16">
        <f t="shared" si="16"/>
        <v>-5.3542721593556886E-3</v>
      </c>
      <c r="H154" s="1"/>
      <c r="I154" s="1"/>
      <c r="L154" s="120"/>
      <c r="S154" s="8">
        <v>45419</v>
      </c>
      <c r="T154" s="3">
        <v>1515.35</v>
      </c>
      <c r="U154" s="3">
        <f t="shared" si="17"/>
        <v>-9.0246215217605341E-3</v>
      </c>
      <c r="V154" s="1"/>
      <c r="W154" s="1"/>
      <c r="X154" s="1"/>
      <c r="Y154" s="1"/>
      <c r="Z154" s="1"/>
      <c r="AA154" s="1"/>
      <c r="AB154" s="1"/>
      <c r="AC154" s="1"/>
      <c r="AD154" s="1"/>
      <c r="AE154" s="1"/>
      <c r="AF154" s="1"/>
    </row>
    <row r="155" spans="1:32">
      <c r="A155" s="8">
        <v>45408</v>
      </c>
      <c r="B155" s="3">
        <v>1506.55</v>
      </c>
      <c r="C155" s="16">
        <f t="shared" si="15"/>
        <v>-8.9464855441897528E-3</v>
      </c>
      <c r="D155" s="1">
        <v>22419.95</v>
      </c>
      <c r="E155" s="17">
        <v>-6.6600000000000001E-3</v>
      </c>
      <c r="F155" s="3">
        <v>18994.650000000001</v>
      </c>
      <c r="G155" s="16">
        <f t="shared" si="16"/>
        <v>-6.1333059572037385E-3</v>
      </c>
      <c r="H155" s="1"/>
      <c r="I155" s="1"/>
      <c r="L155" s="120"/>
      <c r="S155" s="8">
        <v>45418</v>
      </c>
      <c r="T155" s="3">
        <v>1529.15</v>
      </c>
      <c r="U155" s="3">
        <f t="shared" si="17"/>
        <v>1.1911458161003141E-2</v>
      </c>
      <c r="V155" s="1"/>
      <c r="W155" s="1"/>
      <c r="X155" s="1"/>
      <c r="Y155" s="1"/>
      <c r="Z155" s="1"/>
      <c r="AA155" s="1"/>
      <c r="AB155" s="1"/>
      <c r="AC155" s="1"/>
      <c r="AD155" s="1"/>
      <c r="AE155" s="1"/>
      <c r="AF155" s="1"/>
    </row>
    <row r="156" spans="1:32">
      <c r="A156" s="8">
        <v>45407</v>
      </c>
      <c r="B156" s="3">
        <v>1520.15</v>
      </c>
      <c r="C156" s="16">
        <f t="shared" si="15"/>
        <v>2.3153289584385117E-2</v>
      </c>
      <c r="D156" s="1">
        <v>22570.35</v>
      </c>
      <c r="E156" s="17">
        <v>7.4970000000000002E-3</v>
      </c>
      <c r="F156" s="3">
        <v>18878.150000000001</v>
      </c>
      <c r="G156" s="16">
        <f t="shared" si="16"/>
        <v>-1.5464968760180442E-2</v>
      </c>
      <c r="H156" s="1"/>
      <c r="I156" s="1"/>
      <c r="L156" s="120"/>
      <c r="S156" s="8">
        <v>45415</v>
      </c>
      <c r="T156" s="3">
        <v>1511.15</v>
      </c>
      <c r="U156" s="3">
        <f t="shared" si="17"/>
        <v>-5.1678736010533077E-3</v>
      </c>
      <c r="V156" s="1"/>
      <c r="W156" s="1"/>
      <c r="X156" s="1"/>
      <c r="Y156" s="1"/>
      <c r="Z156" s="1"/>
      <c r="AA156" s="1"/>
      <c r="AB156" s="1"/>
      <c r="AC156" s="1"/>
      <c r="AD156" s="1"/>
      <c r="AE156" s="1"/>
      <c r="AF156" s="1"/>
    </row>
    <row r="157" spans="1:32">
      <c r="A157" s="8">
        <v>45406</v>
      </c>
      <c r="B157" s="3">
        <v>1485.75</v>
      </c>
      <c r="C157" s="16">
        <f t="shared" si="15"/>
        <v>7.4091536725817697E-4</v>
      </c>
      <c r="D157" s="1">
        <v>22402.400000000001</v>
      </c>
      <c r="E157" s="17">
        <v>1.5380000000000001E-3</v>
      </c>
      <c r="F157" s="3">
        <v>18586.2</v>
      </c>
      <c r="G157" s="16">
        <f t="shared" si="16"/>
        <v>-6.588221368542313E-3</v>
      </c>
      <c r="H157" s="1"/>
      <c r="I157" s="1"/>
      <c r="L157" s="120"/>
      <c r="S157" s="8">
        <v>45414</v>
      </c>
      <c r="T157" s="3">
        <v>1519</v>
      </c>
      <c r="U157" s="3">
        <f t="shared" si="17"/>
        <v>1.1250915385127458E-2</v>
      </c>
      <c r="V157" s="1"/>
      <c r="W157" s="1"/>
      <c r="X157" s="1"/>
      <c r="Y157" s="1"/>
      <c r="Z157" s="1"/>
      <c r="AA157" s="1"/>
      <c r="AB157" s="1"/>
      <c r="AC157" s="1"/>
      <c r="AD157" s="1"/>
      <c r="AE157" s="1"/>
      <c r="AF157" s="1"/>
    </row>
    <row r="158" spans="1:32">
      <c r="A158" s="8">
        <v>45405</v>
      </c>
      <c r="B158" s="3">
        <v>1484.65</v>
      </c>
      <c r="C158" s="16">
        <f t="shared" si="15"/>
        <v>-3.6004155574313246E-2</v>
      </c>
      <c r="D158" s="1">
        <v>22368</v>
      </c>
      <c r="E158" s="17">
        <v>1.415E-3</v>
      </c>
      <c r="F158" s="3">
        <v>18463.75</v>
      </c>
      <c r="G158" s="16">
        <f t="shared" si="16"/>
        <v>9.708212037099706E-3</v>
      </c>
      <c r="H158" s="1"/>
      <c r="I158" s="1"/>
      <c r="L158" s="120"/>
      <c r="S158" s="8">
        <v>45412</v>
      </c>
      <c r="T158" s="3">
        <v>1502.1</v>
      </c>
      <c r="U158" s="3">
        <f t="shared" si="17"/>
        <v>-1.2815457413249187E-2</v>
      </c>
      <c r="V158" s="1"/>
      <c r="W158" s="1"/>
      <c r="X158" s="1"/>
      <c r="Y158" s="1"/>
      <c r="Z158" s="1"/>
      <c r="AA158" s="1"/>
      <c r="AB158" s="1"/>
      <c r="AC158" s="1"/>
      <c r="AD158" s="1"/>
      <c r="AE158" s="1"/>
      <c r="AF158" s="1"/>
    </row>
    <row r="159" spans="1:32">
      <c r="A159" s="8">
        <v>45404</v>
      </c>
      <c r="B159" s="3">
        <v>1540.1</v>
      </c>
      <c r="C159" s="16">
        <f t="shared" si="15"/>
        <v>1.1360651431573388E-2</v>
      </c>
      <c r="D159" s="1">
        <v>22336.400000000001</v>
      </c>
      <c r="E159" s="17">
        <v>8.5520000000000006E-3</v>
      </c>
      <c r="F159" s="3">
        <v>18643</v>
      </c>
      <c r="G159" s="16">
        <f t="shared" si="16"/>
        <v>-1.2787641474011791E-2</v>
      </c>
      <c r="H159" s="1"/>
      <c r="I159" s="1"/>
      <c r="L159" s="120"/>
      <c r="S159" s="8">
        <v>45411</v>
      </c>
      <c r="T159" s="3">
        <v>1521.6</v>
      </c>
      <c r="U159" s="3">
        <f t="shared" si="17"/>
        <v>9.9897115927118918E-3</v>
      </c>
      <c r="V159" s="1"/>
      <c r="W159" s="1"/>
      <c r="X159" s="1"/>
      <c r="Y159" s="1"/>
      <c r="Z159" s="1"/>
      <c r="AA159" s="1"/>
      <c r="AB159" s="1"/>
      <c r="AC159" s="1"/>
      <c r="AD159" s="1"/>
      <c r="AE159" s="1"/>
      <c r="AF159" s="1"/>
    </row>
    <row r="160" spans="1:32">
      <c r="A160" s="8">
        <v>45401</v>
      </c>
      <c r="B160" s="3">
        <v>1522.8</v>
      </c>
      <c r="C160" s="16">
        <f t="shared" si="15"/>
        <v>4.2205222896332106E-3</v>
      </c>
      <c r="D160" s="1">
        <v>22147</v>
      </c>
      <c r="E160" s="17">
        <v>6.8719999999999996E-3</v>
      </c>
      <c r="F160" s="3">
        <v>18404.599999999999</v>
      </c>
      <c r="G160" s="16">
        <f t="shared" si="16"/>
        <v>6.5825934820642473E-3</v>
      </c>
      <c r="H160" s="1"/>
      <c r="I160" s="1"/>
      <c r="L160" s="120"/>
      <c r="S160" s="8">
        <v>45408</v>
      </c>
      <c r="T160" s="3">
        <v>1506.55</v>
      </c>
      <c r="U160" s="3">
        <f t="shared" si="17"/>
        <v>-8.9464855441897528E-3</v>
      </c>
      <c r="V160" s="1"/>
      <c r="W160" s="1"/>
      <c r="X160" s="1"/>
      <c r="Y160" s="1"/>
      <c r="Z160" s="1"/>
      <c r="AA160" s="1"/>
      <c r="AB160" s="1"/>
      <c r="AC160" s="1"/>
      <c r="AD160" s="1"/>
      <c r="AE160" s="1"/>
      <c r="AF160" s="1"/>
    </row>
    <row r="161" spans="1:32">
      <c r="A161" s="8">
        <v>45400</v>
      </c>
      <c r="B161" s="3">
        <v>1516.4</v>
      </c>
      <c r="C161" s="16">
        <f t="shared" si="15"/>
        <v>-1.3755650222756932E-2</v>
      </c>
      <c r="D161" s="1">
        <v>21995.85</v>
      </c>
      <c r="E161" s="17">
        <v>-6.8700000000000002E-3</v>
      </c>
      <c r="F161" s="3">
        <v>18525.75</v>
      </c>
      <c r="G161" s="16">
        <f t="shared" si="16"/>
        <v>9.1683197711291964E-3</v>
      </c>
      <c r="H161" s="1"/>
      <c r="I161" s="1"/>
      <c r="L161" s="120"/>
      <c r="S161" s="8">
        <v>45407</v>
      </c>
      <c r="T161" s="3">
        <v>1520.15</v>
      </c>
      <c r="U161" s="3">
        <f t="shared" si="17"/>
        <v>2.3153289584385117E-2</v>
      </c>
      <c r="V161" s="1"/>
      <c r="W161" s="1"/>
      <c r="X161" s="1"/>
      <c r="Y161" s="1"/>
      <c r="Z161" s="1"/>
      <c r="AA161" s="1"/>
      <c r="AB161" s="1"/>
      <c r="AC161" s="1"/>
      <c r="AD161" s="1"/>
      <c r="AE161" s="1"/>
      <c r="AF161" s="1"/>
    </row>
    <row r="162" spans="1:32">
      <c r="A162" s="8">
        <v>45398</v>
      </c>
      <c r="B162" s="3">
        <v>1537.55</v>
      </c>
      <c r="C162" s="16">
        <f t="shared" si="15"/>
        <v>-1.6233239180546422E-3</v>
      </c>
      <c r="D162" s="1">
        <v>22147.9</v>
      </c>
      <c r="E162" s="17">
        <v>-5.5900000000000004E-3</v>
      </c>
      <c r="F162" s="3">
        <v>18695.599999999999</v>
      </c>
      <c r="G162" s="16">
        <f t="shared" si="16"/>
        <v>-4.1694302402702776E-3</v>
      </c>
      <c r="H162" s="1"/>
      <c r="I162" s="1"/>
      <c r="L162" s="120"/>
      <c r="S162" s="8">
        <v>45406</v>
      </c>
      <c r="T162" s="3">
        <v>1485.75</v>
      </c>
      <c r="U162" s="3">
        <f t="shared" si="17"/>
        <v>7.4091536725817697E-4</v>
      </c>
      <c r="V162" s="1"/>
      <c r="W162" s="1"/>
      <c r="X162" s="1"/>
      <c r="Y162" s="1"/>
      <c r="Z162" s="1"/>
      <c r="AA162" s="1"/>
      <c r="AB162" s="1"/>
      <c r="AC162" s="1"/>
      <c r="AD162" s="1"/>
      <c r="AE162" s="1"/>
      <c r="AF162" s="1"/>
    </row>
    <row r="163" spans="1:32">
      <c r="A163" s="8">
        <v>45397</v>
      </c>
      <c r="B163" s="3">
        <v>1540.05</v>
      </c>
      <c r="C163" s="16">
        <f t="shared" si="15"/>
        <v>3.2467532467439497E-5</v>
      </c>
      <c r="D163" s="1">
        <v>22272.5</v>
      </c>
      <c r="E163" s="17">
        <v>-1.0959999999999999E-2</v>
      </c>
      <c r="F163" s="3">
        <v>18617.650000000001</v>
      </c>
      <c r="G163" s="16">
        <f t="shared" si="16"/>
        <v>9.184832672222365E-3</v>
      </c>
      <c r="H163" s="1"/>
      <c r="I163" s="1"/>
      <c r="L163" s="120"/>
      <c r="S163" s="8">
        <v>45405</v>
      </c>
      <c r="T163" s="3">
        <v>1484.65</v>
      </c>
      <c r="U163" s="3">
        <f t="shared" si="17"/>
        <v>-3.6004155574313246E-2</v>
      </c>
      <c r="V163" s="1"/>
      <c r="W163" s="1"/>
      <c r="X163" s="1"/>
      <c r="Y163" s="1"/>
      <c r="Z163" s="1"/>
      <c r="AA163" s="1"/>
      <c r="AB163" s="1"/>
      <c r="AC163" s="1"/>
      <c r="AD163" s="1"/>
      <c r="AE163" s="1"/>
      <c r="AF163" s="1"/>
    </row>
    <row r="164" spans="1:32">
      <c r="A164" s="8">
        <v>45394</v>
      </c>
      <c r="B164" s="3">
        <v>1540</v>
      </c>
      <c r="C164" s="16">
        <f t="shared" si="15"/>
        <v>-3.9930176740126555E-2</v>
      </c>
      <c r="D164" s="1">
        <v>22519.4</v>
      </c>
      <c r="E164" s="17">
        <v>-1.03E-2</v>
      </c>
      <c r="F164" s="3">
        <v>18788.650000000001</v>
      </c>
      <c r="G164" s="16">
        <f t="shared" si="16"/>
        <v>1.7475976187751652E-2</v>
      </c>
      <c r="H164" s="1"/>
      <c r="I164" s="1"/>
      <c r="L164" s="120"/>
      <c r="S164" s="8">
        <v>45404</v>
      </c>
      <c r="T164" s="3">
        <v>1540.1</v>
      </c>
      <c r="U164" s="3">
        <f t="shared" si="17"/>
        <v>1.1360651431573388E-2</v>
      </c>
      <c r="V164" s="1"/>
      <c r="W164" s="1"/>
      <c r="X164" s="1"/>
      <c r="Y164" s="1"/>
      <c r="Z164" s="1"/>
      <c r="AA164" s="1"/>
      <c r="AB164" s="1"/>
      <c r="AC164" s="1"/>
      <c r="AD164" s="1"/>
      <c r="AE164" s="1"/>
      <c r="AF164" s="1"/>
    </row>
    <row r="165" spans="1:32">
      <c r="A165" s="8">
        <v>45392</v>
      </c>
      <c r="B165" s="3">
        <v>1604.05</v>
      </c>
      <c r="C165" s="16">
        <f t="shared" si="15"/>
        <v>9.3600823687256529E-4</v>
      </c>
      <c r="D165" s="1">
        <v>22753.8</v>
      </c>
      <c r="E165" s="17">
        <v>4.9040000000000004E-3</v>
      </c>
      <c r="F165" s="3">
        <v>19117</v>
      </c>
      <c r="G165" s="16">
        <f t="shared" si="16"/>
        <v>3.4158079196526803E-3</v>
      </c>
      <c r="H165" s="1"/>
      <c r="I165" s="1"/>
      <c r="L165" s="120"/>
      <c r="S165" s="8">
        <v>45401</v>
      </c>
      <c r="T165" s="3">
        <v>1522.8</v>
      </c>
      <c r="U165" s="3">
        <f t="shared" si="17"/>
        <v>4.2205222896332106E-3</v>
      </c>
      <c r="V165" s="1"/>
      <c r="W165" s="1"/>
      <c r="X165" s="1"/>
      <c r="Y165" s="1"/>
      <c r="Z165" s="1"/>
      <c r="AA165" s="1"/>
      <c r="AB165" s="1"/>
      <c r="AC165" s="1"/>
      <c r="AD165" s="1"/>
      <c r="AE165" s="1"/>
      <c r="AF165" s="1"/>
    </row>
    <row r="166" spans="1:32">
      <c r="A166" s="8">
        <v>45391</v>
      </c>
      <c r="B166" s="3">
        <v>1602.55</v>
      </c>
      <c r="C166" s="16">
        <f t="shared" si="15"/>
        <v>1.7815840470087885E-3</v>
      </c>
      <c r="D166" s="1">
        <v>22642.75</v>
      </c>
      <c r="E166" s="17">
        <v>-1.0399999999999999E-3</v>
      </c>
      <c r="F166" s="3">
        <v>19182.3</v>
      </c>
      <c r="G166" s="16">
        <f t="shared" si="16"/>
        <v>1.9054023761488903E-3</v>
      </c>
      <c r="H166" s="1"/>
      <c r="I166" s="1"/>
      <c r="L166" s="120"/>
      <c r="S166" s="8">
        <v>45400</v>
      </c>
      <c r="T166" s="3">
        <v>1516.4</v>
      </c>
      <c r="U166" s="3">
        <f t="shared" si="17"/>
        <v>-1.3755650222756932E-2</v>
      </c>
      <c r="V166" s="1"/>
      <c r="W166" s="1"/>
      <c r="X166" s="1"/>
      <c r="Y166" s="1"/>
      <c r="Z166" s="1"/>
      <c r="AA166" s="1"/>
      <c r="AB166" s="1"/>
      <c r="AC166" s="1"/>
      <c r="AD166" s="1"/>
      <c r="AE166" s="1"/>
      <c r="AF166" s="1"/>
    </row>
    <row r="167" spans="1:32">
      <c r="A167" s="8">
        <v>45390</v>
      </c>
      <c r="B167" s="3">
        <v>1599.7</v>
      </c>
      <c r="C167" s="16">
        <f t="shared" si="15"/>
        <v>-5.7799875699191539E-3</v>
      </c>
      <c r="D167" s="1">
        <v>22666.3</v>
      </c>
      <c r="E167" s="17">
        <v>6.7780000000000002E-3</v>
      </c>
      <c r="F167" s="3">
        <v>19218.849999999999</v>
      </c>
      <c r="G167" s="16">
        <f t="shared" si="16"/>
        <v>-3.0230737010799036E-3</v>
      </c>
      <c r="H167" s="1"/>
      <c r="I167" s="1"/>
      <c r="L167" s="120"/>
      <c r="S167" s="8">
        <v>45398</v>
      </c>
      <c r="T167" s="3">
        <v>1537.55</v>
      </c>
      <c r="U167" s="3">
        <f t="shared" si="17"/>
        <v>-1.6233239180546422E-3</v>
      </c>
      <c r="V167" s="1"/>
      <c r="W167" s="1"/>
      <c r="X167" s="1"/>
      <c r="Y167" s="1"/>
      <c r="Z167" s="1"/>
      <c r="AA167" s="1"/>
      <c r="AB167" s="1"/>
      <c r="AC167" s="1"/>
      <c r="AD167" s="1"/>
      <c r="AE167" s="1"/>
      <c r="AF167" s="1"/>
    </row>
    <row r="168" spans="1:32">
      <c r="A168" s="8">
        <v>45387</v>
      </c>
      <c r="B168" s="3">
        <v>1609</v>
      </c>
      <c r="C168" s="16">
        <f t="shared" si="15"/>
        <v>-6.3914533609163993E-3</v>
      </c>
      <c r="D168" s="1">
        <v>22513.7</v>
      </c>
      <c r="E168" s="17">
        <v>-4.1999999999999998E-5</v>
      </c>
      <c r="F168" s="3">
        <v>19160.75</v>
      </c>
      <c r="G168" s="16">
        <f t="shared" si="16"/>
        <v>-1.8553553488250829E-3</v>
      </c>
      <c r="H168" s="1"/>
      <c r="I168" s="1"/>
      <c r="L168" s="120"/>
      <c r="S168" s="8">
        <v>45397</v>
      </c>
      <c r="T168" s="3">
        <v>1540.05</v>
      </c>
      <c r="U168" s="3">
        <f t="shared" si="17"/>
        <v>3.2467532467439497E-5</v>
      </c>
      <c r="V168" s="1"/>
      <c r="W168" s="1"/>
      <c r="X168" s="1"/>
      <c r="Y168" s="1"/>
      <c r="Z168" s="1"/>
      <c r="AA168" s="1"/>
      <c r="AB168" s="1"/>
      <c r="AC168" s="1"/>
      <c r="AD168" s="1"/>
      <c r="AE168" s="1"/>
      <c r="AF168" s="1"/>
    </row>
    <row r="169" spans="1:32">
      <c r="A169" s="8">
        <v>45386</v>
      </c>
      <c r="B169" s="3">
        <v>1619.35</v>
      </c>
      <c r="C169" s="16">
        <f t="shared" si="15"/>
        <v>-3.0867055591565773E-4</v>
      </c>
      <c r="D169" s="1">
        <v>22514.65</v>
      </c>
      <c r="E169" s="17">
        <v>3.5660000000000002E-3</v>
      </c>
      <c r="F169" s="3">
        <v>19125.2</v>
      </c>
      <c r="G169" s="16">
        <f t="shared" si="16"/>
        <v>1.4561939221549025E-3</v>
      </c>
      <c r="H169" s="1"/>
      <c r="I169" s="1"/>
      <c r="L169" s="120"/>
      <c r="S169" s="8">
        <v>45394</v>
      </c>
      <c r="T169" s="3">
        <v>1540</v>
      </c>
      <c r="U169" s="3">
        <f t="shared" si="17"/>
        <v>-3.9930176740126555E-2</v>
      </c>
      <c r="V169" s="1"/>
      <c r="W169" s="1"/>
      <c r="X169" s="1"/>
      <c r="Y169" s="1"/>
      <c r="Z169" s="1"/>
      <c r="AA169" s="1"/>
      <c r="AB169" s="1"/>
      <c r="AC169" s="1"/>
      <c r="AD169" s="1"/>
      <c r="AE169" s="1"/>
      <c r="AF169" s="1"/>
    </row>
    <row r="170" spans="1:32">
      <c r="A170" s="8">
        <v>45385</v>
      </c>
      <c r="B170" s="3">
        <v>1619.85</v>
      </c>
      <c r="C170" s="16">
        <f t="shared" si="15"/>
        <v>-1.4794267221451829E-3</v>
      </c>
      <c r="D170" s="1">
        <v>22434.65</v>
      </c>
      <c r="E170" s="17">
        <v>-8.3000000000000001E-4</v>
      </c>
      <c r="F170" s="3">
        <v>19153.05</v>
      </c>
      <c r="G170" s="16">
        <f t="shared" si="16"/>
        <v>1.6759732784075165E-3</v>
      </c>
      <c r="H170" s="1"/>
      <c r="I170" s="1"/>
      <c r="L170" s="120"/>
      <c r="S170" s="8">
        <v>45392</v>
      </c>
      <c r="T170" s="3">
        <v>1604.05</v>
      </c>
      <c r="U170" s="3">
        <f t="shared" si="17"/>
        <v>9.3600823687256529E-4</v>
      </c>
      <c r="V170" s="1"/>
      <c r="W170" s="1"/>
      <c r="X170" s="1"/>
      <c r="Y170" s="1"/>
      <c r="Z170" s="1"/>
      <c r="AA170" s="1"/>
      <c r="AB170" s="1"/>
      <c r="AC170" s="1"/>
      <c r="AD170" s="1"/>
      <c r="AE170" s="1"/>
      <c r="AF170" s="1"/>
    </row>
    <row r="171" spans="1:32">
      <c r="A171" s="8">
        <v>45384</v>
      </c>
      <c r="B171" s="3">
        <v>1622.25</v>
      </c>
      <c r="C171" s="16">
        <f t="shared" si="15"/>
        <v>-4.2964554242749253E-3</v>
      </c>
      <c r="D171" s="1">
        <v>22453.3</v>
      </c>
      <c r="E171" s="17">
        <v>-3.8999999999999999E-4</v>
      </c>
      <c r="F171" s="3">
        <v>19185.150000000001</v>
      </c>
      <c r="G171" s="16">
        <f t="shared" si="16"/>
        <v>1.1858129855644162E-3</v>
      </c>
      <c r="H171" s="1"/>
      <c r="I171" s="1"/>
      <c r="L171" s="120"/>
      <c r="S171" s="8">
        <v>45391</v>
      </c>
      <c r="T171" s="3">
        <v>1602.55</v>
      </c>
      <c r="U171" s="3">
        <f t="shared" si="17"/>
        <v>1.7815840470087885E-3</v>
      </c>
      <c r="V171" s="1"/>
      <c r="W171" s="1"/>
      <c r="X171" s="1"/>
      <c r="Y171" s="1"/>
      <c r="Z171" s="1"/>
      <c r="AA171" s="1"/>
      <c r="AB171" s="1"/>
      <c r="AC171" s="1"/>
      <c r="AD171" s="1"/>
      <c r="AE171" s="1"/>
      <c r="AF171" s="1"/>
    </row>
    <row r="172" spans="1:32">
      <c r="A172" s="8">
        <v>45383</v>
      </c>
      <c r="B172" s="3">
        <v>1629.25</v>
      </c>
      <c r="C172" s="16">
        <f t="shared" si="15"/>
        <v>5.3685477152818351E-3</v>
      </c>
      <c r="D172" s="1">
        <v>22462</v>
      </c>
      <c r="E172" s="17">
        <v>6.051E-3</v>
      </c>
      <c r="F172" s="3">
        <v>19207.900000000001</v>
      </c>
      <c r="G172" s="16">
        <f t="shared" si="16"/>
        <v>-1.1024109871459187E-2</v>
      </c>
      <c r="H172" s="1"/>
      <c r="I172" s="1"/>
      <c r="L172" s="120"/>
      <c r="S172" s="8">
        <v>45390</v>
      </c>
      <c r="T172" s="3">
        <v>1599.7</v>
      </c>
      <c r="U172" s="3">
        <f t="shared" si="17"/>
        <v>-5.7799875699191539E-3</v>
      </c>
      <c r="V172" s="1"/>
      <c r="W172" s="1"/>
      <c r="X172" s="1"/>
      <c r="Y172" s="1"/>
      <c r="Z172" s="1"/>
      <c r="AA172" s="1"/>
      <c r="AB172" s="1"/>
      <c r="AC172" s="1"/>
      <c r="AD172" s="1"/>
      <c r="AE172" s="1"/>
      <c r="AF172" s="1"/>
    </row>
    <row r="173" spans="1:32">
      <c r="A173" s="8">
        <v>45379</v>
      </c>
      <c r="B173" s="3">
        <v>1620.55</v>
      </c>
      <c r="C173" s="16">
        <f t="shared" si="15"/>
        <v>1.0223482841380083E-2</v>
      </c>
      <c r="D173" s="1">
        <v>22326.9</v>
      </c>
      <c r="E173" s="17">
        <v>9.1870000000000007E-3</v>
      </c>
      <c r="F173" s="3">
        <v>18996.150000000001</v>
      </c>
      <c r="G173" s="16">
        <f t="shared" si="16"/>
        <v>-1.1989271510279731E-2</v>
      </c>
      <c r="H173" s="1"/>
      <c r="I173" s="1"/>
      <c r="L173" s="120"/>
      <c r="S173" s="8">
        <v>45387</v>
      </c>
      <c r="T173" s="3">
        <v>1609</v>
      </c>
      <c r="U173" s="3">
        <f t="shared" si="17"/>
        <v>-6.3914533609163993E-3</v>
      </c>
      <c r="V173" s="1"/>
      <c r="W173" s="1"/>
      <c r="X173" s="1"/>
      <c r="Y173" s="1"/>
      <c r="Z173" s="1"/>
      <c r="AA173" s="1"/>
      <c r="AB173" s="1"/>
      <c r="AC173" s="1"/>
      <c r="AD173" s="1"/>
      <c r="AE173" s="1"/>
      <c r="AF173" s="1"/>
    </row>
    <row r="174" spans="1:32">
      <c r="A174" s="8">
        <v>45378</v>
      </c>
      <c r="B174" s="3">
        <v>1604.15</v>
      </c>
      <c r="C174" s="16">
        <f t="shared" si="15"/>
        <v>3.7857455728678158E-3</v>
      </c>
      <c r="D174" s="1">
        <v>22123.65</v>
      </c>
      <c r="E174" s="17">
        <v>5.4060000000000002E-3</v>
      </c>
      <c r="F174" s="3">
        <v>18768.400000000001</v>
      </c>
      <c r="G174" s="16">
        <f t="shared" si="16"/>
        <v>2.1871869738496752E-3</v>
      </c>
      <c r="H174" s="1"/>
      <c r="I174" s="1"/>
      <c r="L174" s="120"/>
      <c r="S174" s="8">
        <v>45386</v>
      </c>
      <c r="T174" s="3">
        <v>1619.35</v>
      </c>
      <c r="U174" s="3">
        <f t="shared" si="17"/>
        <v>-3.0867055591565773E-4</v>
      </c>
      <c r="V174" s="1"/>
      <c r="W174" s="1"/>
      <c r="X174" s="1"/>
      <c r="Y174" s="1"/>
      <c r="Z174" s="1"/>
      <c r="AA174" s="1"/>
      <c r="AB174" s="1"/>
      <c r="AC174" s="1"/>
      <c r="AD174" s="1"/>
      <c r="AE174" s="1"/>
      <c r="AF174" s="1"/>
    </row>
    <row r="175" spans="1:32">
      <c r="A175" s="8">
        <v>45377</v>
      </c>
      <c r="B175" s="3">
        <v>1598.1</v>
      </c>
      <c r="C175" s="16">
        <f t="shared" si="15"/>
        <v>-6.7126608241656616E-3</v>
      </c>
      <c r="D175" s="1">
        <v>22004.7</v>
      </c>
      <c r="E175" s="17">
        <v>-4.1700000000000001E-3</v>
      </c>
      <c r="F175" s="3">
        <v>18809.45</v>
      </c>
      <c r="G175" s="16">
        <f t="shared" si="16"/>
        <v>3.26963308336925E-4</v>
      </c>
      <c r="H175" s="1"/>
      <c r="I175" s="1"/>
      <c r="L175" s="120"/>
      <c r="S175" s="8">
        <v>45385</v>
      </c>
      <c r="T175" s="3">
        <v>1619.85</v>
      </c>
      <c r="U175" s="3">
        <f t="shared" si="17"/>
        <v>-1.4794267221451829E-3</v>
      </c>
      <c r="V175" s="1"/>
      <c r="W175" s="1"/>
      <c r="X175" s="1"/>
      <c r="Y175" s="1"/>
      <c r="Z175" s="1"/>
      <c r="AA175" s="1"/>
      <c r="AB175" s="1"/>
      <c r="AC175" s="1"/>
      <c r="AD175" s="1"/>
      <c r="AE175" s="1"/>
      <c r="AF175" s="1"/>
    </row>
    <row r="176" spans="1:32">
      <c r="A176" s="8">
        <v>45373</v>
      </c>
      <c r="B176" s="3">
        <v>1608.9</v>
      </c>
      <c r="C176" s="16">
        <f t="shared" si="15"/>
        <v>2.7919754663940699E-2</v>
      </c>
      <c r="D176" s="1">
        <v>22096.75</v>
      </c>
      <c r="E176" s="17">
        <v>3.852E-3</v>
      </c>
      <c r="F176" s="3">
        <v>18815.599999999999</v>
      </c>
      <c r="G176" s="16">
        <f t="shared" si="16"/>
        <v>-1.2383341482599564E-2</v>
      </c>
      <c r="H176" s="1"/>
      <c r="I176" s="1"/>
      <c r="L176" s="120"/>
      <c r="S176" s="8">
        <v>45384</v>
      </c>
      <c r="T176" s="3">
        <v>1622.25</v>
      </c>
      <c r="U176" s="3">
        <f t="shared" si="17"/>
        <v>-4.2964554242749253E-3</v>
      </c>
      <c r="V176" s="1"/>
      <c r="W176" s="1"/>
      <c r="X176" s="1"/>
      <c r="Y176" s="1"/>
      <c r="Z176" s="1"/>
      <c r="AA176" s="1"/>
      <c r="AB176" s="1"/>
      <c r="AC176" s="1"/>
      <c r="AD176" s="1"/>
      <c r="AE176" s="1"/>
      <c r="AF176" s="1"/>
    </row>
    <row r="177" spans="1:32">
      <c r="A177" s="8">
        <v>45372</v>
      </c>
      <c r="B177" s="3">
        <v>1565.2</v>
      </c>
      <c r="C177" s="16">
        <f t="shared" si="15"/>
        <v>1.0230096492077401E-2</v>
      </c>
      <c r="D177" s="1">
        <v>22011.95</v>
      </c>
      <c r="E177" s="17">
        <v>7.9150000000000002E-3</v>
      </c>
      <c r="F177" s="3">
        <v>18582.599999999999</v>
      </c>
      <c r="G177" s="16">
        <f t="shared" si="16"/>
        <v>-1.1903608752273476E-2</v>
      </c>
      <c r="H177" s="1"/>
      <c r="I177" s="1"/>
      <c r="L177" s="120"/>
      <c r="S177" s="8">
        <v>45383</v>
      </c>
      <c r="T177" s="3">
        <v>1629.25</v>
      </c>
      <c r="U177" s="3">
        <f t="shared" si="17"/>
        <v>5.3685477152818351E-3</v>
      </c>
      <c r="V177" s="1"/>
      <c r="W177" s="1"/>
      <c r="X177" s="1"/>
      <c r="Y177" s="1"/>
      <c r="Z177" s="1"/>
      <c r="AA177" s="1"/>
      <c r="AB177" s="1"/>
      <c r="AC177" s="1"/>
      <c r="AD177" s="1"/>
      <c r="AE177" s="1"/>
      <c r="AF177" s="1"/>
    </row>
    <row r="178" spans="1:32">
      <c r="A178" s="8">
        <v>45371</v>
      </c>
      <c r="B178" s="3">
        <v>1549.35</v>
      </c>
      <c r="C178" s="16">
        <f t="shared" si="15"/>
        <v>5.8122638767788004E-4</v>
      </c>
      <c r="D178" s="1">
        <v>21839.1</v>
      </c>
      <c r="E178" s="17">
        <v>9.9200000000000004E-4</v>
      </c>
      <c r="F178" s="3">
        <v>18361.400000000001</v>
      </c>
      <c r="G178" s="16">
        <f t="shared" si="16"/>
        <v>2.4099469539360374E-3</v>
      </c>
      <c r="H178" s="1"/>
      <c r="I178" s="1"/>
      <c r="L178" s="120"/>
      <c r="S178" s="8">
        <v>45379</v>
      </c>
      <c r="T178" s="3">
        <v>1620.55</v>
      </c>
      <c r="U178" s="3">
        <f t="shared" si="17"/>
        <v>1.0223482841380083E-2</v>
      </c>
      <c r="V178" s="1"/>
      <c r="W178" s="1"/>
      <c r="X178" s="1"/>
      <c r="Y178" s="1"/>
      <c r="Z178" s="1"/>
      <c r="AA178" s="1"/>
      <c r="AB178" s="1"/>
      <c r="AC178" s="1"/>
      <c r="AD178" s="1"/>
      <c r="AE178" s="1"/>
      <c r="AF178" s="1"/>
    </row>
    <row r="179" spans="1:32">
      <c r="A179" s="8">
        <v>45370</v>
      </c>
      <c r="B179" s="3">
        <v>1548.45</v>
      </c>
      <c r="C179" s="16">
        <f t="shared" si="15"/>
        <v>-1.4510739856801846E-2</v>
      </c>
      <c r="D179" s="1">
        <v>21817.45</v>
      </c>
      <c r="E179" s="17">
        <v>-1.0800000000000001E-2</v>
      </c>
      <c r="F179" s="3">
        <v>18405.650000000001</v>
      </c>
      <c r="G179" s="16">
        <f t="shared" si="16"/>
        <v>2.2205138096182298E-2</v>
      </c>
      <c r="H179" s="1"/>
      <c r="I179" s="1"/>
      <c r="L179" s="120"/>
      <c r="S179" s="8">
        <v>45378</v>
      </c>
      <c r="T179" s="3">
        <v>1604.15</v>
      </c>
      <c r="U179" s="3">
        <f t="shared" si="17"/>
        <v>3.7857455728678158E-3</v>
      </c>
      <c r="V179" s="1"/>
      <c r="W179" s="1"/>
      <c r="X179" s="1"/>
      <c r="Y179" s="1"/>
      <c r="Z179" s="1"/>
      <c r="AA179" s="1"/>
      <c r="AB179" s="1"/>
      <c r="AC179" s="1"/>
      <c r="AD179" s="1"/>
      <c r="AE179" s="1"/>
      <c r="AF179" s="1"/>
    </row>
    <row r="180" spans="1:32">
      <c r="A180" s="8">
        <v>45369</v>
      </c>
      <c r="B180" s="3">
        <v>1571.25</v>
      </c>
      <c r="C180" s="16">
        <f t="shared" si="15"/>
        <v>1.4888257331094223E-2</v>
      </c>
      <c r="D180" s="1">
        <v>22055.7</v>
      </c>
      <c r="E180" s="17">
        <v>1.469E-3</v>
      </c>
      <c r="F180" s="3">
        <v>18814.349999999999</v>
      </c>
      <c r="G180" s="16">
        <f t="shared" si="16"/>
        <v>-5.0971731683527866E-3</v>
      </c>
      <c r="H180" s="1"/>
      <c r="I180" s="1"/>
      <c r="L180" s="120"/>
      <c r="S180" s="8">
        <v>45377</v>
      </c>
      <c r="T180" s="3">
        <v>1598.1</v>
      </c>
      <c r="U180" s="3">
        <f t="shared" si="17"/>
        <v>-6.7126608241656616E-3</v>
      </c>
      <c r="V180" s="1"/>
      <c r="W180" s="1"/>
      <c r="X180" s="1"/>
      <c r="Y180" s="1"/>
      <c r="Z180" s="1"/>
      <c r="AA180" s="1"/>
      <c r="AB180" s="1"/>
      <c r="AC180" s="1"/>
      <c r="AD180" s="1"/>
      <c r="AE180" s="1"/>
      <c r="AF180" s="1"/>
    </row>
    <row r="181" spans="1:32">
      <c r="A181" s="8">
        <v>45366</v>
      </c>
      <c r="B181" s="3">
        <v>1548.2</v>
      </c>
      <c r="C181" s="16">
        <f t="shared" si="15"/>
        <v>-1.4010954018596311E-2</v>
      </c>
      <c r="D181" s="1">
        <v>22023.35</v>
      </c>
      <c r="E181" s="17">
        <v>-5.5700000000000003E-3</v>
      </c>
      <c r="F181" s="3">
        <v>18718.45</v>
      </c>
      <c r="G181" s="16">
        <f t="shared" si="16"/>
        <v>9.5440594707358883E-3</v>
      </c>
      <c r="H181" s="1"/>
      <c r="I181" s="1"/>
      <c r="L181" s="120"/>
      <c r="S181" s="8">
        <v>45373</v>
      </c>
      <c r="T181" s="3">
        <v>1608.9</v>
      </c>
      <c r="U181" s="3">
        <f t="shared" si="17"/>
        <v>2.7919754663940699E-2</v>
      </c>
      <c r="V181" s="1"/>
      <c r="W181" s="1"/>
      <c r="X181" s="1"/>
      <c r="Y181" s="1"/>
      <c r="Z181" s="1"/>
      <c r="AA181" s="1"/>
      <c r="AB181" s="1"/>
      <c r="AC181" s="1"/>
      <c r="AD181" s="1"/>
      <c r="AE181" s="1"/>
      <c r="AF181" s="1"/>
    </row>
    <row r="182" spans="1:32">
      <c r="A182" s="8">
        <v>45365</v>
      </c>
      <c r="B182" s="3">
        <v>1570.2</v>
      </c>
      <c r="C182" s="16">
        <f t="shared" si="15"/>
        <v>7.4425766713719366E-3</v>
      </c>
      <c r="D182" s="1">
        <v>22146.65</v>
      </c>
      <c r="E182" s="17">
        <v>6.7710000000000001E-3</v>
      </c>
      <c r="F182" s="3">
        <v>18897.099999999999</v>
      </c>
      <c r="G182" s="16">
        <f t="shared" si="16"/>
        <v>-1.3832810325393741E-2</v>
      </c>
      <c r="H182" s="1"/>
      <c r="I182" s="1"/>
      <c r="L182" s="120"/>
      <c r="S182" s="8">
        <v>45372</v>
      </c>
      <c r="T182" s="3">
        <v>1565.2</v>
      </c>
      <c r="U182" s="3">
        <f t="shared" si="17"/>
        <v>1.0230096492077401E-2</v>
      </c>
      <c r="V182" s="1"/>
      <c r="W182" s="1"/>
      <c r="X182" s="1"/>
      <c r="Y182" s="1"/>
      <c r="Z182" s="1"/>
      <c r="AA182" s="1"/>
      <c r="AB182" s="1"/>
      <c r="AC182" s="1"/>
      <c r="AD182" s="1"/>
      <c r="AE182" s="1"/>
      <c r="AF182" s="1"/>
    </row>
    <row r="183" spans="1:32">
      <c r="A183" s="8">
        <v>45364</v>
      </c>
      <c r="B183" s="3">
        <v>1558.6</v>
      </c>
      <c r="C183" s="16">
        <f t="shared" si="15"/>
        <v>-1.6221675187780171E-2</v>
      </c>
      <c r="D183" s="1">
        <v>21997.7</v>
      </c>
      <c r="E183" s="17">
        <v>-1.5129999999999999E-2</v>
      </c>
      <c r="F183" s="3">
        <v>18635.7</v>
      </c>
      <c r="G183" s="16">
        <f t="shared" si="16"/>
        <v>1.7332324516921904E-2</v>
      </c>
      <c r="H183" s="1"/>
      <c r="I183" s="1"/>
      <c r="L183" s="120"/>
      <c r="S183" s="8">
        <v>45371</v>
      </c>
      <c r="T183" s="3">
        <v>1549.35</v>
      </c>
      <c r="U183" s="3">
        <f t="shared" si="17"/>
        <v>5.8122638767788004E-4</v>
      </c>
      <c r="V183" s="1"/>
      <c r="W183" s="1"/>
      <c r="X183" s="1"/>
      <c r="Y183" s="1"/>
      <c r="Z183" s="1"/>
      <c r="AA183" s="1"/>
      <c r="AB183" s="1"/>
      <c r="AC183" s="1"/>
      <c r="AD183" s="1"/>
      <c r="AE183" s="1"/>
      <c r="AF183" s="1"/>
    </row>
    <row r="184" spans="1:32">
      <c r="A184" s="8">
        <v>45363</v>
      </c>
      <c r="B184" s="3">
        <v>1584.3</v>
      </c>
      <c r="C184" s="16">
        <f t="shared" si="15"/>
        <v>-5.8358433734939652E-3</v>
      </c>
      <c r="D184" s="1">
        <v>22335.7</v>
      </c>
      <c r="E184" s="17">
        <v>1.37E-4</v>
      </c>
      <c r="F184" s="3">
        <v>18958.7</v>
      </c>
      <c r="G184" s="16">
        <f t="shared" si="16"/>
        <v>1.2835795703291852E-2</v>
      </c>
      <c r="H184" s="1"/>
      <c r="I184" s="1"/>
      <c r="L184" s="120"/>
      <c r="S184" s="8">
        <v>45370</v>
      </c>
      <c r="T184" s="3">
        <v>1548.45</v>
      </c>
      <c r="U184" s="3">
        <f t="shared" si="17"/>
        <v>-1.4510739856801846E-2</v>
      </c>
      <c r="V184" s="1"/>
      <c r="W184" s="1"/>
      <c r="X184" s="1"/>
      <c r="Y184" s="1"/>
      <c r="Z184" s="1"/>
      <c r="AA184" s="1"/>
      <c r="AB184" s="1"/>
      <c r="AC184" s="1"/>
      <c r="AD184" s="1"/>
      <c r="AE184" s="1"/>
      <c r="AF184" s="1"/>
    </row>
    <row r="185" spans="1:32">
      <c r="A185" s="8">
        <v>45362</v>
      </c>
      <c r="B185" s="3">
        <v>1593.6</v>
      </c>
      <c r="C185" s="16">
        <f t="shared" si="15"/>
        <v>-7.5356542317992492E-3</v>
      </c>
      <c r="D185" s="1">
        <v>22332.65</v>
      </c>
      <c r="E185" s="17">
        <v>-7.1500000000000001E-3</v>
      </c>
      <c r="F185" s="3">
        <v>19202.05</v>
      </c>
      <c r="G185" s="16">
        <f t="shared" si="16"/>
        <v>-4.1401829492171416E-4</v>
      </c>
      <c r="H185" s="1"/>
      <c r="I185" s="1"/>
      <c r="L185" s="120"/>
      <c r="S185" s="8">
        <v>45369</v>
      </c>
      <c r="T185" s="3">
        <v>1571.25</v>
      </c>
      <c r="U185" s="3">
        <f t="shared" si="17"/>
        <v>1.4888257331094223E-2</v>
      </c>
      <c r="V185" s="1"/>
      <c r="W185" s="1"/>
      <c r="X185" s="1"/>
      <c r="Y185" s="1"/>
      <c r="Z185" s="1"/>
      <c r="AA185" s="1"/>
      <c r="AB185" s="1"/>
      <c r="AC185" s="1"/>
      <c r="AD185" s="1"/>
      <c r="AE185" s="1"/>
      <c r="AF185" s="1"/>
    </row>
    <row r="186" spans="1:32">
      <c r="A186" s="8">
        <v>45358</v>
      </c>
      <c r="B186" s="3">
        <v>1605.7</v>
      </c>
      <c r="C186" s="16">
        <f t="shared" si="15"/>
        <v>1.0598503740648635E-3</v>
      </c>
      <c r="D186" s="1">
        <v>22493.55</v>
      </c>
      <c r="E186" s="17">
        <v>8.6799999999999996E-4</v>
      </c>
      <c r="F186" s="3">
        <v>19194.099999999999</v>
      </c>
      <c r="G186" s="16">
        <f t="shared" si="16"/>
        <v>-2.8185744577760019E-3</v>
      </c>
      <c r="H186" s="1"/>
      <c r="I186" s="1"/>
      <c r="L186" s="120"/>
      <c r="S186" s="8">
        <v>45366</v>
      </c>
      <c r="T186" s="3">
        <v>1548.2</v>
      </c>
      <c r="U186" s="3">
        <f t="shared" si="17"/>
        <v>-1.4010954018596311E-2</v>
      </c>
      <c r="V186" s="1"/>
      <c r="W186" s="1"/>
      <c r="X186" s="1"/>
      <c r="Y186" s="1"/>
      <c r="Z186" s="1"/>
      <c r="AA186" s="1"/>
      <c r="AB186" s="1"/>
      <c r="AC186" s="1"/>
      <c r="AD186" s="1"/>
      <c r="AE186" s="1"/>
      <c r="AF186" s="1"/>
    </row>
    <row r="187" spans="1:32">
      <c r="A187" s="8">
        <v>45357</v>
      </c>
      <c r="B187" s="3">
        <v>1604</v>
      </c>
      <c r="C187" s="16">
        <f t="shared" si="15"/>
        <v>1.8930250285859485E-2</v>
      </c>
      <c r="D187" s="1">
        <v>22474.05</v>
      </c>
      <c r="E187" s="17">
        <v>5.267E-3</v>
      </c>
      <c r="F187" s="3">
        <v>19140</v>
      </c>
      <c r="G187" s="16">
        <f t="shared" si="16"/>
        <v>-6.3479623824451714E-3</v>
      </c>
      <c r="H187" s="1"/>
      <c r="I187" s="1"/>
      <c r="L187" s="120"/>
      <c r="S187" s="8">
        <v>45365</v>
      </c>
      <c r="T187" s="3">
        <v>1570.2</v>
      </c>
      <c r="U187" s="3">
        <f t="shared" si="17"/>
        <v>7.4425766713719366E-3</v>
      </c>
      <c r="V187" s="1"/>
      <c r="W187" s="1"/>
      <c r="X187" s="1"/>
      <c r="Y187" s="1"/>
      <c r="Z187" s="1"/>
      <c r="AA187" s="1"/>
      <c r="AB187" s="1"/>
      <c r="AC187" s="1"/>
      <c r="AD187" s="1"/>
      <c r="AE187" s="1"/>
      <c r="AF187" s="1"/>
    </row>
    <row r="188" spans="1:32">
      <c r="A188" s="8">
        <v>45356</v>
      </c>
      <c r="B188" s="3">
        <v>1574.2</v>
      </c>
      <c r="C188" s="16">
        <f t="shared" si="15"/>
        <v>1.4238773274917849E-2</v>
      </c>
      <c r="D188" s="1">
        <v>22356.3</v>
      </c>
      <c r="E188" s="17">
        <v>-2.2000000000000001E-3</v>
      </c>
      <c r="F188" s="3">
        <v>19018.5</v>
      </c>
      <c r="G188" s="16">
        <f t="shared" si="16"/>
        <v>-3.0654362857217565E-3</v>
      </c>
      <c r="H188" s="1"/>
      <c r="I188" s="1"/>
      <c r="L188" s="120"/>
      <c r="S188" s="8">
        <v>45364</v>
      </c>
      <c r="T188" s="3">
        <v>1558.6</v>
      </c>
      <c r="U188" s="3">
        <f t="shared" si="17"/>
        <v>-1.6221675187780171E-2</v>
      </c>
      <c r="V188" s="1"/>
      <c r="W188" s="1"/>
      <c r="X188" s="1"/>
      <c r="Y188" s="1"/>
      <c r="Z188" s="1"/>
      <c r="AA188" s="1"/>
      <c r="AB188" s="1"/>
      <c r="AC188" s="1"/>
      <c r="AD188" s="1"/>
      <c r="AE188" s="1"/>
      <c r="AF188" s="1"/>
    </row>
    <row r="189" spans="1:32">
      <c r="A189" s="8">
        <v>45355</v>
      </c>
      <c r="B189" s="3">
        <v>1552.1</v>
      </c>
      <c r="C189" s="16">
        <f t="shared" si="15"/>
        <v>9.9964528715612566E-4</v>
      </c>
      <c r="D189" s="1">
        <v>22405.599999999999</v>
      </c>
      <c r="E189" s="17">
        <v>2.993E-3</v>
      </c>
      <c r="F189" s="3">
        <v>18960.2</v>
      </c>
      <c r="G189" s="16">
        <f t="shared" si="16"/>
        <v>-2.8823535616713247E-3</v>
      </c>
      <c r="H189" s="1"/>
      <c r="I189" s="1"/>
      <c r="L189" s="120"/>
      <c r="S189" s="8">
        <v>45363</v>
      </c>
      <c r="T189" s="3">
        <v>1584.3</v>
      </c>
      <c r="U189" s="3">
        <f t="shared" si="17"/>
        <v>-5.8358433734939652E-3</v>
      </c>
      <c r="V189" s="1"/>
      <c r="W189" s="1"/>
      <c r="X189" s="1"/>
      <c r="Y189" s="1"/>
      <c r="Z189" s="1"/>
      <c r="AA189" s="1"/>
      <c r="AB189" s="1"/>
      <c r="AC189" s="1"/>
      <c r="AD189" s="1"/>
      <c r="AE189" s="1"/>
      <c r="AF189" s="1"/>
    </row>
    <row r="190" spans="1:32">
      <c r="A190" s="8">
        <v>45353</v>
      </c>
      <c r="B190" s="3">
        <v>1550.55</v>
      </c>
      <c r="C190" s="16">
        <f t="shared" si="15"/>
        <v>-5.5796055796055732E-3</v>
      </c>
      <c r="D190" s="1">
        <v>22338.75</v>
      </c>
      <c r="E190" s="17">
        <v>1.6192000000000002E-2</v>
      </c>
      <c r="F190" s="3">
        <v>18905.55</v>
      </c>
      <c r="G190" s="16">
        <f t="shared" si="16"/>
        <v>-4.4034688226473051E-3</v>
      </c>
      <c r="H190" s="1"/>
      <c r="I190" s="1"/>
      <c r="L190" s="120"/>
      <c r="S190" s="8">
        <v>45362</v>
      </c>
      <c r="T190" s="3">
        <v>1593.6</v>
      </c>
      <c r="U190" s="3">
        <f t="shared" si="17"/>
        <v>-7.5356542317992492E-3</v>
      </c>
      <c r="V190" s="1"/>
      <c r="W190" s="1"/>
      <c r="X190" s="1"/>
      <c r="Y190" s="1"/>
      <c r="Z190" s="1"/>
      <c r="AA190" s="1"/>
      <c r="AB190" s="1"/>
      <c r="AC190" s="1"/>
      <c r="AD190" s="1"/>
      <c r="AE190" s="1"/>
      <c r="AF190" s="1"/>
    </row>
    <row r="191" spans="1:32">
      <c r="A191" s="8">
        <v>45352</v>
      </c>
      <c r="B191" s="3">
        <v>1559.25</v>
      </c>
      <c r="C191" s="16">
        <f t="shared" si="15"/>
        <v>-1.1850819100732046E-2</v>
      </c>
      <c r="D191" s="1">
        <v>21982.799999999999</v>
      </c>
      <c r="E191" s="17">
        <v>1.4419999999999999E-3</v>
      </c>
      <c r="F191" s="3">
        <v>18822.3</v>
      </c>
      <c r="G191" s="16">
        <f t="shared" si="16"/>
        <v>9.608283791035177E-3</v>
      </c>
      <c r="H191" s="1"/>
      <c r="I191" s="1"/>
      <c r="L191" s="120"/>
      <c r="S191" s="8">
        <v>45358</v>
      </c>
      <c r="T191" s="3">
        <v>1605.7</v>
      </c>
      <c r="U191" s="3">
        <f t="shared" si="17"/>
        <v>1.0598503740648635E-3</v>
      </c>
      <c r="V191" s="1"/>
      <c r="W191" s="1"/>
      <c r="X191" s="1"/>
      <c r="Y191" s="1"/>
      <c r="Z191" s="1"/>
      <c r="AA191" s="1"/>
      <c r="AB191" s="1"/>
      <c r="AC191" s="1"/>
      <c r="AD191" s="1"/>
      <c r="AE191" s="1"/>
      <c r="AF191" s="1"/>
    </row>
    <row r="192" spans="1:32">
      <c r="A192" s="8">
        <v>45351</v>
      </c>
      <c r="B192" s="3">
        <v>1577.95</v>
      </c>
      <c r="C192" s="16">
        <f t="shared" si="15"/>
        <v>2.6050767226863947E-3</v>
      </c>
      <c r="D192" s="1">
        <v>21951.15</v>
      </c>
      <c r="E192" s="17">
        <v>-1.1140000000000001E-2</v>
      </c>
      <c r="F192" s="3">
        <v>19003.150000000001</v>
      </c>
      <c r="G192" s="16">
        <f t="shared" si="16"/>
        <v>-3.1889449906989942E-3</v>
      </c>
      <c r="H192" s="1"/>
      <c r="I192" s="1"/>
      <c r="L192" s="120"/>
      <c r="S192" s="8">
        <v>45357</v>
      </c>
      <c r="T192" s="3">
        <v>1604</v>
      </c>
      <c r="U192" s="3">
        <f t="shared" si="17"/>
        <v>1.8930250285859485E-2</v>
      </c>
      <c r="V192" s="1"/>
      <c r="W192" s="1"/>
      <c r="X192" s="1"/>
      <c r="Y192" s="1"/>
      <c r="Z192" s="1"/>
      <c r="AA192" s="1"/>
      <c r="AB192" s="1"/>
      <c r="AC192" s="1"/>
      <c r="AD192" s="1"/>
      <c r="AE192" s="1"/>
      <c r="AF192" s="1"/>
    </row>
    <row r="193" spans="1:32">
      <c r="A193" s="8">
        <v>45350</v>
      </c>
      <c r="B193" s="3">
        <v>1573.85</v>
      </c>
      <c r="C193" s="16">
        <f t="shared" si="15"/>
        <v>-5.6231243089559513E-3</v>
      </c>
      <c r="D193" s="1">
        <v>22198.35</v>
      </c>
      <c r="E193" s="17">
        <v>3.4489999999999998E-3</v>
      </c>
      <c r="F193" s="3">
        <v>18942.55</v>
      </c>
      <c r="G193" s="16">
        <f t="shared" si="16"/>
        <v>6.4220498296163608E-3</v>
      </c>
      <c r="H193" s="1"/>
      <c r="I193" s="1"/>
      <c r="L193" s="120"/>
      <c r="S193" s="8">
        <v>45356</v>
      </c>
      <c r="T193" s="3">
        <v>1574.2</v>
      </c>
      <c r="U193" s="3">
        <f t="shared" si="17"/>
        <v>1.4238773274917849E-2</v>
      </c>
      <c r="V193" s="1"/>
      <c r="W193" s="1"/>
      <c r="X193" s="1"/>
      <c r="Y193" s="1"/>
      <c r="Z193" s="1"/>
      <c r="AA193" s="1"/>
      <c r="AB193" s="1"/>
      <c r="AC193" s="1"/>
      <c r="AD193" s="1"/>
      <c r="AE193" s="1"/>
      <c r="AF193" s="1"/>
    </row>
    <row r="194" spans="1:32">
      <c r="A194" s="8">
        <v>45349</v>
      </c>
      <c r="B194" s="3">
        <v>1582.75</v>
      </c>
      <c r="C194" s="16">
        <f t="shared" si="15"/>
        <v>1.6570859693631812E-2</v>
      </c>
      <c r="D194" s="1">
        <v>22122.05</v>
      </c>
      <c r="E194" s="17">
        <v>-4.0800000000000003E-3</v>
      </c>
      <c r="F194" s="3">
        <v>19064.2</v>
      </c>
      <c r="G194" s="16">
        <f t="shared" si="16"/>
        <v>-5.6519549731958163E-3</v>
      </c>
      <c r="H194" s="1"/>
      <c r="I194" s="1"/>
      <c r="L194" s="120"/>
      <c r="S194" s="8">
        <v>45355</v>
      </c>
      <c r="T194" s="3">
        <v>1552.1</v>
      </c>
      <c r="U194" s="3">
        <f t="shared" si="17"/>
        <v>9.9964528715612566E-4</v>
      </c>
      <c r="V194" s="1"/>
      <c r="W194" s="1"/>
      <c r="X194" s="1"/>
      <c r="Y194" s="1"/>
      <c r="Z194" s="1"/>
      <c r="AA194" s="1"/>
      <c r="AB194" s="1"/>
      <c r="AC194" s="1"/>
      <c r="AD194" s="1"/>
      <c r="AE194" s="1"/>
      <c r="AF194" s="1"/>
    </row>
    <row r="195" spans="1:32">
      <c r="A195" s="8">
        <v>45348</v>
      </c>
      <c r="B195" s="3">
        <v>1556.95</v>
      </c>
      <c r="C195" s="16">
        <f t="shared" si="15"/>
        <v>-2.7542033626901663E-3</v>
      </c>
      <c r="D195" s="1">
        <v>22212.7</v>
      </c>
      <c r="E195" s="17">
        <v>-2.1000000000000001E-4</v>
      </c>
      <c r="F195" s="3">
        <v>18956.45</v>
      </c>
      <c r="G195" s="16">
        <f t="shared" si="16"/>
        <v>4.8505917510925922E-3</v>
      </c>
      <c r="H195" s="1"/>
      <c r="I195" s="1"/>
      <c r="L195" s="120"/>
      <c r="S195" s="8">
        <v>45353</v>
      </c>
      <c r="T195" s="3">
        <v>1550.55</v>
      </c>
      <c r="U195" s="3">
        <f t="shared" si="17"/>
        <v>-5.5796055796055732E-3</v>
      </c>
      <c r="V195" s="1"/>
      <c r="W195" s="1"/>
      <c r="X195" s="1"/>
      <c r="Y195" s="1"/>
      <c r="Z195" s="1"/>
      <c r="AA195" s="1"/>
      <c r="AB195" s="1"/>
      <c r="AC195" s="1"/>
      <c r="AD195" s="1"/>
      <c r="AE195" s="1"/>
      <c r="AF195" s="1"/>
    </row>
    <row r="196" spans="1:32">
      <c r="A196" s="8">
        <v>45345</v>
      </c>
      <c r="B196" s="3">
        <v>1561.25</v>
      </c>
      <c r="C196" s="16">
        <f t="shared" si="15"/>
        <v>2.0538493629858046E-3</v>
      </c>
      <c r="D196" s="1">
        <v>22217.45</v>
      </c>
      <c r="E196" s="17">
        <v>7.3629999999999998E-3</v>
      </c>
      <c r="F196" s="3">
        <v>19048.400000000001</v>
      </c>
      <c r="G196" s="16">
        <f t="shared" si="16"/>
        <v>-4.1447050670923025E-3</v>
      </c>
      <c r="H196" s="1"/>
      <c r="I196" s="1"/>
      <c r="L196" s="120"/>
      <c r="S196" s="8">
        <v>45352</v>
      </c>
      <c r="T196" s="3">
        <v>1559.25</v>
      </c>
      <c r="U196" s="3">
        <f t="shared" si="17"/>
        <v>-1.1850819100732046E-2</v>
      </c>
      <c r="V196" s="1"/>
      <c r="W196" s="1"/>
      <c r="X196" s="1"/>
      <c r="Y196" s="1"/>
      <c r="Z196" s="1"/>
      <c r="AA196" s="1"/>
      <c r="AB196" s="1"/>
      <c r="AC196" s="1"/>
      <c r="AD196" s="1"/>
      <c r="AE196" s="1"/>
      <c r="AF196" s="1"/>
    </row>
    <row r="197" spans="1:32">
      <c r="A197" s="8">
        <v>45344</v>
      </c>
      <c r="B197" s="3">
        <v>1558.05</v>
      </c>
      <c r="C197" s="16">
        <f t="shared" si="15"/>
        <v>9.4920305818322337E-3</v>
      </c>
      <c r="D197" s="1">
        <v>22055.05</v>
      </c>
      <c r="E197" s="17">
        <v>-6.3899999999999998E-3</v>
      </c>
      <c r="F197" s="3">
        <v>18969.45</v>
      </c>
      <c r="G197" s="16">
        <f t="shared" si="16"/>
        <v>-2.7939660875776484E-3</v>
      </c>
      <c r="H197" s="1"/>
      <c r="I197" s="1"/>
      <c r="L197" s="120"/>
      <c r="S197" s="8">
        <v>45351</v>
      </c>
      <c r="T197" s="3">
        <v>1577.95</v>
      </c>
      <c r="U197" s="3">
        <f t="shared" si="17"/>
        <v>2.6050767226863947E-3</v>
      </c>
      <c r="V197" s="1"/>
      <c r="W197" s="1"/>
      <c r="X197" s="1"/>
      <c r="Y197" s="1"/>
      <c r="Z197" s="1"/>
      <c r="AA197" s="1"/>
      <c r="AB197" s="1"/>
      <c r="AC197" s="1"/>
      <c r="AD197" s="1"/>
      <c r="AE197" s="1"/>
      <c r="AF197" s="1"/>
    </row>
    <row r="198" spans="1:32">
      <c r="A198" s="8">
        <v>45343</v>
      </c>
      <c r="B198" s="3">
        <v>1543.4</v>
      </c>
      <c r="C198" s="16">
        <f t="shared" si="15"/>
        <v>3.0545265483850059E-3</v>
      </c>
      <c r="D198" s="1">
        <v>22196.95</v>
      </c>
      <c r="E198" s="17">
        <v>3.3769999999999998E-3</v>
      </c>
      <c r="F198" s="3">
        <v>18916.45</v>
      </c>
      <c r="G198" s="16">
        <f t="shared" si="16"/>
        <v>4.0467423855956586E-3</v>
      </c>
      <c r="H198" s="1"/>
      <c r="I198" s="1"/>
      <c r="L198" s="120"/>
      <c r="S198" s="8">
        <v>45350</v>
      </c>
      <c r="T198" s="3">
        <v>1573.85</v>
      </c>
      <c r="U198" s="3">
        <f t="shared" si="17"/>
        <v>-5.6231243089559513E-3</v>
      </c>
      <c r="V198" s="1"/>
      <c r="W198" s="1"/>
      <c r="X198" s="1"/>
      <c r="Y198" s="1"/>
      <c r="Z198" s="1"/>
      <c r="AA198" s="1"/>
      <c r="AB198" s="1"/>
      <c r="AC198" s="1"/>
      <c r="AD198" s="1"/>
      <c r="AE198" s="1"/>
      <c r="AF198" s="1"/>
    </row>
    <row r="199" spans="1:32">
      <c r="A199" s="8">
        <v>45342</v>
      </c>
      <c r="B199" s="3">
        <v>1538.7</v>
      </c>
      <c r="C199" s="16">
        <f t="shared" si="15"/>
        <v>5.620547676622456E-3</v>
      </c>
      <c r="D199" s="1">
        <v>22122.25</v>
      </c>
      <c r="E199" s="17">
        <v>3.7000000000000002E-3</v>
      </c>
      <c r="F199" s="3">
        <v>18993</v>
      </c>
      <c r="G199" s="16">
        <f t="shared" si="16"/>
        <v>2.3534986574000882E-3</v>
      </c>
      <c r="H199" s="1"/>
      <c r="I199" s="1"/>
      <c r="L199" s="120"/>
      <c r="S199" s="8">
        <v>45349</v>
      </c>
      <c r="T199" s="3">
        <v>1582.75</v>
      </c>
      <c r="U199" s="3">
        <f t="shared" si="17"/>
        <v>1.6570859693631812E-2</v>
      </c>
      <c r="V199" s="1"/>
      <c r="W199" s="1"/>
      <c r="X199" s="1"/>
      <c r="Y199" s="1"/>
      <c r="Z199" s="1"/>
      <c r="AA199" s="1"/>
      <c r="AB199" s="1"/>
      <c r="AC199" s="1"/>
      <c r="AD199" s="1"/>
      <c r="AE199" s="1"/>
      <c r="AF199" s="1"/>
    </row>
    <row r="200" spans="1:32">
      <c r="A200" s="8">
        <v>45341</v>
      </c>
      <c r="B200" s="3">
        <v>1530.1</v>
      </c>
      <c r="C200" s="16">
        <f t="shared" si="15"/>
        <v>1.3344812742143608E-2</v>
      </c>
      <c r="D200" s="1">
        <v>22040.7</v>
      </c>
      <c r="E200" s="17">
        <v>5.9309999999999996E-3</v>
      </c>
      <c r="F200" s="3">
        <v>19037.7</v>
      </c>
      <c r="G200" s="16">
        <f t="shared" si="16"/>
        <v>-8.7668153190775255E-3</v>
      </c>
      <c r="H200" s="1"/>
      <c r="I200" s="1"/>
      <c r="L200" s="120"/>
      <c r="S200" s="8">
        <v>45348</v>
      </c>
      <c r="T200" s="3">
        <v>1556.95</v>
      </c>
      <c r="U200" s="3">
        <f t="shared" si="17"/>
        <v>-2.7542033626901663E-3</v>
      </c>
      <c r="V200" s="1"/>
      <c r="W200" s="1"/>
      <c r="X200" s="1"/>
      <c r="Y200" s="1"/>
      <c r="Z200" s="1"/>
      <c r="AA200" s="1"/>
      <c r="AB200" s="1"/>
      <c r="AC200" s="1"/>
      <c r="AD200" s="1"/>
      <c r="AE200" s="1"/>
      <c r="AF200" s="1"/>
    </row>
    <row r="201" spans="1:32">
      <c r="A201" s="8">
        <v>45338</v>
      </c>
      <c r="B201" s="3">
        <v>1509.95</v>
      </c>
      <c r="C201" s="16">
        <f t="shared" ref="C201:C264" si="18">B201/B202-1</f>
        <v>3.3114775813025688E-5</v>
      </c>
      <c r="D201" s="1">
        <v>21910.75</v>
      </c>
      <c r="E201" s="17">
        <v>3.2369999999999999E-3</v>
      </c>
      <c r="F201" s="3">
        <v>18870.8</v>
      </c>
      <c r="G201" s="16">
        <f t="shared" ref="G201:G264" si="19">F202/F201-1</f>
        <v>-1.6061852173728686E-2</v>
      </c>
      <c r="H201" s="1"/>
      <c r="I201" s="1"/>
      <c r="L201" s="120"/>
      <c r="S201" s="8">
        <v>45345</v>
      </c>
      <c r="T201" s="3">
        <v>1561.25</v>
      </c>
      <c r="U201" s="3">
        <f t="shared" si="17"/>
        <v>2.0538493629858046E-3</v>
      </c>
      <c r="V201" s="1"/>
      <c r="W201" s="1"/>
      <c r="X201" s="1"/>
      <c r="Y201" s="1"/>
      <c r="Z201" s="1"/>
      <c r="AA201" s="1"/>
      <c r="AB201" s="1"/>
      <c r="AC201" s="1"/>
      <c r="AD201" s="1"/>
      <c r="AE201" s="1"/>
      <c r="AF201" s="1"/>
    </row>
    <row r="202" spans="1:32">
      <c r="A202" s="8">
        <v>45337</v>
      </c>
      <c r="B202" s="3">
        <v>1509.9</v>
      </c>
      <c r="C202" s="16">
        <f t="shared" si="18"/>
        <v>-6.906077348066253E-3</v>
      </c>
      <c r="D202" s="1">
        <v>21840.05</v>
      </c>
      <c r="E202" s="17">
        <v>4.4520000000000002E-3</v>
      </c>
      <c r="F202" s="3">
        <v>18567.7</v>
      </c>
      <c r="G202" s="16">
        <f t="shared" si="19"/>
        <v>8.9671849502082068E-4</v>
      </c>
      <c r="H202" s="1"/>
      <c r="I202" s="1"/>
      <c r="L202" s="120"/>
      <c r="S202" s="8">
        <v>45344</v>
      </c>
      <c r="T202" s="3">
        <v>1558.05</v>
      </c>
      <c r="U202" s="3">
        <f t="shared" si="17"/>
        <v>9.4920305818322337E-3</v>
      </c>
      <c r="V202" s="1"/>
      <c r="W202" s="1"/>
      <c r="X202" s="1"/>
      <c r="Y202" s="1"/>
      <c r="Z202" s="1"/>
      <c r="AA202" s="1"/>
      <c r="AB202" s="1"/>
      <c r="AC202" s="1"/>
      <c r="AD202" s="1"/>
      <c r="AE202" s="1"/>
      <c r="AF202" s="1"/>
    </row>
    <row r="203" spans="1:32">
      <c r="A203" s="8">
        <v>45336</v>
      </c>
      <c r="B203" s="3">
        <v>1520.4</v>
      </c>
      <c r="C203" s="16">
        <f t="shared" si="18"/>
        <v>-1.4135650369601849E-2</v>
      </c>
      <c r="D203" s="1">
        <v>21743.25</v>
      </c>
      <c r="E203" s="17">
        <v>5.8849999999999996E-3</v>
      </c>
      <c r="F203" s="3">
        <v>18584.349999999999</v>
      </c>
      <c r="G203" s="16">
        <f t="shared" si="19"/>
        <v>9.1259581314386828E-3</v>
      </c>
      <c r="H203" s="1"/>
      <c r="I203" s="1"/>
      <c r="L203" s="120"/>
      <c r="S203" s="8">
        <v>45343</v>
      </c>
      <c r="T203" s="3">
        <v>1543.4</v>
      </c>
      <c r="U203" s="3">
        <f t="shared" si="17"/>
        <v>3.0545265483850059E-3</v>
      </c>
      <c r="V203" s="1"/>
      <c r="W203" s="1"/>
      <c r="X203" s="1"/>
      <c r="Y203" s="1"/>
      <c r="Z203" s="1"/>
      <c r="AA203" s="1"/>
      <c r="AB203" s="1"/>
      <c r="AC203" s="1"/>
      <c r="AD203" s="1"/>
      <c r="AE203" s="1"/>
      <c r="AF203" s="1"/>
    </row>
    <row r="204" spans="1:32">
      <c r="A204" s="8">
        <v>45335</v>
      </c>
      <c r="B204" s="3">
        <v>1542.2</v>
      </c>
      <c r="C204" s="16">
        <f t="shared" si="18"/>
        <v>5.0506696210368407E-3</v>
      </c>
      <c r="D204" s="1">
        <v>21616.05</v>
      </c>
      <c r="E204" s="17">
        <v>-7.6400000000000001E-3</v>
      </c>
      <c r="F204" s="3">
        <v>18753.95</v>
      </c>
      <c r="G204" s="16">
        <f t="shared" si="19"/>
        <v>-4.5003852521736665E-3</v>
      </c>
      <c r="H204" s="1"/>
      <c r="I204" s="1"/>
      <c r="L204" s="120"/>
      <c r="S204" s="8">
        <v>45342</v>
      </c>
      <c r="T204" s="3">
        <v>1538.7</v>
      </c>
      <c r="U204" s="3">
        <f t="shared" si="17"/>
        <v>5.620547676622456E-3</v>
      </c>
      <c r="V204" s="1"/>
      <c r="W204" s="1"/>
      <c r="X204" s="1"/>
      <c r="Y204" s="1"/>
      <c r="Z204" s="1"/>
      <c r="AA204" s="1"/>
      <c r="AB204" s="1"/>
      <c r="AC204" s="1"/>
      <c r="AD204" s="1"/>
      <c r="AE204" s="1"/>
      <c r="AF204" s="1"/>
    </row>
    <row r="205" spans="1:32">
      <c r="A205" s="8">
        <v>45334</v>
      </c>
      <c r="B205" s="3">
        <v>1534.45</v>
      </c>
      <c r="C205" s="16">
        <f t="shared" si="18"/>
        <v>-2.2804274172527617E-4</v>
      </c>
      <c r="D205" s="1">
        <v>21782.5</v>
      </c>
      <c r="E205" s="17">
        <v>2.9719999999999998E-3</v>
      </c>
      <c r="F205" s="3">
        <v>18669.55</v>
      </c>
      <c r="G205" s="16">
        <f t="shared" si="19"/>
        <v>-2.8093874785413142E-3</v>
      </c>
      <c r="H205" s="1"/>
      <c r="I205" s="1"/>
      <c r="L205" s="120"/>
      <c r="S205" s="8">
        <v>45341</v>
      </c>
      <c r="T205" s="3">
        <v>1530.1</v>
      </c>
      <c r="U205" s="3">
        <f t="shared" si="17"/>
        <v>1.3344812742143608E-2</v>
      </c>
      <c r="V205" s="1"/>
      <c r="W205" s="1"/>
      <c r="X205" s="1"/>
      <c r="Y205" s="1"/>
      <c r="Z205" s="1"/>
      <c r="AA205" s="1"/>
      <c r="AB205" s="1"/>
      <c r="AC205" s="1"/>
      <c r="AD205" s="1"/>
      <c r="AE205" s="1"/>
      <c r="AF205" s="1"/>
    </row>
    <row r="206" spans="1:32">
      <c r="A206" s="8">
        <v>45331</v>
      </c>
      <c r="B206" s="3">
        <v>1534.8</v>
      </c>
      <c r="C206" s="16">
        <f t="shared" si="18"/>
        <v>2.3472926113630388E-2</v>
      </c>
      <c r="D206" s="1">
        <v>21717.95</v>
      </c>
      <c r="E206" s="17">
        <v>-9.6900000000000007E-3</v>
      </c>
      <c r="F206" s="3">
        <v>18617.099999999999</v>
      </c>
      <c r="G206" s="16">
        <f t="shared" si="19"/>
        <v>-5.199520870597385E-3</v>
      </c>
      <c r="H206" s="1"/>
      <c r="I206" s="1"/>
      <c r="L206" s="120"/>
      <c r="S206" s="8">
        <v>45338</v>
      </c>
      <c r="T206" s="3">
        <v>1509.95</v>
      </c>
      <c r="U206" s="3">
        <f t="shared" ref="U206:U267" si="20">T206/T207-1</f>
        <v>3.3114775813025688E-5</v>
      </c>
      <c r="V206" s="1"/>
      <c r="W206" s="1"/>
      <c r="X206" s="1"/>
      <c r="Y206" s="1"/>
      <c r="Z206" s="1"/>
      <c r="AA206" s="1"/>
      <c r="AB206" s="1"/>
      <c r="AC206" s="1"/>
      <c r="AD206" s="1"/>
      <c r="AE206" s="1"/>
      <c r="AF206" s="1"/>
    </row>
    <row r="207" spans="1:32">
      <c r="A207" s="8">
        <v>45330</v>
      </c>
      <c r="B207" s="3">
        <v>1499.6</v>
      </c>
      <c r="C207" s="16">
        <f t="shared" si="18"/>
        <v>2.2724234727977688E-3</v>
      </c>
      <c r="D207" s="1">
        <v>21930.5</v>
      </c>
      <c r="E207" s="17">
        <v>5.02E-5</v>
      </c>
      <c r="F207" s="3">
        <v>18520.3</v>
      </c>
      <c r="G207" s="16">
        <f t="shared" si="19"/>
        <v>2.4054685939212117E-3</v>
      </c>
      <c r="H207" s="1"/>
      <c r="I207" s="1"/>
      <c r="L207" s="120"/>
      <c r="S207" s="8">
        <v>45337</v>
      </c>
      <c r="T207" s="3">
        <v>1509.9</v>
      </c>
      <c r="U207" s="3">
        <f t="shared" si="20"/>
        <v>-6.906077348066253E-3</v>
      </c>
      <c r="V207" s="1"/>
      <c r="W207" s="1"/>
      <c r="X207" s="1"/>
      <c r="Y207" s="1"/>
      <c r="Z207" s="1"/>
      <c r="AA207" s="1"/>
      <c r="AB207" s="1"/>
      <c r="AC207" s="1"/>
      <c r="AD207" s="1"/>
      <c r="AE207" s="1"/>
      <c r="AF207" s="1"/>
    </row>
    <row r="208" spans="1:32">
      <c r="A208" s="8">
        <v>45329</v>
      </c>
      <c r="B208" s="3">
        <v>1496.2</v>
      </c>
      <c r="C208" s="16">
        <f t="shared" si="18"/>
        <v>1.4304114975256077E-2</v>
      </c>
      <c r="D208" s="1">
        <v>21929.4</v>
      </c>
      <c r="E208" s="17">
        <v>7.2430000000000003E-3</v>
      </c>
      <c r="F208" s="3">
        <v>18564.849999999999</v>
      </c>
      <c r="G208" s="16">
        <f t="shared" si="19"/>
        <v>-4.1368500149475684E-3</v>
      </c>
      <c r="H208" s="1"/>
      <c r="I208" s="1"/>
      <c r="L208" s="120"/>
      <c r="S208" s="8">
        <v>45336</v>
      </c>
      <c r="T208" s="3">
        <v>1520.4</v>
      </c>
      <c r="U208" s="3">
        <f t="shared" si="20"/>
        <v>-1.4135650369601849E-2</v>
      </c>
      <c r="V208" s="1"/>
      <c r="W208" s="1"/>
      <c r="X208" s="1"/>
      <c r="Y208" s="1"/>
      <c r="Z208" s="1"/>
      <c r="AA208" s="1"/>
      <c r="AB208" s="1"/>
      <c r="AC208" s="1"/>
      <c r="AD208" s="1"/>
      <c r="AE208" s="1"/>
      <c r="AF208" s="1"/>
    </row>
    <row r="209" spans="1:32">
      <c r="A209" s="8">
        <v>45328</v>
      </c>
      <c r="B209" s="3">
        <v>1475.1</v>
      </c>
      <c r="C209" s="16">
        <f t="shared" si="18"/>
        <v>7.7196338297580436E-3</v>
      </c>
      <c r="D209" s="1">
        <v>21771.7</v>
      </c>
      <c r="E209" s="17">
        <v>-3.7599999999999999E-3</v>
      </c>
      <c r="F209" s="3">
        <v>18488.05</v>
      </c>
      <c r="G209" s="16">
        <f t="shared" si="19"/>
        <v>-1.0552762460075527E-2</v>
      </c>
      <c r="H209" s="1"/>
      <c r="I209" s="1"/>
      <c r="L209" s="120"/>
      <c r="S209" s="8">
        <v>45335</v>
      </c>
      <c r="T209" s="3">
        <v>1542.2</v>
      </c>
      <c r="U209" s="3">
        <f t="shared" si="20"/>
        <v>5.0506696210368407E-3</v>
      </c>
      <c r="V209" s="1"/>
      <c r="W209" s="1"/>
      <c r="X209" s="1"/>
      <c r="Y209" s="1"/>
      <c r="Z209" s="1"/>
      <c r="AA209" s="1"/>
      <c r="AB209" s="1"/>
      <c r="AC209" s="1"/>
      <c r="AD209" s="1"/>
      <c r="AE209" s="1"/>
      <c r="AF209" s="1"/>
    </row>
    <row r="210" spans="1:32">
      <c r="A210" s="8">
        <v>45327</v>
      </c>
      <c r="B210" s="3">
        <v>1463.8</v>
      </c>
      <c r="C210" s="16">
        <f t="shared" si="18"/>
        <v>3.3282744502876493E-2</v>
      </c>
      <c r="D210" s="1">
        <v>21853.8</v>
      </c>
      <c r="E210" s="17">
        <v>7.2059999999999997E-3</v>
      </c>
      <c r="F210" s="3">
        <v>18292.95</v>
      </c>
      <c r="G210" s="16">
        <f t="shared" si="19"/>
        <v>-1.7539543922658885E-2</v>
      </c>
      <c r="H210" s="1"/>
      <c r="I210" s="1"/>
      <c r="L210" s="120"/>
      <c r="S210" s="8">
        <v>45334</v>
      </c>
      <c r="T210" s="3">
        <v>1534.45</v>
      </c>
      <c r="U210" s="3">
        <f t="shared" si="20"/>
        <v>-2.2804274172527617E-4</v>
      </c>
      <c r="V210" s="1"/>
      <c r="W210" s="1"/>
      <c r="X210" s="1"/>
      <c r="Y210" s="1"/>
      <c r="Z210" s="1"/>
      <c r="AA210" s="1"/>
      <c r="AB210" s="1"/>
      <c r="AC210" s="1"/>
      <c r="AD210" s="1"/>
      <c r="AE210" s="1"/>
      <c r="AF210" s="1"/>
    </row>
    <row r="211" spans="1:32">
      <c r="A211" s="8">
        <v>45324</v>
      </c>
      <c r="B211" s="3">
        <v>1416.65</v>
      </c>
      <c r="C211" s="16">
        <f t="shared" si="18"/>
        <v>6.1791967044284579E-3</v>
      </c>
      <c r="D211" s="1">
        <v>21697.45</v>
      </c>
      <c r="E211" s="17">
        <v>-1.2999999999999999E-3</v>
      </c>
      <c r="F211" s="3">
        <v>17972.099999999999</v>
      </c>
      <c r="G211" s="16">
        <f t="shared" si="19"/>
        <v>-7.394795265995513E-3</v>
      </c>
      <c r="H211" s="1"/>
      <c r="I211" s="1"/>
      <c r="L211" s="120"/>
      <c r="S211" s="8">
        <v>45331</v>
      </c>
      <c r="T211" s="3">
        <v>1534.8</v>
      </c>
      <c r="U211" s="3">
        <f t="shared" si="20"/>
        <v>2.3472926113630388E-2</v>
      </c>
      <c r="V211" s="1"/>
      <c r="W211" s="1"/>
      <c r="X211" s="1"/>
      <c r="Y211" s="1"/>
      <c r="Z211" s="1"/>
      <c r="AA211" s="1"/>
      <c r="AB211" s="1"/>
      <c r="AC211" s="1"/>
      <c r="AD211" s="1"/>
      <c r="AE211" s="1"/>
      <c r="AF211" s="1"/>
    </row>
    <row r="212" spans="1:32">
      <c r="A212" s="8">
        <v>45323</v>
      </c>
      <c r="B212" s="3">
        <v>1407.95</v>
      </c>
      <c r="C212" s="16">
        <f t="shared" si="18"/>
        <v>-7.4024463322640566E-3</v>
      </c>
      <c r="D212" s="1">
        <v>21725.7</v>
      </c>
      <c r="E212" s="17">
        <v>9.4599999999999997E-3</v>
      </c>
      <c r="F212" s="3">
        <v>17839.2</v>
      </c>
      <c r="G212" s="16">
        <f t="shared" si="19"/>
        <v>5.5748015606080781E-3</v>
      </c>
      <c r="H212" s="1"/>
      <c r="I212" s="1"/>
      <c r="L212" s="120"/>
      <c r="S212" s="8">
        <v>45330</v>
      </c>
      <c r="T212" s="3">
        <v>1499.6</v>
      </c>
      <c r="U212" s="3">
        <f t="shared" si="20"/>
        <v>2.2724234727977688E-3</v>
      </c>
      <c r="V212" s="1"/>
      <c r="W212" s="1"/>
      <c r="X212" s="1"/>
      <c r="Y212" s="1"/>
      <c r="Z212" s="1"/>
      <c r="AA212" s="1"/>
      <c r="AB212" s="1"/>
      <c r="AC212" s="1"/>
      <c r="AD212" s="1"/>
      <c r="AE212" s="1"/>
      <c r="AF212" s="1"/>
    </row>
    <row r="213" spans="1:32">
      <c r="A213" s="8">
        <v>45322</v>
      </c>
      <c r="B213" s="3">
        <v>1418.45</v>
      </c>
      <c r="C213" s="16">
        <f t="shared" si="18"/>
        <v>3.4044104246400586E-2</v>
      </c>
      <c r="D213" s="1">
        <v>21522.1</v>
      </c>
      <c r="E213" s="17">
        <v>-9.9100000000000004E-3</v>
      </c>
      <c r="F213" s="3">
        <v>17938.650000000001</v>
      </c>
      <c r="G213" s="16">
        <f t="shared" si="19"/>
        <v>-2.611679251225707E-2</v>
      </c>
      <c r="H213" s="1"/>
      <c r="I213" s="1"/>
      <c r="L213" s="120"/>
      <c r="S213" s="8">
        <v>45329</v>
      </c>
      <c r="T213" s="3">
        <v>1496.2</v>
      </c>
      <c r="U213" s="3">
        <f t="shared" si="20"/>
        <v>1.4304114975256077E-2</v>
      </c>
      <c r="V213" s="1"/>
      <c r="W213" s="1"/>
      <c r="X213" s="1"/>
      <c r="Y213" s="1"/>
      <c r="Z213" s="1"/>
      <c r="AA213" s="1"/>
      <c r="AB213" s="1"/>
      <c r="AC213" s="1"/>
      <c r="AD213" s="1"/>
      <c r="AE213" s="1"/>
      <c r="AF213" s="1"/>
    </row>
    <row r="214" spans="1:32">
      <c r="A214" s="8">
        <v>45321</v>
      </c>
      <c r="B214" s="3">
        <v>1371.75</v>
      </c>
      <c r="C214" s="16">
        <f t="shared" si="18"/>
        <v>-2.0773102045186786E-2</v>
      </c>
      <c r="D214" s="1">
        <v>21737.599999999999</v>
      </c>
      <c r="E214" s="17">
        <v>1.8030999999999998E-2</v>
      </c>
      <c r="F214" s="3">
        <v>17470.150000000001</v>
      </c>
      <c r="G214" s="16">
        <f t="shared" si="19"/>
        <v>8.7835536615310517E-3</v>
      </c>
      <c r="H214" s="1"/>
      <c r="I214" s="1"/>
      <c r="L214" s="120"/>
      <c r="S214" s="8">
        <v>45328</v>
      </c>
      <c r="T214" s="3">
        <v>1475.1</v>
      </c>
      <c r="U214" s="3">
        <f t="shared" si="20"/>
        <v>7.7196338297580436E-3</v>
      </c>
      <c r="V214" s="1"/>
      <c r="W214" s="1"/>
      <c r="X214" s="1"/>
      <c r="Y214" s="1"/>
      <c r="Z214" s="1"/>
      <c r="AA214" s="1"/>
      <c r="AB214" s="1"/>
      <c r="AC214" s="1"/>
      <c r="AD214" s="1"/>
      <c r="AE214" s="1"/>
      <c r="AF214" s="1"/>
    </row>
    <row r="215" spans="1:32">
      <c r="A215" s="8">
        <v>45320</v>
      </c>
      <c r="B215" s="3">
        <v>1400.85</v>
      </c>
      <c r="C215" s="16">
        <f t="shared" si="18"/>
        <v>2.3788642841482188E-2</v>
      </c>
      <c r="D215" s="1">
        <v>21352.6</v>
      </c>
      <c r="E215" s="17">
        <v>-4.7200000000000002E-3</v>
      </c>
      <c r="F215" s="3">
        <v>17623.599999999999</v>
      </c>
      <c r="G215" s="16">
        <f t="shared" si="19"/>
        <v>-5.1663678249619371E-3</v>
      </c>
      <c r="H215" s="1"/>
      <c r="I215" s="1"/>
      <c r="L215" s="120"/>
      <c r="S215" s="8">
        <v>45327</v>
      </c>
      <c r="T215" s="3">
        <v>1463.8</v>
      </c>
      <c r="U215" s="3">
        <f t="shared" si="20"/>
        <v>3.3282744502876493E-2</v>
      </c>
      <c r="V215" s="1"/>
      <c r="W215" s="1"/>
      <c r="X215" s="1"/>
      <c r="Y215" s="1"/>
      <c r="Z215" s="1"/>
      <c r="AA215" s="1"/>
      <c r="AB215" s="1"/>
      <c r="AC215" s="1"/>
      <c r="AD215" s="1"/>
      <c r="AE215" s="1"/>
      <c r="AF215" s="1"/>
    </row>
    <row r="216" spans="1:32">
      <c r="A216" s="8">
        <v>45316</v>
      </c>
      <c r="B216" s="3">
        <v>1368.3</v>
      </c>
      <c r="C216" s="16">
        <f t="shared" si="18"/>
        <v>-9.9848057304101623E-3</v>
      </c>
      <c r="D216" s="1">
        <v>21453.95</v>
      </c>
      <c r="E216" s="17">
        <v>1.013E-2</v>
      </c>
      <c r="F216" s="3">
        <v>17532.55</v>
      </c>
      <c r="G216" s="16">
        <f t="shared" si="19"/>
        <v>1.3184049097250572E-2</v>
      </c>
      <c r="H216" s="1"/>
      <c r="I216" s="1"/>
      <c r="L216" s="120"/>
      <c r="S216" s="8">
        <v>45324</v>
      </c>
      <c r="T216" s="3">
        <v>1416.65</v>
      </c>
      <c r="U216" s="3">
        <f t="shared" si="20"/>
        <v>6.1791967044284579E-3</v>
      </c>
      <c r="V216" s="1"/>
      <c r="W216" s="1"/>
      <c r="X216" s="1"/>
      <c r="Y216" s="1"/>
      <c r="Z216" s="1"/>
      <c r="AA216" s="1"/>
      <c r="AB216" s="1"/>
      <c r="AC216" s="1"/>
      <c r="AD216" s="1"/>
      <c r="AE216" s="1"/>
      <c r="AF216" s="1"/>
    </row>
    <row r="217" spans="1:32">
      <c r="A217" s="8">
        <v>45315</v>
      </c>
      <c r="B217" s="3">
        <v>1382.1</v>
      </c>
      <c r="C217" s="16">
        <f t="shared" si="18"/>
        <v>2.7570195167960776E-3</v>
      </c>
      <c r="D217" s="1">
        <v>21238.799999999999</v>
      </c>
      <c r="E217" s="17">
        <v>-1.5440000000000001E-2</v>
      </c>
      <c r="F217" s="3">
        <v>17763.7</v>
      </c>
      <c r="G217" s="16">
        <f t="shared" si="19"/>
        <v>-1.3702100350715285E-2</v>
      </c>
      <c r="H217" s="1"/>
      <c r="I217" s="1"/>
      <c r="L217" s="120"/>
      <c r="S217" s="8">
        <v>45323</v>
      </c>
      <c r="T217" s="3">
        <v>1407.95</v>
      </c>
      <c r="U217" s="3">
        <f t="shared" si="20"/>
        <v>-7.4024463322640566E-3</v>
      </c>
      <c r="V217" s="1"/>
      <c r="W217" s="1"/>
      <c r="X217" s="1"/>
      <c r="Y217" s="1"/>
      <c r="Z217" s="1"/>
      <c r="AA217" s="1"/>
      <c r="AB217" s="1"/>
      <c r="AC217" s="1"/>
      <c r="AD217" s="1"/>
      <c r="AE217" s="1"/>
      <c r="AF217" s="1"/>
    </row>
    <row r="218" spans="1:32">
      <c r="A218" s="8">
        <v>45314</v>
      </c>
      <c r="B218" s="3">
        <v>1378.3</v>
      </c>
      <c r="C218" s="16">
        <f t="shared" si="18"/>
        <v>3.9324359989443058E-2</v>
      </c>
      <c r="D218" s="1">
        <v>21571.8</v>
      </c>
      <c r="E218" s="17">
        <v>-2.3400000000000001E-3</v>
      </c>
      <c r="F218" s="3">
        <v>17520.3</v>
      </c>
      <c r="G218" s="16">
        <f t="shared" si="19"/>
        <v>-1.62896754051014E-2</v>
      </c>
      <c r="H218" s="1"/>
      <c r="I218" s="1"/>
      <c r="L218" s="120"/>
      <c r="S218" s="8">
        <v>45322</v>
      </c>
      <c r="T218" s="3">
        <v>1418.45</v>
      </c>
      <c r="U218" s="3">
        <f t="shared" si="20"/>
        <v>3.4044104246400586E-2</v>
      </c>
      <c r="V218" s="1"/>
      <c r="W218" s="1"/>
      <c r="X218" s="1"/>
      <c r="Y218" s="1"/>
      <c r="Z218" s="1"/>
      <c r="AA218" s="1"/>
      <c r="AB218" s="1"/>
      <c r="AC218" s="1"/>
      <c r="AD218" s="1"/>
      <c r="AE218" s="1"/>
      <c r="AF218" s="1"/>
    </row>
    <row r="219" spans="1:32">
      <c r="A219" s="8">
        <v>45311</v>
      </c>
      <c r="B219" s="3">
        <v>1326.15</v>
      </c>
      <c r="C219" s="16">
        <f t="shared" si="18"/>
        <v>-7.0754716981130672E-3</v>
      </c>
      <c r="D219" s="1">
        <v>21622.400000000001</v>
      </c>
      <c r="E219" s="17">
        <v>7.4619999999999999E-3</v>
      </c>
      <c r="F219" s="3">
        <v>17234.900000000001</v>
      </c>
      <c r="G219" s="16">
        <f t="shared" si="19"/>
        <v>8.8831382833667316E-3</v>
      </c>
      <c r="H219" s="1"/>
      <c r="I219" s="1"/>
      <c r="L219" s="120"/>
      <c r="S219" s="8">
        <v>45321</v>
      </c>
      <c r="T219" s="3">
        <v>1371.75</v>
      </c>
      <c r="U219" s="3">
        <f t="shared" si="20"/>
        <v>-2.0773102045186786E-2</v>
      </c>
      <c r="V219" s="1"/>
      <c r="W219" s="1"/>
      <c r="X219" s="1"/>
      <c r="Y219" s="1"/>
      <c r="Z219" s="1"/>
      <c r="AA219" s="1"/>
      <c r="AB219" s="1"/>
      <c r="AC219" s="1"/>
      <c r="AD219" s="1"/>
      <c r="AE219" s="1"/>
      <c r="AF219" s="1"/>
    </row>
    <row r="220" spans="1:32">
      <c r="A220" s="8">
        <v>45310</v>
      </c>
      <c r="B220" s="3">
        <v>1335.6</v>
      </c>
      <c r="C220" s="16">
        <f t="shared" si="18"/>
        <v>-1.1229646266153193E-4</v>
      </c>
      <c r="D220" s="1">
        <v>21462.25</v>
      </c>
      <c r="E220" s="17">
        <v>-5.0899999999999999E-3</v>
      </c>
      <c r="F220" s="3">
        <v>17388</v>
      </c>
      <c r="G220" s="16">
        <f t="shared" si="19"/>
        <v>-3.2637451115712368E-3</v>
      </c>
      <c r="H220" s="1"/>
      <c r="I220" s="1"/>
      <c r="L220" s="120"/>
      <c r="S220" s="8">
        <v>45320</v>
      </c>
      <c r="T220" s="3">
        <v>1400.85</v>
      </c>
      <c r="U220" s="3">
        <f t="shared" si="20"/>
        <v>2.3788642841482188E-2</v>
      </c>
      <c r="V220" s="1"/>
      <c r="W220" s="1"/>
      <c r="X220" s="1"/>
      <c r="Y220" s="1"/>
      <c r="Z220" s="1"/>
      <c r="AA220" s="1"/>
      <c r="AB220" s="1"/>
      <c r="AC220" s="1"/>
      <c r="AD220" s="1"/>
      <c r="AE220" s="1"/>
      <c r="AF220" s="1"/>
    </row>
    <row r="221" spans="1:32">
      <c r="A221" s="8">
        <v>45309</v>
      </c>
      <c r="B221" s="3">
        <v>1335.75</v>
      </c>
      <c r="C221" s="16">
        <f t="shared" si="18"/>
        <v>2.8290993071593551E-2</v>
      </c>
      <c r="D221" s="1">
        <v>21571.95</v>
      </c>
      <c r="E221" s="17">
        <v>-2.0889999999999999E-2</v>
      </c>
      <c r="F221" s="3">
        <v>17331.25</v>
      </c>
      <c r="G221" s="16">
        <f t="shared" si="19"/>
        <v>-1.0227190768121175E-2</v>
      </c>
      <c r="H221" s="1"/>
      <c r="I221" s="1"/>
      <c r="L221" s="120"/>
      <c r="S221" s="8">
        <v>45316</v>
      </c>
      <c r="T221" s="3">
        <v>1368.3</v>
      </c>
      <c r="U221" s="3">
        <f t="shared" si="20"/>
        <v>-9.9848057304101623E-3</v>
      </c>
      <c r="V221" s="1"/>
      <c r="W221" s="1"/>
      <c r="X221" s="1"/>
      <c r="Y221" s="1"/>
      <c r="Z221" s="1"/>
      <c r="AA221" s="1"/>
      <c r="AB221" s="1"/>
      <c r="AC221" s="1"/>
      <c r="AD221" s="1"/>
      <c r="AE221" s="1"/>
      <c r="AF221" s="1"/>
    </row>
    <row r="222" spans="1:32">
      <c r="A222" s="8">
        <v>45308</v>
      </c>
      <c r="B222" s="3">
        <v>1299</v>
      </c>
      <c r="C222" s="16">
        <f t="shared" si="18"/>
        <v>-1.1001560775058095E-2</v>
      </c>
      <c r="D222" s="1">
        <v>22032.3</v>
      </c>
      <c r="E222" s="17">
        <v>-2.9499999999999999E-3</v>
      </c>
      <c r="F222" s="3">
        <v>17154</v>
      </c>
      <c r="G222" s="16">
        <f t="shared" si="19"/>
        <v>9.6857875714120301E-3</v>
      </c>
      <c r="H222" s="1"/>
      <c r="I222" s="1"/>
      <c r="L222" s="120"/>
      <c r="S222" s="8">
        <v>45315</v>
      </c>
      <c r="T222" s="3">
        <v>1382.1</v>
      </c>
      <c r="U222" s="3">
        <f t="shared" si="20"/>
        <v>2.7570195167960776E-3</v>
      </c>
      <c r="V222" s="1"/>
      <c r="W222" s="1"/>
      <c r="X222" s="1"/>
      <c r="Y222" s="1"/>
      <c r="Z222" s="1"/>
      <c r="AA222" s="1"/>
      <c r="AB222" s="1"/>
      <c r="AC222" s="1"/>
      <c r="AD222" s="1"/>
      <c r="AE222" s="1"/>
      <c r="AF222" s="1"/>
    </row>
    <row r="223" spans="1:32">
      <c r="A223" s="8">
        <v>45307</v>
      </c>
      <c r="B223" s="3">
        <v>1313.45</v>
      </c>
      <c r="C223" s="16">
        <f t="shared" si="18"/>
        <v>-1.196073268890796E-2</v>
      </c>
      <c r="D223" s="1">
        <v>22097.45</v>
      </c>
      <c r="E223" s="17">
        <v>9.2669999999999992E-3</v>
      </c>
      <c r="F223" s="3">
        <v>17320.150000000001</v>
      </c>
      <c r="G223" s="16">
        <f t="shared" si="19"/>
        <v>1.1564564972012414E-2</v>
      </c>
      <c r="H223" s="1"/>
      <c r="I223" s="1"/>
      <c r="L223" s="120"/>
      <c r="S223" s="8">
        <v>45314</v>
      </c>
      <c r="T223" s="3">
        <v>1378.3</v>
      </c>
      <c r="U223" s="3">
        <f t="shared" si="20"/>
        <v>3.9324359989443058E-2</v>
      </c>
      <c r="V223" s="1"/>
      <c r="W223" s="1"/>
      <c r="X223" s="1"/>
      <c r="Y223" s="1"/>
      <c r="Z223" s="1"/>
      <c r="AA223" s="1"/>
      <c r="AB223" s="1"/>
      <c r="AC223" s="1"/>
      <c r="AD223" s="1"/>
      <c r="AE223" s="1"/>
      <c r="AF223" s="1"/>
    </row>
    <row r="224" spans="1:32">
      <c r="A224" s="8">
        <v>45306</v>
      </c>
      <c r="B224" s="3">
        <v>1329.35</v>
      </c>
      <c r="C224" s="16">
        <f t="shared" si="18"/>
        <v>2.5641992533653735E-3</v>
      </c>
      <c r="D224" s="1">
        <v>21894.55</v>
      </c>
      <c r="E224" s="17">
        <v>1.1426E-2</v>
      </c>
      <c r="F224" s="3">
        <v>17520.45</v>
      </c>
      <c r="G224" s="16">
        <f t="shared" si="19"/>
        <v>-9.8741756062201702E-3</v>
      </c>
      <c r="H224" s="1"/>
      <c r="I224" s="1"/>
      <c r="L224" s="120"/>
      <c r="S224" s="8">
        <v>45311</v>
      </c>
      <c r="T224" s="3">
        <v>1326.15</v>
      </c>
      <c r="U224" s="3">
        <f t="shared" si="20"/>
        <v>-7.0754716981130672E-3</v>
      </c>
      <c r="V224" s="1"/>
      <c r="W224" s="1"/>
      <c r="X224" s="1"/>
      <c r="Y224" s="1"/>
      <c r="Z224" s="1"/>
      <c r="AA224" s="1"/>
      <c r="AB224" s="1"/>
      <c r="AC224" s="1"/>
      <c r="AD224" s="1"/>
      <c r="AE224" s="1"/>
      <c r="AF224" s="1"/>
    </row>
    <row r="225" spans="1:32">
      <c r="A225" s="8">
        <v>45303</v>
      </c>
      <c r="B225" s="3">
        <v>1325.95</v>
      </c>
      <c r="C225" s="16">
        <f t="shared" si="18"/>
        <v>7.3694207027541481E-3</v>
      </c>
      <c r="D225" s="1">
        <v>21647.200000000001</v>
      </c>
      <c r="E225" s="17">
        <v>1.3179999999999999E-3</v>
      </c>
      <c r="F225" s="3">
        <v>17347.45</v>
      </c>
      <c r="G225" s="16">
        <f t="shared" si="19"/>
        <v>1.9080614153663689E-3</v>
      </c>
      <c r="H225" s="1"/>
      <c r="I225" s="1"/>
      <c r="L225" s="120"/>
      <c r="S225" s="8">
        <v>45310</v>
      </c>
      <c r="T225" s="3">
        <v>1335.6</v>
      </c>
      <c r="U225" s="3">
        <f t="shared" si="20"/>
        <v>-1.1229646266153193E-4</v>
      </c>
      <c r="V225" s="1"/>
      <c r="W225" s="1"/>
      <c r="X225" s="1"/>
      <c r="Y225" s="1"/>
      <c r="Z225" s="1"/>
      <c r="AA225" s="1"/>
      <c r="AB225" s="1"/>
      <c r="AC225" s="1"/>
      <c r="AD225" s="1"/>
      <c r="AE225" s="1"/>
      <c r="AF225" s="1"/>
    </row>
    <row r="226" spans="1:32">
      <c r="A226" s="8">
        <v>45302</v>
      </c>
      <c r="B226" s="3">
        <v>1316.25</v>
      </c>
      <c r="C226" s="16">
        <f t="shared" si="18"/>
        <v>-6.4913009019887946E-3</v>
      </c>
      <c r="D226" s="1">
        <v>21618.7</v>
      </c>
      <c r="E226" s="17">
        <v>3.4280000000000001E-3</v>
      </c>
      <c r="F226" s="3">
        <v>17380.55</v>
      </c>
      <c r="G226" s="16">
        <f t="shared" si="19"/>
        <v>1.2283846023286582E-3</v>
      </c>
      <c r="H226" s="1"/>
      <c r="I226" s="1"/>
      <c r="L226" s="120"/>
      <c r="S226" s="8">
        <v>45309</v>
      </c>
      <c r="T226" s="3">
        <v>1335.75</v>
      </c>
      <c r="U226" s="3">
        <f t="shared" si="20"/>
        <v>2.8290993071593551E-2</v>
      </c>
      <c r="V226" s="1"/>
      <c r="W226" s="1"/>
      <c r="X226" s="1"/>
      <c r="Y226" s="1"/>
      <c r="Z226" s="1"/>
      <c r="AA226" s="1"/>
      <c r="AB226" s="1"/>
      <c r="AC226" s="1"/>
      <c r="AD226" s="1"/>
      <c r="AE226" s="1"/>
      <c r="AF226" s="1"/>
    </row>
    <row r="227" spans="1:32">
      <c r="A227" s="8">
        <v>45301</v>
      </c>
      <c r="B227" s="3">
        <v>1324.85</v>
      </c>
      <c r="C227" s="16">
        <f t="shared" si="18"/>
        <v>6.4199395770381251E-4</v>
      </c>
      <c r="D227" s="1">
        <v>21544.85</v>
      </c>
      <c r="E227" s="17">
        <v>1.4809999999999999E-3</v>
      </c>
      <c r="F227" s="3">
        <v>17401.900000000001</v>
      </c>
      <c r="G227" s="16">
        <f t="shared" si="19"/>
        <v>-3.195053413707849E-3</v>
      </c>
      <c r="H227" s="1"/>
      <c r="I227" s="1"/>
      <c r="L227" s="120"/>
      <c r="S227" s="8">
        <v>45308</v>
      </c>
      <c r="T227" s="3">
        <v>1299</v>
      </c>
      <c r="U227" s="3">
        <f t="shared" si="20"/>
        <v>-1.1001560775058095E-2</v>
      </c>
      <c r="V227" s="1"/>
      <c r="W227" s="1"/>
      <c r="X227" s="1"/>
      <c r="Y227" s="1"/>
      <c r="Z227" s="1"/>
      <c r="AA227" s="1"/>
      <c r="AB227" s="1"/>
      <c r="AC227" s="1"/>
      <c r="AD227" s="1"/>
      <c r="AE227" s="1"/>
      <c r="AF227" s="1"/>
    </row>
    <row r="228" spans="1:32">
      <c r="A228" s="8">
        <v>45300</v>
      </c>
      <c r="B228" s="3">
        <v>1324</v>
      </c>
      <c r="C228" s="16">
        <f t="shared" si="18"/>
        <v>1.4326208534436669E-2</v>
      </c>
      <c r="D228" s="1">
        <v>21513</v>
      </c>
      <c r="E228" s="17">
        <v>-9.11E-3</v>
      </c>
      <c r="F228" s="3">
        <v>17346.3</v>
      </c>
      <c r="G228" s="16">
        <f t="shared" si="19"/>
        <v>-8.6675544640643087E-3</v>
      </c>
      <c r="H228" s="1"/>
      <c r="I228" s="1"/>
      <c r="L228" s="120"/>
      <c r="S228" s="8">
        <v>45307</v>
      </c>
      <c r="T228" s="3">
        <v>1313.45</v>
      </c>
      <c r="U228" s="3">
        <f t="shared" si="20"/>
        <v>-1.196073268890796E-2</v>
      </c>
      <c r="V228" s="1"/>
      <c r="W228" s="1"/>
      <c r="X228" s="1"/>
      <c r="Y228" s="1"/>
      <c r="Z228" s="1"/>
      <c r="AA228" s="1"/>
      <c r="AB228" s="1"/>
      <c r="AC228" s="1"/>
      <c r="AD228" s="1"/>
      <c r="AE228" s="1"/>
      <c r="AF228" s="1"/>
    </row>
    <row r="229" spans="1:32">
      <c r="A229" s="8">
        <v>45299</v>
      </c>
      <c r="B229" s="3">
        <v>1305.3</v>
      </c>
      <c r="C229" s="16">
        <f t="shared" si="18"/>
        <v>3.9224734656206905E-3</v>
      </c>
      <c r="D229" s="1">
        <v>21710.799999999999</v>
      </c>
      <c r="E229" s="17">
        <v>2.4099999999999998E-3</v>
      </c>
      <c r="F229" s="3">
        <v>17195.95</v>
      </c>
      <c r="G229" s="16">
        <f t="shared" si="19"/>
        <v>9.4586225244897015E-3</v>
      </c>
      <c r="H229" s="1"/>
      <c r="I229" s="1"/>
      <c r="L229" s="120"/>
      <c r="S229" s="8">
        <v>45306</v>
      </c>
      <c r="T229" s="3">
        <v>1329.35</v>
      </c>
      <c r="U229" s="3">
        <f t="shared" si="20"/>
        <v>2.5641992533653735E-3</v>
      </c>
      <c r="V229" s="1"/>
      <c r="W229" s="1"/>
      <c r="X229" s="1"/>
      <c r="Y229" s="1"/>
      <c r="Z229" s="1"/>
      <c r="AA229" s="1"/>
      <c r="AB229" s="1"/>
      <c r="AC229" s="1"/>
      <c r="AD229" s="1"/>
      <c r="AE229" s="1"/>
      <c r="AF229" s="1"/>
    </row>
    <row r="230" spans="1:32">
      <c r="A230" s="8">
        <v>45296</v>
      </c>
      <c r="B230" s="3">
        <v>1300.2</v>
      </c>
      <c r="C230" s="16">
        <f t="shared" si="18"/>
        <v>-9.7109562435736541E-3</v>
      </c>
      <c r="D230" s="1">
        <v>21658.6</v>
      </c>
      <c r="E230" s="17">
        <v>6.5640000000000004E-3</v>
      </c>
      <c r="F230" s="3">
        <v>17358.599999999999</v>
      </c>
      <c r="G230" s="16">
        <f t="shared" si="19"/>
        <v>3.1454149528189479E-3</v>
      </c>
      <c r="H230" s="1"/>
      <c r="I230" s="1"/>
      <c r="L230" s="120"/>
      <c r="S230" s="8">
        <v>45303</v>
      </c>
      <c r="T230" s="3">
        <v>1325.95</v>
      </c>
      <c r="U230" s="3">
        <f t="shared" si="20"/>
        <v>7.3694207027541481E-3</v>
      </c>
      <c r="V230" s="1"/>
      <c r="W230" s="1"/>
      <c r="X230" s="1"/>
      <c r="Y230" s="1"/>
      <c r="Z230" s="1"/>
      <c r="AA230" s="1"/>
      <c r="AB230" s="1"/>
      <c r="AC230" s="1"/>
      <c r="AD230" s="1"/>
      <c r="AE230" s="1"/>
      <c r="AF230" s="1"/>
    </row>
    <row r="231" spans="1:32">
      <c r="A231" s="8">
        <v>45295</v>
      </c>
      <c r="B231" s="3">
        <v>1312.95</v>
      </c>
      <c r="C231" s="16">
        <f t="shared" si="18"/>
        <v>1.1050361928230501E-2</v>
      </c>
      <c r="D231" s="1">
        <v>21517.35</v>
      </c>
      <c r="E231" s="17">
        <v>-6.8500000000000002E-3</v>
      </c>
      <c r="F231" s="3">
        <v>17413.2</v>
      </c>
      <c r="G231" s="16">
        <f t="shared" si="19"/>
        <v>-1.9180851308203684E-3</v>
      </c>
      <c r="H231" s="1"/>
      <c r="I231" s="1"/>
      <c r="L231" s="120"/>
      <c r="S231" s="8">
        <v>45302</v>
      </c>
      <c r="T231" s="3">
        <v>1316.25</v>
      </c>
      <c r="U231" s="3">
        <f t="shared" si="20"/>
        <v>-6.4913009019887946E-3</v>
      </c>
      <c r="V231" s="1"/>
      <c r="W231" s="1"/>
      <c r="X231" s="1"/>
      <c r="Y231" s="1"/>
      <c r="Z231" s="1"/>
      <c r="AA231" s="1"/>
      <c r="AB231" s="1"/>
      <c r="AC231" s="1"/>
      <c r="AD231" s="1"/>
      <c r="AE231" s="1"/>
      <c r="AF231" s="1"/>
    </row>
    <row r="232" spans="1:32">
      <c r="A232" s="8">
        <v>45294</v>
      </c>
      <c r="B232" s="3">
        <v>1298.5999999999999</v>
      </c>
      <c r="C232" s="16">
        <f t="shared" si="18"/>
        <v>1.8515661163400754E-3</v>
      </c>
      <c r="D232" s="1">
        <v>21665.8</v>
      </c>
      <c r="E232" s="17">
        <v>-3.5000000000000001E-3</v>
      </c>
      <c r="F232" s="3">
        <v>17379.8</v>
      </c>
      <c r="G232" s="16">
        <f t="shared" si="19"/>
        <v>-6.0702654806153999E-3</v>
      </c>
      <c r="H232" s="1"/>
      <c r="I232" s="1"/>
      <c r="L232" s="120"/>
      <c r="S232" s="8">
        <v>45301</v>
      </c>
      <c r="T232" s="3">
        <v>1324.85</v>
      </c>
      <c r="U232" s="3">
        <f t="shared" si="20"/>
        <v>6.4199395770381251E-4</v>
      </c>
      <c r="V232" s="1"/>
      <c r="W232" s="1"/>
      <c r="X232" s="1"/>
      <c r="Y232" s="1"/>
      <c r="Z232" s="1"/>
      <c r="AA232" s="1"/>
      <c r="AB232" s="1"/>
      <c r="AC232" s="1"/>
      <c r="AD232" s="1"/>
      <c r="AE232" s="1"/>
      <c r="AF232" s="1"/>
    </row>
    <row r="233" spans="1:32">
      <c r="A233" s="8">
        <v>45293</v>
      </c>
      <c r="B233" s="3">
        <v>1296.2</v>
      </c>
      <c r="C233" s="16">
        <f t="shared" si="18"/>
        <v>2.8526086094029068E-2</v>
      </c>
      <c r="D233" s="1">
        <v>21741.9</v>
      </c>
      <c r="E233" s="17">
        <v>4.8299999999999998E-4</v>
      </c>
      <c r="F233" s="3">
        <v>17274.3</v>
      </c>
      <c r="G233" s="16">
        <f t="shared" si="19"/>
        <v>-2.4055967535587475E-2</v>
      </c>
      <c r="H233" s="1"/>
      <c r="I233" s="1"/>
      <c r="L233" s="120"/>
      <c r="S233" s="8">
        <v>45300</v>
      </c>
      <c r="T233" s="3">
        <v>1324</v>
      </c>
      <c r="U233" s="3">
        <f t="shared" si="20"/>
        <v>1.4326208534436669E-2</v>
      </c>
      <c r="V233" s="1"/>
      <c r="W233" s="1"/>
      <c r="X233" s="1"/>
      <c r="Y233" s="1"/>
      <c r="Z233" s="1"/>
      <c r="AA233" s="1"/>
      <c r="AB233" s="1"/>
      <c r="AC233" s="1"/>
      <c r="AD233" s="1"/>
      <c r="AE233" s="1"/>
      <c r="AF233" s="1"/>
    </row>
    <row r="234" spans="1:32">
      <c r="A234" s="8">
        <v>45292</v>
      </c>
      <c r="B234" s="3">
        <v>1260.25</v>
      </c>
      <c r="C234" s="16">
        <f t="shared" si="18"/>
        <v>6.3519790384680697E-4</v>
      </c>
      <c r="D234" s="1">
        <v>21731.4</v>
      </c>
      <c r="E234" s="17">
        <v>-2.1700000000000001E-3</v>
      </c>
      <c r="F234" s="3">
        <v>16858.75</v>
      </c>
      <c r="G234" s="16">
        <f t="shared" si="19"/>
        <v>-1.5985764069104125E-3</v>
      </c>
      <c r="H234" s="1"/>
      <c r="I234" s="1"/>
      <c r="L234" s="120"/>
      <c r="S234" s="8">
        <v>45299</v>
      </c>
      <c r="T234" s="3">
        <v>1305.3</v>
      </c>
      <c r="U234" s="3">
        <f t="shared" si="20"/>
        <v>3.9224734656206905E-3</v>
      </c>
      <c r="V234" s="1"/>
      <c r="W234" s="1"/>
      <c r="X234" s="1"/>
      <c r="Y234" s="1"/>
      <c r="Z234" s="1"/>
      <c r="AA234" s="1"/>
      <c r="AB234" s="1"/>
      <c r="AC234" s="1"/>
      <c r="AD234" s="1"/>
      <c r="AE234" s="1"/>
      <c r="AF234" s="1"/>
    </row>
    <row r="235" spans="1:32">
      <c r="A235" s="8">
        <v>45289</v>
      </c>
      <c r="B235" s="3">
        <v>1259.45</v>
      </c>
      <c r="C235" s="16">
        <f t="shared" si="18"/>
        <v>-2.1392069088460586E-3</v>
      </c>
      <c r="D235" s="1">
        <v>21778.7</v>
      </c>
      <c r="E235" s="17">
        <v>5.7239999999999999E-3</v>
      </c>
      <c r="F235" s="3">
        <v>16831.8</v>
      </c>
      <c r="G235" s="16">
        <f t="shared" si="19"/>
        <v>1.7258997849307622E-3</v>
      </c>
      <c r="H235" s="1"/>
      <c r="I235" s="1"/>
      <c r="L235" s="120"/>
      <c r="S235" s="8">
        <v>45296</v>
      </c>
      <c r="T235" s="3">
        <v>1300.2</v>
      </c>
      <c r="U235" s="3">
        <f t="shared" si="20"/>
        <v>-9.7109562435736541E-3</v>
      </c>
      <c r="V235" s="1"/>
      <c r="W235" s="1"/>
      <c r="X235" s="1"/>
      <c r="Y235" s="1"/>
      <c r="Z235" s="1"/>
      <c r="AA235" s="1"/>
      <c r="AB235" s="1"/>
      <c r="AC235" s="1"/>
      <c r="AD235" s="1"/>
      <c r="AE235" s="1"/>
      <c r="AF235" s="1"/>
    </row>
    <row r="236" spans="1:32">
      <c r="A236" s="8">
        <v>45288</v>
      </c>
      <c r="B236" s="3">
        <v>1262.1500000000001</v>
      </c>
      <c r="C236" s="16">
        <f t="shared" si="18"/>
        <v>7.7448201525012195E-3</v>
      </c>
      <c r="D236" s="1">
        <v>21654.75</v>
      </c>
      <c r="E236" s="17">
        <v>9.953E-3</v>
      </c>
      <c r="F236" s="3">
        <v>16860.849999999999</v>
      </c>
      <c r="G236" s="16">
        <f t="shared" si="19"/>
        <v>-1.215241224493413E-2</v>
      </c>
      <c r="H236" s="1"/>
      <c r="I236" s="1"/>
      <c r="L236" s="120"/>
      <c r="S236" s="8">
        <v>45295</v>
      </c>
      <c r="T236" s="3">
        <v>1312.95</v>
      </c>
      <c r="U236" s="3">
        <f t="shared" si="20"/>
        <v>1.1050361928230501E-2</v>
      </c>
      <c r="V236" s="1"/>
      <c r="W236" s="1"/>
      <c r="X236" s="1"/>
      <c r="Y236" s="1"/>
      <c r="Z236" s="1"/>
      <c r="AA236" s="1"/>
      <c r="AB236" s="1"/>
      <c r="AC236" s="1"/>
      <c r="AD236" s="1"/>
      <c r="AE236" s="1"/>
      <c r="AF236" s="1"/>
    </row>
    <row r="237" spans="1:32">
      <c r="A237" s="8">
        <v>45287</v>
      </c>
      <c r="B237" s="3">
        <v>1252.45</v>
      </c>
      <c r="C237" s="16">
        <f t="shared" si="18"/>
        <v>3.9679358717434887E-3</v>
      </c>
      <c r="D237" s="1">
        <v>21441.35</v>
      </c>
      <c r="E237" s="17">
        <v>4.3070000000000001E-3</v>
      </c>
      <c r="F237" s="3">
        <v>16655.95</v>
      </c>
      <c r="G237" s="16">
        <f t="shared" si="19"/>
        <v>-5.6046037602179855E-3</v>
      </c>
      <c r="H237" s="1"/>
      <c r="I237" s="1"/>
      <c r="L237" s="120"/>
      <c r="S237" s="8">
        <v>45294</v>
      </c>
      <c r="T237" s="3">
        <v>1298.5999999999999</v>
      </c>
      <c r="U237" s="3">
        <f t="shared" si="20"/>
        <v>1.8515661163400754E-3</v>
      </c>
      <c r="V237" s="1"/>
      <c r="W237" s="1"/>
      <c r="X237" s="1"/>
      <c r="Y237" s="1"/>
      <c r="Z237" s="1"/>
      <c r="AA237" s="1"/>
      <c r="AB237" s="1"/>
      <c r="AC237" s="1"/>
      <c r="AD237" s="1"/>
      <c r="AE237" s="1"/>
      <c r="AF237" s="1"/>
    </row>
    <row r="238" spans="1:32">
      <c r="A238" s="8">
        <v>45286</v>
      </c>
      <c r="B238" s="3">
        <v>1247.5</v>
      </c>
      <c r="C238" s="16">
        <f t="shared" si="18"/>
        <v>3.0957262895507931E-3</v>
      </c>
      <c r="D238" s="1">
        <v>21349.4</v>
      </c>
      <c r="E238" s="17">
        <v>4.4390000000000002E-3</v>
      </c>
      <c r="F238" s="3">
        <v>16562.599999999999</v>
      </c>
      <c r="G238" s="16">
        <f t="shared" si="19"/>
        <v>-1.0158429232125399E-2</v>
      </c>
      <c r="H238" s="1"/>
      <c r="I238" s="1"/>
      <c r="L238" s="120"/>
      <c r="S238" s="8">
        <v>45293</v>
      </c>
      <c r="T238" s="3">
        <v>1296.2</v>
      </c>
      <c r="U238" s="3">
        <f t="shared" si="20"/>
        <v>2.8526086094029068E-2</v>
      </c>
      <c r="V238" s="1"/>
      <c r="W238" s="1"/>
      <c r="X238" s="1"/>
      <c r="Y238" s="1"/>
      <c r="Z238" s="1"/>
      <c r="AA238" s="1"/>
      <c r="AB238" s="1"/>
      <c r="AC238" s="1"/>
      <c r="AD238" s="1"/>
      <c r="AE238" s="1"/>
      <c r="AF238" s="1"/>
    </row>
    <row r="239" spans="1:32">
      <c r="A239" s="8">
        <v>45282</v>
      </c>
      <c r="B239" s="3">
        <v>1243.6500000000001</v>
      </c>
      <c r="C239" s="16">
        <f t="shared" si="18"/>
        <v>8.22861775435757E-3</v>
      </c>
      <c r="D239" s="1">
        <v>21255.05</v>
      </c>
      <c r="E239" s="17">
        <v>4.96E-3</v>
      </c>
      <c r="F239" s="3">
        <v>16394.349999999999</v>
      </c>
      <c r="G239" s="16">
        <f t="shared" si="19"/>
        <v>-9.5276726433191072E-3</v>
      </c>
      <c r="H239" s="1"/>
      <c r="I239" s="1"/>
      <c r="L239" s="120"/>
      <c r="S239" s="8">
        <v>45292</v>
      </c>
      <c r="T239" s="3">
        <v>1260.25</v>
      </c>
      <c r="U239" s="3">
        <f t="shared" si="20"/>
        <v>6.3519790384680697E-4</v>
      </c>
      <c r="V239" s="1"/>
      <c r="W239" s="1"/>
      <c r="X239" s="1"/>
      <c r="Y239" s="1"/>
      <c r="Z239" s="1"/>
      <c r="AA239" s="1"/>
      <c r="AB239" s="1"/>
      <c r="AC239" s="1"/>
      <c r="AD239" s="1"/>
      <c r="AE239" s="1"/>
      <c r="AF239" s="1"/>
    </row>
    <row r="240" spans="1:32">
      <c r="A240" s="8">
        <v>45281</v>
      </c>
      <c r="B240" s="3">
        <v>1233.5</v>
      </c>
      <c r="C240" s="16">
        <f t="shared" si="18"/>
        <v>1.0956458223430054E-3</v>
      </c>
      <c r="D240" s="1">
        <v>21150.15</v>
      </c>
      <c r="E240" s="17">
        <v>-1.4120000000000001E-2</v>
      </c>
      <c r="F240" s="3">
        <v>16238.15</v>
      </c>
      <c r="G240" s="16">
        <f t="shared" si="19"/>
        <v>-7.1990959561279988E-3</v>
      </c>
      <c r="H240" s="1"/>
      <c r="I240" s="1"/>
      <c r="L240" s="120"/>
      <c r="S240" s="8">
        <v>45289</v>
      </c>
      <c r="T240" s="3">
        <v>1259.45</v>
      </c>
      <c r="U240" s="3">
        <f t="shared" si="20"/>
        <v>-2.1392069088460586E-3</v>
      </c>
      <c r="V240" s="1"/>
      <c r="W240" s="1"/>
      <c r="X240" s="1"/>
      <c r="Y240" s="1"/>
      <c r="Z240" s="1"/>
      <c r="AA240" s="1"/>
      <c r="AB240" s="1"/>
      <c r="AC240" s="1"/>
      <c r="AD240" s="1"/>
      <c r="AE240" s="1"/>
      <c r="AF240" s="1"/>
    </row>
    <row r="241" spans="1:32">
      <c r="A241" s="8">
        <v>45280</v>
      </c>
      <c r="B241" s="3">
        <v>1232.1500000000001</v>
      </c>
      <c r="C241" s="16">
        <f t="shared" si="18"/>
        <v>-1.0281537411141017E-2</v>
      </c>
      <c r="D241" s="1">
        <v>21453.1</v>
      </c>
      <c r="E241" s="17">
        <v>1.6080000000000001E-3</v>
      </c>
      <c r="F241" s="3">
        <v>16121.25</v>
      </c>
      <c r="G241" s="16">
        <f t="shared" si="19"/>
        <v>1.6748080949057886E-2</v>
      </c>
      <c r="H241" s="1"/>
      <c r="I241" s="1"/>
      <c r="L241" s="120"/>
      <c r="S241" s="8">
        <v>45288</v>
      </c>
      <c r="T241" s="3">
        <v>1262.1500000000001</v>
      </c>
      <c r="U241" s="3">
        <f t="shared" si="20"/>
        <v>7.7448201525012195E-3</v>
      </c>
      <c r="V241" s="1"/>
      <c r="W241" s="1"/>
      <c r="X241" s="1"/>
      <c r="Y241" s="1"/>
      <c r="Z241" s="1"/>
      <c r="AA241" s="1"/>
      <c r="AB241" s="1"/>
      <c r="AC241" s="1"/>
      <c r="AD241" s="1"/>
      <c r="AE241" s="1"/>
      <c r="AF241" s="1"/>
    </row>
    <row r="242" spans="1:32">
      <c r="A242" s="8">
        <v>45279</v>
      </c>
      <c r="B242" s="3">
        <v>1244.95</v>
      </c>
      <c r="C242" s="16">
        <f t="shared" si="18"/>
        <v>-6.2263021353022863E-3</v>
      </c>
      <c r="D242" s="1">
        <v>21418.65</v>
      </c>
      <c r="E242" s="17">
        <v>-1.7700000000000001E-3</v>
      </c>
      <c r="F242" s="3">
        <v>16391.25</v>
      </c>
      <c r="G242" s="16">
        <f t="shared" si="19"/>
        <v>-3.6055822466255494E-3</v>
      </c>
      <c r="H242" s="1"/>
      <c r="I242" s="1"/>
      <c r="L242" s="120"/>
      <c r="S242" s="8">
        <v>45287</v>
      </c>
      <c r="T242" s="3">
        <v>1252.45</v>
      </c>
      <c r="U242" s="3">
        <f t="shared" si="20"/>
        <v>3.9679358717434887E-3</v>
      </c>
      <c r="V242" s="1"/>
      <c r="W242" s="1"/>
      <c r="X242" s="1"/>
      <c r="Y242" s="1"/>
      <c r="Z242" s="1"/>
      <c r="AA242" s="1"/>
      <c r="AB242" s="1"/>
      <c r="AC242" s="1"/>
      <c r="AD242" s="1"/>
      <c r="AE242" s="1"/>
      <c r="AF242" s="1"/>
    </row>
    <row r="243" spans="1:32">
      <c r="A243" s="8">
        <v>45278</v>
      </c>
      <c r="B243" s="3">
        <v>1252.75</v>
      </c>
      <c r="C243" s="16">
        <f t="shared" si="18"/>
        <v>1.3756827837345664E-2</v>
      </c>
      <c r="D243" s="1">
        <v>21456.65</v>
      </c>
      <c r="E243" s="17">
        <v>1.2933E-2</v>
      </c>
      <c r="F243" s="3">
        <v>16332.15</v>
      </c>
      <c r="G243" s="16">
        <f t="shared" si="19"/>
        <v>-9.3282268409241587E-3</v>
      </c>
      <c r="H243" s="1"/>
      <c r="I243" s="1"/>
      <c r="L243" s="120"/>
      <c r="S243" s="8">
        <v>45286</v>
      </c>
      <c r="T243" s="3">
        <v>1247.5</v>
      </c>
      <c r="U243" s="3">
        <f t="shared" si="20"/>
        <v>3.0957262895507931E-3</v>
      </c>
      <c r="V243" s="1"/>
      <c r="W243" s="1"/>
      <c r="X243" s="1"/>
      <c r="Y243" s="1"/>
      <c r="Z243" s="1"/>
      <c r="AA243" s="1"/>
      <c r="AB243" s="1"/>
      <c r="AC243" s="1"/>
      <c r="AD243" s="1"/>
      <c r="AE243" s="1"/>
      <c r="AF243" s="1"/>
    </row>
    <row r="244" spans="1:32">
      <c r="A244" s="8">
        <v>45275</v>
      </c>
      <c r="B244" s="3">
        <v>1235.75</v>
      </c>
      <c r="C244" s="16">
        <f t="shared" si="18"/>
        <v>3.6140664338504269E-3</v>
      </c>
      <c r="D244" s="1">
        <v>21182.7</v>
      </c>
      <c r="E244" s="17">
        <v>1.225E-2</v>
      </c>
      <c r="F244" s="3">
        <v>16179.8</v>
      </c>
      <c r="G244" s="16">
        <f t="shared" si="19"/>
        <v>-1.489511613246064E-3</v>
      </c>
      <c r="H244" s="1"/>
      <c r="I244" s="1"/>
      <c r="L244" s="120"/>
      <c r="S244" s="8">
        <v>45282</v>
      </c>
      <c r="T244" s="3">
        <v>1243.6500000000001</v>
      </c>
      <c r="U244" s="3">
        <f t="shared" si="20"/>
        <v>8.22861775435757E-3</v>
      </c>
      <c r="V244" s="1"/>
      <c r="W244" s="1"/>
      <c r="X244" s="1"/>
      <c r="Y244" s="1"/>
      <c r="Z244" s="1"/>
      <c r="AA244" s="1"/>
      <c r="AB244" s="1"/>
      <c r="AC244" s="1"/>
      <c r="AD244" s="1"/>
      <c r="AE244" s="1"/>
      <c r="AF244" s="1"/>
    </row>
    <row r="245" spans="1:32">
      <c r="A245" s="8">
        <v>45274</v>
      </c>
      <c r="B245" s="3">
        <v>1231.3</v>
      </c>
      <c r="C245" s="16">
        <f t="shared" si="18"/>
        <v>-1.4597356256588201E-3</v>
      </c>
      <c r="D245" s="1">
        <v>20926.349999999999</v>
      </c>
      <c r="E245" s="17">
        <v>9.5399999999999999E-4</v>
      </c>
      <c r="F245" s="3">
        <v>16155.7</v>
      </c>
      <c r="G245" s="16">
        <f t="shared" si="19"/>
        <v>-8.2323885687407561E-4</v>
      </c>
      <c r="H245" s="1"/>
      <c r="I245" s="1"/>
      <c r="L245" s="120"/>
      <c r="S245" s="8">
        <v>45281</v>
      </c>
      <c r="T245" s="3">
        <v>1233.5</v>
      </c>
      <c r="U245" s="3">
        <f t="shared" si="20"/>
        <v>1.0956458223430054E-3</v>
      </c>
      <c r="V245" s="1"/>
      <c r="W245" s="1"/>
      <c r="X245" s="1"/>
      <c r="Y245" s="1"/>
      <c r="Z245" s="1"/>
      <c r="AA245" s="1"/>
      <c r="AB245" s="1"/>
      <c r="AC245" s="1"/>
      <c r="AD245" s="1"/>
      <c r="AE245" s="1"/>
      <c r="AF245" s="1"/>
    </row>
    <row r="246" spans="1:32">
      <c r="A246" s="8">
        <v>45273</v>
      </c>
      <c r="B246" s="3">
        <v>1233.0999999999999</v>
      </c>
      <c r="C246" s="16">
        <f t="shared" si="18"/>
        <v>1.2397372742200208E-2</v>
      </c>
      <c r="D246" s="1">
        <v>20906.400000000001</v>
      </c>
      <c r="E246" s="17">
        <v>-4.3200000000000001E-3</v>
      </c>
      <c r="F246" s="3">
        <v>16142.4</v>
      </c>
      <c r="G246" s="16">
        <f t="shared" si="19"/>
        <v>-1.1082614728912699E-2</v>
      </c>
      <c r="H246" s="1"/>
      <c r="I246" s="1"/>
      <c r="L246" s="120"/>
      <c r="S246" s="8">
        <v>45280</v>
      </c>
      <c r="T246" s="3">
        <v>1232.1500000000001</v>
      </c>
      <c r="U246" s="3">
        <f t="shared" si="20"/>
        <v>-1.0281537411141017E-2</v>
      </c>
      <c r="V246" s="1"/>
      <c r="W246" s="1"/>
      <c r="X246" s="1"/>
      <c r="Y246" s="1"/>
      <c r="Z246" s="1"/>
      <c r="AA246" s="1"/>
      <c r="AB246" s="1"/>
      <c r="AC246" s="1"/>
      <c r="AD246" s="1"/>
      <c r="AE246" s="1"/>
      <c r="AF246" s="1"/>
    </row>
    <row r="247" spans="1:32">
      <c r="A247" s="8">
        <v>45272</v>
      </c>
      <c r="B247" s="3">
        <v>1218</v>
      </c>
      <c r="C247" s="16">
        <f t="shared" si="18"/>
        <v>-1.8849685838569386E-2</v>
      </c>
      <c r="D247" s="1">
        <v>20997.1</v>
      </c>
      <c r="E247" s="17">
        <v>1.3209999999999999E-3</v>
      </c>
      <c r="F247" s="3">
        <v>15963.5</v>
      </c>
      <c r="G247" s="16">
        <f t="shared" si="19"/>
        <v>4.7859178751525899E-3</v>
      </c>
      <c r="H247" s="1"/>
      <c r="I247" s="1"/>
      <c r="L247" s="120"/>
      <c r="S247" s="8">
        <v>45279</v>
      </c>
      <c r="T247" s="3">
        <v>1244.95</v>
      </c>
      <c r="U247" s="3">
        <f t="shared" si="20"/>
        <v>-6.2263021353022863E-3</v>
      </c>
      <c r="V247" s="1"/>
      <c r="W247" s="1"/>
      <c r="X247" s="1"/>
      <c r="Y247" s="1"/>
      <c r="Z247" s="1"/>
      <c r="AA247" s="1"/>
      <c r="AB247" s="1"/>
      <c r="AC247" s="1"/>
      <c r="AD247" s="1"/>
      <c r="AE247" s="1"/>
      <c r="AF247" s="1"/>
    </row>
    <row r="248" spans="1:32">
      <c r="A248" s="8">
        <v>45271</v>
      </c>
      <c r="B248" s="3">
        <v>1241.4000000000001</v>
      </c>
      <c r="C248" s="16">
        <f t="shared" si="18"/>
        <v>4.5314775853699807E-3</v>
      </c>
      <c r="D248" s="1">
        <v>20969.400000000001</v>
      </c>
      <c r="E248" s="17">
        <v>3.2650000000000001E-3</v>
      </c>
      <c r="F248" s="3">
        <v>16039.9</v>
      </c>
      <c r="G248" s="16">
        <f t="shared" si="19"/>
        <v>7.683963116976944E-3</v>
      </c>
      <c r="H248" s="1"/>
      <c r="I248" s="1"/>
      <c r="L248" s="120"/>
      <c r="S248" s="8">
        <v>45278</v>
      </c>
      <c r="T248" s="3">
        <v>1252.75</v>
      </c>
      <c r="U248" s="3">
        <f t="shared" si="20"/>
        <v>1.3756827837345664E-2</v>
      </c>
      <c r="V248" s="1"/>
      <c r="W248" s="1"/>
      <c r="X248" s="1"/>
      <c r="Y248" s="1"/>
      <c r="Z248" s="1"/>
      <c r="AA248" s="1"/>
      <c r="AB248" s="1"/>
      <c r="AC248" s="1"/>
      <c r="AD248" s="1"/>
      <c r="AE248" s="1"/>
      <c r="AF248" s="1"/>
    </row>
    <row r="249" spans="1:32">
      <c r="A249" s="8">
        <v>45268</v>
      </c>
      <c r="B249" s="3">
        <v>1235.8</v>
      </c>
      <c r="C249" s="16">
        <f t="shared" si="18"/>
        <v>-2.8241749374646741E-3</v>
      </c>
      <c r="D249" s="1">
        <v>20901.150000000001</v>
      </c>
      <c r="E249" s="17">
        <v>-1.75E-3</v>
      </c>
      <c r="F249" s="3">
        <v>16163.15</v>
      </c>
      <c r="G249" s="16">
        <f t="shared" si="19"/>
        <v>8.1079492549411825E-3</v>
      </c>
      <c r="H249" s="1"/>
      <c r="I249" s="1"/>
      <c r="L249" s="120"/>
      <c r="S249" s="8">
        <v>45275</v>
      </c>
      <c r="T249" s="3">
        <v>1235.75</v>
      </c>
      <c r="U249" s="3">
        <f t="shared" si="20"/>
        <v>3.6140664338504269E-3</v>
      </c>
      <c r="V249" s="1"/>
      <c r="W249" s="1"/>
      <c r="X249" s="1"/>
      <c r="Y249" s="1"/>
      <c r="Z249" s="1"/>
      <c r="AA249" s="1"/>
      <c r="AB249" s="1"/>
      <c r="AC249" s="1"/>
      <c r="AD249" s="1"/>
      <c r="AE249" s="1"/>
      <c r="AF249" s="1"/>
    </row>
    <row r="250" spans="1:32">
      <c r="A250" s="8">
        <v>45267</v>
      </c>
      <c r="B250" s="3">
        <v>1239.3</v>
      </c>
      <c r="C250" s="16">
        <f t="shared" si="18"/>
        <v>-8.4653525214650749E-4</v>
      </c>
      <c r="D250" s="1">
        <v>20937.7</v>
      </c>
      <c r="E250" s="17">
        <v>3.9610000000000001E-3</v>
      </c>
      <c r="F250" s="3">
        <v>16294.2</v>
      </c>
      <c r="G250" s="16">
        <f t="shared" si="19"/>
        <v>-7.6499613359355401E-3</v>
      </c>
      <c r="H250" s="1"/>
      <c r="I250" s="1"/>
      <c r="L250" s="120"/>
      <c r="S250" s="8">
        <v>45274</v>
      </c>
      <c r="T250" s="3">
        <v>1231.3</v>
      </c>
      <c r="U250" s="3">
        <f t="shared" si="20"/>
        <v>-1.4597356256588201E-3</v>
      </c>
      <c r="V250" s="1"/>
      <c r="W250" s="1"/>
      <c r="X250" s="1"/>
      <c r="Y250" s="1"/>
      <c r="Z250" s="1"/>
      <c r="AA250" s="1"/>
      <c r="AB250" s="1"/>
      <c r="AC250" s="1"/>
      <c r="AD250" s="1"/>
      <c r="AE250" s="1"/>
      <c r="AF250" s="1"/>
    </row>
    <row r="251" spans="1:32">
      <c r="A251" s="8">
        <v>45266</v>
      </c>
      <c r="B251" s="3">
        <v>1240.3499999999999</v>
      </c>
      <c r="C251" s="16">
        <f t="shared" si="18"/>
        <v>6.4539550643383237E-4</v>
      </c>
      <c r="D251" s="1">
        <v>20855.099999999999</v>
      </c>
      <c r="E251" s="17">
        <v>8.1359999999999991E-3</v>
      </c>
      <c r="F251" s="3">
        <v>16169.55</v>
      </c>
      <c r="G251" s="16">
        <f t="shared" si="19"/>
        <v>3.7168628687873628E-3</v>
      </c>
      <c r="H251" s="1"/>
      <c r="I251" s="1"/>
      <c r="L251" s="120"/>
      <c r="S251" s="8">
        <v>45273</v>
      </c>
      <c r="T251" s="3">
        <v>1233.0999999999999</v>
      </c>
      <c r="U251" s="3">
        <f t="shared" si="20"/>
        <v>1.2397372742200208E-2</v>
      </c>
      <c r="V251" s="1"/>
      <c r="W251" s="1"/>
      <c r="X251" s="1"/>
      <c r="Y251" s="1"/>
      <c r="Z251" s="1"/>
      <c r="AA251" s="1"/>
      <c r="AB251" s="1"/>
      <c r="AC251" s="1"/>
      <c r="AD251" s="1"/>
      <c r="AE251" s="1"/>
      <c r="AF251" s="1"/>
    </row>
    <row r="252" spans="1:32">
      <c r="A252" s="8">
        <v>45265</v>
      </c>
      <c r="B252" s="3">
        <v>1239.55</v>
      </c>
      <c r="C252" s="16">
        <f t="shared" si="18"/>
        <v>6.8228891686632487E-3</v>
      </c>
      <c r="D252" s="1">
        <v>20686.8</v>
      </c>
      <c r="E252" s="17">
        <v>2.0667999999999999E-2</v>
      </c>
      <c r="F252" s="3">
        <v>16229.65</v>
      </c>
      <c r="G252" s="16">
        <f t="shared" si="19"/>
        <v>-7.7019529071797876E-5</v>
      </c>
      <c r="H252" s="1"/>
      <c r="I252" s="1"/>
      <c r="L252" s="120"/>
      <c r="S252" s="8">
        <v>45272</v>
      </c>
      <c r="T252" s="3">
        <v>1218</v>
      </c>
      <c r="U252" s="3">
        <f t="shared" si="20"/>
        <v>-1.8849685838569386E-2</v>
      </c>
      <c r="V252" s="1"/>
      <c r="W252" s="1"/>
      <c r="X252" s="1"/>
      <c r="Y252" s="1"/>
      <c r="Z252" s="1"/>
      <c r="AA252" s="1"/>
      <c r="AB252" s="1"/>
      <c r="AC252" s="1"/>
      <c r="AD252" s="1"/>
      <c r="AE252" s="1"/>
      <c r="AF252" s="1"/>
    </row>
    <row r="253" spans="1:32">
      <c r="A253" s="8">
        <v>45264</v>
      </c>
      <c r="B253" s="3">
        <v>1231.1500000000001</v>
      </c>
      <c r="C253" s="16">
        <f t="shared" si="18"/>
        <v>-8.1218274111560795E-5</v>
      </c>
      <c r="D253" s="1">
        <v>20267.900000000001</v>
      </c>
      <c r="E253" s="17">
        <v>6.6930000000000002E-3</v>
      </c>
      <c r="F253" s="3">
        <v>16228.4</v>
      </c>
      <c r="G253" s="16">
        <f t="shared" si="19"/>
        <v>1.7654235784181349E-3</v>
      </c>
      <c r="H253" s="1"/>
      <c r="I253" s="1"/>
      <c r="L253" s="120"/>
      <c r="S253" s="8">
        <v>45271</v>
      </c>
      <c r="T253" s="3">
        <v>1241.4000000000001</v>
      </c>
      <c r="U253" s="3">
        <f t="shared" si="20"/>
        <v>4.5314775853699807E-3</v>
      </c>
      <c r="V253" s="1"/>
      <c r="W253" s="1"/>
      <c r="X253" s="1"/>
      <c r="Y253" s="1"/>
      <c r="Z253" s="1"/>
      <c r="AA253" s="1"/>
      <c r="AB253" s="1"/>
      <c r="AC253" s="1"/>
      <c r="AD253" s="1"/>
      <c r="AE253" s="1"/>
      <c r="AF253" s="1"/>
    </row>
    <row r="254" spans="1:32">
      <c r="A254" s="8">
        <v>45261</v>
      </c>
      <c r="B254" s="3">
        <v>1231.25</v>
      </c>
      <c r="C254" s="16">
        <f t="shared" si="18"/>
        <v>4.4051066606844991E-3</v>
      </c>
      <c r="D254" s="1">
        <v>20133.150000000001</v>
      </c>
      <c r="E254" s="17">
        <v>1.8190000000000001E-3</v>
      </c>
      <c r="F254" s="3">
        <v>16257.05</v>
      </c>
      <c r="G254" s="16">
        <f t="shared" si="19"/>
        <v>-1.1164387142809096E-3</v>
      </c>
      <c r="H254" s="1"/>
      <c r="I254" s="1"/>
      <c r="L254" s="120"/>
      <c r="S254" s="8">
        <v>45268</v>
      </c>
      <c r="T254" s="3">
        <v>1235.8</v>
      </c>
      <c r="U254" s="3">
        <f t="shared" si="20"/>
        <v>-2.8241749374646741E-3</v>
      </c>
      <c r="V254" s="1"/>
      <c r="W254" s="1"/>
      <c r="X254" s="1"/>
      <c r="Y254" s="1"/>
      <c r="Z254" s="1"/>
      <c r="AA254" s="1"/>
      <c r="AB254" s="1"/>
      <c r="AC254" s="1"/>
      <c r="AD254" s="1"/>
      <c r="AE254" s="1"/>
      <c r="AF254" s="1"/>
    </row>
    <row r="255" spans="1:32">
      <c r="A255" s="8">
        <v>45260</v>
      </c>
      <c r="B255" s="3">
        <v>1225.8499999999999</v>
      </c>
      <c r="C255" s="16">
        <f t="shared" si="18"/>
        <v>1.9672267509565744E-2</v>
      </c>
      <c r="D255" s="1">
        <v>20096.599999999999</v>
      </c>
      <c r="E255" s="17">
        <v>1.0402E-2</v>
      </c>
      <c r="F255" s="3">
        <v>16238.9</v>
      </c>
      <c r="G255" s="16">
        <f t="shared" si="19"/>
        <v>-1.5321234812702755E-2</v>
      </c>
      <c r="H255" s="1"/>
      <c r="I255" s="1"/>
      <c r="L255" s="120"/>
      <c r="S255" s="8">
        <v>45267</v>
      </c>
      <c r="T255" s="3">
        <v>1239.3</v>
      </c>
      <c r="U255" s="3">
        <f t="shared" si="20"/>
        <v>-8.4653525214650749E-4</v>
      </c>
      <c r="V255" s="1"/>
      <c r="W255" s="1"/>
      <c r="X255" s="1"/>
      <c r="Y255" s="1"/>
      <c r="Z255" s="1"/>
      <c r="AA255" s="1"/>
      <c r="AB255" s="1"/>
      <c r="AC255" s="1"/>
      <c r="AD255" s="1"/>
      <c r="AE255" s="1"/>
      <c r="AF255" s="1"/>
    </row>
    <row r="256" spans="1:32">
      <c r="A256" s="8">
        <v>45259</v>
      </c>
      <c r="B256" s="3">
        <v>1202.2</v>
      </c>
      <c r="C256" s="16">
        <f t="shared" si="18"/>
        <v>9.107315230620916E-3</v>
      </c>
      <c r="D256" s="1">
        <v>19889.7</v>
      </c>
      <c r="E256" s="17">
        <v>4.7990000000000003E-3</v>
      </c>
      <c r="F256" s="3">
        <v>15990.1</v>
      </c>
      <c r="G256" s="16">
        <f t="shared" si="19"/>
        <v>-5.6159748844598623E-3</v>
      </c>
      <c r="H256" s="1"/>
      <c r="I256" s="1"/>
      <c r="L256" s="120"/>
      <c r="S256" s="8">
        <v>45266</v>
      </c>
      <c r="T256" s="3">
        <v>1240.3499999999999</v>
      </c>
      <c r="U256" s="3">
        <f t="shared" si="20"/>
        <v>6.4539550643383237E-4</v>
      </c>
      <c r="V256" s="1"/>
      <c r="W256" s="1"/>
      <c r="X256" s="1"/>
      <c r="Y256" s="1"/>
      <c r="Z256" s="1"/>
      <c r="AA256" s="1"/>
      <c r="AB256" s="1"/>
      <c r="AC256" s="1"/>
      <c r="AD256" s="1"/>
      <c r="AE256" s="1"/>
      <c r="AF256" s="1"/>
    </row>
    <row r="257" spans="1:32">
      <c r="A257" s="18">
        <v>45258</v>
      </c>
      <c r="B257" s="24">
        <v>1191.3499999999999</v>
      </c>
      <c r="C257" s="19">
        <f t="shared" si="18"/>
        <v>-3.4296708352504757E-3</v>
      </c>
      <c r="D257" s="20">
        <v>19794.7</v>
      </c>
      <c r="E257" s="21">
        <v>-3.6999999999999999E-4</v>
      </c>
      <c r="F257" s="24">
        <v>15900.3</v>
      </c>
      <c r="G257" s="19">
        <f t="shared" si="19"/>
        <v>3.4087407155840577E-3</v>
      </c>
      <c r="H257" s="21"/>
      <c r="I257" s="1"/>
      <c r="L257" s="120"/>
      <c r="S257" s="8">
        <v>45265</v>
      </c>
      <c r="T257" s="3">
        <v>1239.55</v>
      </c>
      <c r="U257" s="3">
        <f t="shared" si="20"/>
        <v>6.8228891686632487E-3</v>
      </c>
      <c r="V257" s="1"/>
      <c r="W257" s="1"/>
      <c r="X257" s="1"/>
      <c r="Y257" s="1"/>
      <c r="Z257" s="1"/>
      <c r="AA257" s="1"/>
      <c r="AB257" s="1"/>
      <c r="AC257" s="1"/>
      <c r="AD257" s="1"/>
      <c r="AE257" s="1"/>
      <c r="AF257" s="1"/>
    </row>
    <row r="258" spans="1:32">
      <c r="A258" s="8">
        <v>45254</v>
      </c>
      <c r="B258" s="3">
        <v>1195.45</v>
      </c>
      <c r="C258" s="16">
        <f t="shared" si="18"/>
        <v>-2.7944611277943565E-3</v>
      </c>
      <c r="D258" s="1">
        <v>19802</v>
      </c>
      <c r="E258" s="17">
        <v>-5.0000000000000001E-4</v>
      </c>
      <c r="F258" s="3">
        <v>15954.5</v>
      </c>
      <c r="G258" s="16">
        <f t="shared" si="19"/>
        <v>-8.5900529631137701E-3</v>
      </c>
      <c r="H258" s="17"/>
      <c r="I258" s="1"/>
      <c r="L258" s="120"/>
      <c r="S258" s="8">
        <v>45264</v>
      </c>
      <c r="T258" s="3">
        <v>1231.1500000000001</v>
      </c>
      <c r="U258" s="3">
        <f t="shared" si="20"/>
        <v>-8.1218274111560795E-5</v>
      </c>
      <c r="V258" s="1"/>
      <c r="W258" s="1"/>
      <c r="X258" s="1"/>
      <c r="Y258" s="1"/>
      <c r="Z258" s="1"/>
      <c r="AA258" s="1"/>
      <c r="AB258" s="1"/>
      <c r="AC258" s="1"/>
      <c r="AD258" s="1"/>
      <c r="AE258" s="1"/>
      <c r="AF258" s="1"/>
    </row>
    <row r="259" spans="1:32">
      <c r="A259" s="8">
        <v>45253</v>
      </c>
      <c r="B259" s="3">
        <v>1198.8</v>
      </c>
      <c r="C259" s="16">
        <f t="shared" si="18"/>
        <v>-4.4016277717797703E-3</v>
      </c>
      <c r="D259" s="1">
        <v>19811.849999999999</v>
      </c>
      <c r="E259" s="17">
        <v>1.438E-3</v>
      </c>
      <c r="F259" s="3">
        <v>15817.45</v>
      </c>
      <c r="G259" s="16">
        <f t="shared" si="19"/>
        <v>1.5953899016592388E-2</v>
      </c>
      <c r="H259" s="17"/>
      <c r="I259" s="1"/>
      <c r="L259" s="120"/>
      <c r="S259" s="8">
        <v>45261</v>
      </c>
      <c r="T259" s="3">
        <v>1231.25</v>
      </c>
      <c r="U259" s="3">
        <f t="shared" si="20"/>
        <v>4.4051066606844991E-3</v>
      </c>
      <c r="V259" s="1"/>
      <c r="W259" s="1"/>
      <c r="X259" s="1"/>
      <c r="Y259" s="1"/>
      <c r="Z259" s="1"/>
      <c r="AA259" s="1"/>
      <c r="AB259" s="1"/>
      <c r="AC259" s="1"/>
      <c r="AD259" s="1"/>
      <c r="AE259" s="1"/>
      <c r="AF259" s="1"/>
    </row>
    <row r="260" spans="1:32">
      <c r="A260" s="8">
        <v>45252</v>
      </c>
      <c r="B260" s="3">
        <v>1204.0999999999999</v>
      </c>
      <c r="C260" s="16">
        <f t="shared" si="18"/>
        <v>2.2473780589311598E-3</v>
      </c>
      <c r="D260" s="1">
        <v>19783.400000000001</v>
      </c>
      <c r="E260" s="17">
        <v>4.5389999999999996E-3</v>
      </c>
      <c r="F260" s="3">
        <v>16069.8</v>
      </c>
      <c r="G260" s="16">
        <f t="shared" si="19"/>
        <v>-6.2788584798815217E-3</v>
      </c>
      <c r="H260" s="17"/>
      <c r="I260" s="1"/>
      <c r="L260" s="120"/>
      <c r="S260" s="8">
        <v>45260</v>
      </c>
      <c r="T260" s="3">
        <v>1225.8499999999999</v>
      </c>
      <c r="U260" s="3">
        <f t="shared" si="20"/>
        <v>1.9672267509565744E-2</v>
      </c>
      <c r="V260" s="1"/>
      <c r="W260" s="1"/>
      <c r="X260" s="1"/>
      <c r="Y260" s="1"/>
      <c r="Z260" s="1"/>
      <c r="AA260" s="1"/>
      <c r="AB260" s="1"/>
      <c r="AC260" s="1"/>
      <c r="AD260" s="1"/>
      <c r="AE260" s="1"/>
      <c r="AF260" s="1"/>
    </row>
    <row r="261" spans="1:32">
      <c r="A261" s="8">
        <v>45251</v>
      </c>
      <c r="B261" s="3">
        <v>1201.4000000000001</v>
      </c>
      <c r="C261" s="16">
        <f t="shared" si="18"/>
        <v>1.1279461279461334E-2</v>
      </c>
      <c r="D261" s="1">
        <v>19694</v>
      </c>
      <c r="E261" s="17">
        <v>-1.92E-3</v>
      </c>
      <c r="F261" s="3">
        <v>15968.9</v>
      </c>
      <c r="G261" s="16">
        <f t="shared" si="19"/>
        <v>-1.0154112055307474E-2</v>
      </c>
      <c r="H261" s="17"/>
      <c r="I261" s="1"/>
      <c r="L261" s="120"/>
      <c r="S261" s="8">
        <v>45259</v>
      </c>
      <c r="T261" s="3">
        <v>1202.2</v>
      </c>
      <c r="U261" s="3">
        <f t="shared" si="20"/>
        <v>9.107315230620916E-3</v>
      </c>
      <c r="V261" s="1"/>
      <c r="W261" s="1"/>
      <c r="X261" s="1"/>
      <c r="Y261" s="1"/>
      <c r="Z261" s="1"/>
      <c r="AA261" s="1"/>
      <c r="AB261" s="1"/>
      <c r="AC261" s="1"/>
      <c r="AD261" s="1"/>
      <c r="AE261" s="1"/>
      <c r="AF261" s="1"/>
    </row>
    <row r="262" spans="1:32">
      <c r="A262" s="18">
        <v>45250</v>
      </c>
      <c r="B262" s="24">
        <v>1188</v>
      </c>
      <c r="C262" s="19">
        <f t="shared" si="18"/>
        <v>-5.5248618784529135E-3</v>
      </c>
      <c r="D262" s="20">
        <v>19731.8</v>
      </c>
      <c r="E262" s="21">
        <v>-1.6900000000000001E-3</v>
      </c>
      <c r="F262" s="24">
        <v>15806.75</v>
      </c>
      <c r="G262" s="19">
        <f t="shared" si="19"/>
        <v>-1.4234425166459452E-4</v>
      </c>
      <c r="H262" s="21"/>
      <c r="I262" s="1"/>
      <c r="L262" s="120"/>
      <c r="S262" s="18">
        <v>45258</v>
      </c>
      <c r="T262" s="24">
        <v>1191.3499999999999</v>
      </c>
      <c r="U262" s="3">
        <f t="shared" si="20"/>
        <v>-3.4296708352504757E-3</v>
      </c>
      <c r="V262" s="1"/>
      <c r="W262" s="1"/>
      <c r="X262" s="1"/>
      <c r="Y262" s="1"/>
      <c r="Z262" s="1"/>
      <c r="AA262" s="1"/>
      <c r="AB262" s="1"/>
      <c r="AC262" s="1"/>
      <c r="AD262" s="1"/>
      <c r="AE262" s="1"/>
      <c r="AF262" s="1"/>
    </row>
    <row r="263" spans="1:32">
      <c r="A263" s="8">
        <v>45247</v>
      </c>
      <c r="B263" s="3">
        <v>1194.5999999999999</v>
      </c>
      <c r="C263" s="16">
        <f t="shared" si="18"/>
        <v>4.245302845613752E-3</v>
      </c>
      <c r="D263" s="1">
        <v>19765.2</v>
      </c>
      <c r="E263" s="17">
        <v>4.5620000000000001E-3</v>
      </c>
      <c r="F263" s="3">
        <v>15804.5</v>
      </c>
      <c r="G263" s="16">
        <f t="shared" si="19"/>
        <v>-9.7060963649593379E-3</v>
      </c>
      <c r="H263" s="17"/>
      <c r="I263" s="1"/>
      <c r="L263" s="120"/>
      <c r="S263" s="8">
        <v>45254</v>
      </c>
      <c r="T263" s="3">
        <v>1195.45</v>
      </c>
      <c r="U263" s="3">
        <f t="shared" si="20"/>
        <v>-2.7944611277943565E-3</v>
      </c>
      <c r="V263" s="1"/>
      <c r="W263" s="1"/>
      <c r="X263" s="1"/>
      <c r="Y263" s="1"/>
      <c r="Z263" s="1"/>
      <c r="AA263" s="1"/>
      <c r="AB263" s="1"/>
      <c r="AC263" s="1"/>
      <c r="AD263" s="1"/>
      <c r="AE263" s="1"/>
      <c r="AF263" s="1"/>
    </row>
    <row r="264" spans="1:32">
      <c r="A264" s="8">
        <v>45246</v>
      </c>
      <c r="B264" s="3">
        <v>1189.55</v>
      </c>
      <c r="C264" s="16">
        <f t="shared" si="18"/>
        <v>7.3249216699127206E-3</v>
      </c>
      <c r="D264" s="1">
        <v>19675.45</v>
      </c>
      <c r="E264" s="17">
        <v>1.1927E-2</v>
      </c>
      <c r="F264" s="3">
        <v>15651.1</v>
      </c>
      <c r="G264" s="16">
        <f t="shared" si="19"/>
        <v>-8.6160078205366197E-3</v>
      </c>
      <c r="H264" s="17"/>
      <c r="I264" s="1"/>
      <c r="L264" s="120"/>
      <c r="S264" s="8">
        <v>45253</v>
      </c>
      <c r="T264" s="3">
        <v>1198.8</v>
      </c>
      <c r="U264" s="3">
        <f t="shared" si="20"/>
        <v>-4.4016277717797703E-3</v>
      </c>
      <c r="V264" s="1"/>
      <c r="W264" s="1"/>
      <c r="X264" s="1"/>
      <c r="Y264" s="1"/>
      <c r="Z264" s="1"/>
      <c r="AA264" s="1"/>
      <c r="AB264" s="1"/>
      <c r="AC264" s="1"/>
      <c r="AD264" s="1"/>
      <c r="AE264" s="1"/>
      <c r="AF264" s="1"/>
    </row>
    <row r="265" spans="1:32">
      <c r="A265" s="8">
        <v>45245</v>
      </c>
      <c r="B265" s="3">
        <v>1180.9000000000001</v>
      </c>
      <c r="C265" s="16">
        <f t="shared" ref="C265:C328" si="21">B265/B266-1</f>
        <v>2.6320258108338823E-3</v>
      </c>
      <c r="D265" s="1">
        <v>19443.55</v>
      </c>
      <c r="E265" s="17">
        <v>-4.1999999999999997E-3</v>
      </c>
      <c r="F265" s="3">
        <v>15516.25</v>
      </c>
      <c r="G265" s="16">
        <f t="shared" ref="G265:G328" si="22">F266/F265-1</f>
        <v>-1.230967534036953E-3</v>
      </c>
      <c r="H265" s="17"/>
      <c r="I265" s="1"/>
      <c r="L265" s="120"/>
      <c r="S265" s="8">
        <v>45252</v>
      </c>
      <c r="T265" s="3">
        <v>1204.0999999999999</v>
      </c>
      <c r="U265" s="3">
        <f t="shared" si="20"/>
        <v>2.2473780589311598E-3</v>
      </c>
      <c r="V265" s="1"/>
      <c r="W265" s="1"/>
      <c r="X265" s="1"/>
      <c r="Y265" s="1"/>
      <c r="Z265" s="1"/>
      <c r="AA265" s="1"/>
      <c r="AB265" s="1"/>
      <c r="AC265" s="1"/>
      <c r="AD265" s="1"/>
      <c r="AE265" s="1"/>
      <c r="AF265" s="1"/>
    </row>
    <row r="266" spans="1:32">
      <c r="A266" s="18">
        <v>45243</v>
      </c>
      <c r="B266" s="24">
        <v>1177.8</v>
      </c>
      <c r="C266" s="19">
        <f t="shared" si="21"/>
        <v>-1.6977928692707422E-4</v>
      </c>
      <c r="D266" s="20">
        <v>19525.55</v>
      </c>
      <c r="E266" s="21">
        <v>5.1580000000000003E-3</v>
      </c>
      <c r="F266" s="24">
        <v>15497.15</v>
      </c>
      <c r="G266" s="19">
        <f t="shared" si="22"/>
        <v>1.2486166811316313E-3</v>
      </c>
      <c r="H266" s="21"/>
      <c r="I266" s="1"/>
      <c r="L266" s="120"/>
      <c r="S266" s="8">
        <v>45251</v>
      </c>
      <c r="T266" s="3">
        <v>1201.4000000000001</v>
      </c>
      <c r="U266" s="3">
        <f t="shared" si="20"/>
        <v>1.1279461279461334E-2</v>
      </c>
      <c r="V266" s="1"/>
      <c r="W266" s="1"/>
      <c r="X266" s="1"/>
      <c r="Y266" s="1"/>
      <c r="Z266" s="1"/>
      <c r="AA266" s="1"/>
      <c r="AB266" s="1"/>
      <c r="AC266" s="1"/>
      <c r="AD266" s="1"/>
      <c r="AE266" s="1"/>
      <c r="AF266" s="1"/>
    </row>
    <row r="267" spans="1:32">
      <c r="A267" s="8">
        <v>45242</v>
      </c>
      <c r="B267" s="3">
        <v>1178</v>
      </c>
      <c r="C267" s="16">
        <f t="shared" si="21"/>
        <v>-1.144698350786344E-3</v>
      </c>
      <c r="D267" s="1">
        <v>19425.349999999999</v>
      </c>
      <c r="E267" s="17">
        <v>1.549E-3</v>
      </c>
      <c r="F267" s="3">
        <v>15516.5</v>
      </c>
      <c r="G267" s="16">
        <f t="shared" si="22"/>
        <v>-1.588631456836298E-3</v>
      </c>
      <c r="H267" s="1"/>
      <c r="I267" s="1"/>
      <c r="L267" s="120"/>
      <c r="S267" s="18">
        <v>45250</v>
      </c>
      <c r="T267" s="24">
        <v>1188</v>
      </c>
      <c r="U267" s="3" t="e">
        <f t="shared" si="20"/>
        <v>#DIV/0!</v>
      </c>
    </row>
    <row r="268" spans="1:32">
      <c r="A268" s="8">
        <v>45240</v>
      </c>
      <c r="B268" s="3">
        <v>1179.3499999999999</v>
      </c>
      <c r="C268" s="16">
        <f t="shared" si="21"/>
        <v>2.6781159666722232E-3</v>
      </c>
      <c r="D268" s="1">
        <v>19395.3</v>
      </c>
      <c r="E268" s="17">
        <v>-2.48E-3</v>
      </c>
      <c r="F268" s="3">
        <v>15491.85</v>
      </c>
      <c r="G268" s="16">
        <f t="shared" si="22"/>
        <v>3.4857037732738405E-4</v>
      </c>
      <c r="H268" s="1"/>
      <c r="I268" s="1"/>
      <c r="L268" s="120"/>
    </row>
    <row r="269" spans="1:32">
      <c r="A269" s="8">
        <v>45239</v>
      </c>
      <c r="B269" s="3">
        <v>1176.2</v>
      </c>
      <c r="C269" s="16">
        <f t="shared" si="21"/>
        <v>-4.2491714115744372E-4</v>
      </c>
      <c r="D269" s="1">
        <v>19443.5</v>
      </c>
      <c r="E269" s="17">
        <v>1.8959999999999999E-3</v>
      </c>
      <c r="F269" s="3">
        <v>15497.25</v>
      </c>
      <c r="G269" s="16">
        <f t="shared" si="22"/>
        <v>-1.4550968720256852E-2</v>
      </c>
      <c r="H269" s="1"/>
      <c r="I269" s="1"/>
      <c r="L269" s="120"/>
    </row>
    <row r="270" spans="1:32">
      <c r="A270" s="8">
        <v>45238</v>
      </c>
      <c r="B270" s="3">
        <v>1176.7</v>
      </c>
      <c r="C270" s="16">
        <f t="shared" si="21"/>
        <v>4.9105427217217557E-3</v>
      </c>
      <c r="D270" s="1">
        <v>19406.7</v>
      </c>
      <c r="E270" s="17">
        <v>-2.5999999999999998E-4</v>
      </c>
      <c r="F270" s="3">
        <v>15271.75</v>
      </c>
      <c r="G270" s="16">
        <f t="shared" si="22"/>
        <v>-1.3060061878959583E-2</v>
      </c>
      <c r="H270" s="1"/>
      <c r="I270" s="1"/>
      <c r="L270" s="120"/>
    </row>
    <row r="271" spans="1:32">
      <c r="A271" s="8">
        <v>45237</v>
      </c>
      <c r="B271" s="3">
        <v>1170.95</v>
      </c>
      <c r="C271" s="16">
        <f t="shared" si="21"/>
        <v>1.8217391304347963E-2</v>
      </c>
      <c r="D271" s="1">
        <v>19411.75</v>
      </c>
      <c r="E271" s="17">
        <v>9.4199999999999996E-3</v>
      </c>
      <c r="F271" s="3">
        <v>15072.3</v>
      </c>
      <c r="G271" s="16">
        <f t="shared" si="22"/>
        <v>-1.2602588855051944E-2</v>
      </c>
      <c r="H271" s="1"/>
      <c r="I271" s="1"/>
      <c r="L271" s="120"/>
    </row>
    <row r="272" spans="1:32">
      <c r="A272" s="8">
        <v>45236</v>
      </c>
      <c r="B272" s="3">
        <v>1150</v>
      </c>
      <c r="C272" s="16">
        <f t="shared" si="21"/>
        <v>7.7994917185173485E-3</v>
      </c>
      <c r="D272" s="1">
        <v>19230.599999999999</v>
      </c>
      <c r="E272" s="17">
        <v>5.0879999999999996E-3</v>
      </c>
      <c r="F272" s="3">
        <v>14882.35</v>
      </c>
      <c r="G272" s="16">
        <f t="shared" si="22"/>
        <v>-3.2185777111813918E-3</v>
      </c>
      <c r="H272" s="1"/>
      <c r="I272" s="1"/>
      <c r="L272" s="120"/>
    </row>
    <row r="273" spans="1:12">
      <c r="A273" s="8">
        <v>45233</v>
      </c>
      <c r="B273" s="3">
        <v>1141.0999999999999</v>
      </c>
      <c r="C273" s="16">
        <f t="shared" si="21"/>
        <v>7.2825175442468026E-3</v>
      </c>
      <c r="D273" s="1">
        <v>19133.25</v>
      </c>
      <c r="E273" s="17">
        <v>7.5890000000000003E-3</v>
      </c>
      <c r="F273" s="3">
        <v>14834.45</v>
      </c>
      <c r="G273" s="16">
        <f t="shared" si="22"/>
        <v>-6.6871370357513005E-3</v>
      </c>
      <c r="H273" s="1"/>
      <c r="I273" s="1"/>
      <c r="L273" s="120"/>
    </row>
    <row r="274" spans="1:12">
      <c r="A274" s="8">
        <v>45232</v>
      </c>
      <c r="B274" s="3">
        <v>1132.8499999999999</v>
      </c>
      <c r="C274" s="16">
        <f t="shared" si="21"/>
        <v>1.4916681598279746E-2</v>
      </c>
      <c r="D274" s="1">
        <v>18989.150000000001</v>
      </c>
      <c r="E274" s="17">
        <v>-4.7400000000000003E-3</v>
      </c>
      <c r="F274" s="3">
        <v>14735.25</v>
      </c>
      <c r="G274" s="16">
        <f t="shared" si="22"/>
        <v>-3.5018068916373712E-3</v>
      </c>
      <c r="H274" s="1"/>
      <c r="I274" s="1"/>
      <c r="L274" s="120"/>
    </row>
    <row r="275" spans="1:12">
      <c r="A275" s="8">
        <v>45231</v>
      </c>
      <c r="B275" s="3">
        <v>1116.2</v>
      </c>
      <c r="C275" s="16">
        <f t="shared" si="21"/>
        <v>2.5353665258129876E-2</v>
      </c>
      <c r="D275" s="1">
        <v>19079.599999999999</v>
      </c>
      <c r="E275" s="17">
        <v>-3.2000000000000002E-3</v>
      </c>
      <c r="F275" s="3">
        <v>14683.65</v>
      </c>
      <c r="G275" s="16">
        <f t="shared" si="22"/>
        <v>6.2620669928799E-3</v>
      </c>
      <c r="H275" s="1"/>
      <c r="I275" s="1"/>
      <c r="L275" s="120"/>
    </row>
    <row r="276" spans="1:12">
      <c r="A276" s="8">
        <v>45230</v>
      </c>
      <c r="B276" s="3">
        <v>1088.5999999999999</v>
      </c>
      <c r="C276" s="16">
        <f t="shared" si="21"/>
        <v>-2.3852223816355878E-2</v>
      </c>
      <c r="D276" s="1">
        <v>19140.900000000001</v>
      </c>
      <c r="E276" s="17">
        <v>4.9170000000000004E-3</v>
      </c>
      <c r="F276" s="3">
        <v>14775.6</v>
      </c>
      <c r="G276" s="16">
        <f t="shared" si="22"/>
        <v>-2.5108963426189179E-3</v>
      </c>
      <c r="H276" s="1"/>
      <c r="I276" s="1"/>
      <c r="L276" s="120"/>
    </row>
    <row r="277" spans="1:12">
      <c r="A277" s="8">
        <v>45229</v>
      </c>
      <c r="B277" s="3">
        <v>1115.2</v>
      </c>
      <c r="C277" s="16">
        <f t="shared" si="21"/>
        <v>3.5094034014218067E-3</v>
      </c>
      <c r="D277" s="1">
        <v>19047.25</v>
      </c>
      <c r="E277" s="17">
        <v>1.0076E-2</v>
      </c>
      <c r="F277" s="3">
        <v>14738.5</v>
      </c>
      <c r="G277" s="16">
        <f t="shared" si="22"/>
        <v>-6.1030634053669264E-3</v>
      </c>
      <c r="H277" s="1"/>
      <c r="I277" s="1"/>
      <c r="L277" s="120"/>
    </row>
    <row r="278" spans="1:12">
      <c r="A278" s="8">
        <v>45226</v>
      </c>
      <c r="B278" s="3">
        <v>1111.3</v>
      </c>
      <c r="C278" s="16">
        <f t="shared" si="21"/>
        <v>6.8859291474132611E-3</v>
      </c>
      <c r="D278" s="1">
        <v>18857.25</v>
      </c>
      <c r="E278" s="17">
        <v>-1.3849999999999999E-2</v>
      </c>
      <c r="F278" s="3">
        <v>14648.55</v>
      </c>
      <c r="G278" s="16">
        <f t="shared" si="22"/>
        <v>1.0349147185216401E-2</v>
      </c>
      <c r="H278" s="1"/>
      <c r="I278" s="1"/>
      <c r="L278" s="120"/>
    </row>
    <row r="279" spans="1:12">
      <c r="A279" s="8">
        <v>45225</v>
      </c>
      <c r="B279" s="3">
        <v>1103.7</v>
      </c>
      <c r="C279" s="16">
        <f t="shared" si="21"/>
        <v>-1.4817459609033246E-2</v>
      </c>
      <c r="D279" s="1">
        <v>19122.150000000001</v>
      </c>
      <c r="E279" s="17">
        <v>-8.2799999999999992E-3</v>
      </c>
      <c r="F279" s="3">
        <v>14800.15</v>
      </c>
      <c r="G279" s="16">
        <f t="shared" si="22"/>
        <v>7.5337074286410122E-3</v>
      </c>
      <c r="H279" s="1"/>
      <c r="I279" s="1"/>
      <c r="L279" s="120"/>
    </row>
    <row r="280" spans="1:12">
      <c r="A280" s="8">
        <v>45224</v>
      </c>
      <c r="B280" s="3">
        <v>1120.3</v>
      </c>
      <c r="C280" s="16">
        <f t="shared" si="21"/>
        <v>-1.9154528041338548E-3</v>
      </c>
      <c r="D280" s="1">
        <v>19281.75</v>
      </c>
      <c r="E280" s="17">
        <v>-1.3350000000000001E-2</v>
      </c>
      <c r="F280" s="3">
        <v>14911.65</v>
      </c>
      <c r="G280" s="16">
        <f t="shared" si="22"/>
        <v>1.3110554499334404E-2</v>
      </c>
      <c r="H280" s="1"/>
      <c r="I280" s="1"/>
      <c r="L280" s="120"/>
    </row>
    <row r="281" spans="1:12">
      <c r="A281" s="8">
        <v>45222</v>
      </c>
      <c r="B281" s="3">
        <v>1122.45</v>
      </c>
      <c r="C281" s="16">
        <f t="shared" si="21"/>
        <v>-1.7291192435650471E-2</v>
      </c>
      <c r="D281" s="1">
        <v>19542.650000000001</v>
      </c>
      <c r="E281" s="17">
        <v>-4.1799999999999997E-3</v>
      </c>
      <c r="F281" s="3">
        <v>15107.15</v>
      </c>
      <c r="G281" s="16">
        <f t="shared" si="22"/>
        <v>1.1004722929208954E-2</v>
      </c>
      <c r="H281" s="1"/>
      <c r="I281" s="1"/>
      <c r="L281" s="120"/>
    </row>
    <row r="282" spans="1:12">
      <c r="A282" s="8">
        <v>45219</v>
      </c>
      <c r="B282" s="3">
        <v>1142.2</v>
      </c>
      <c r="C282" s="16">
        <f t="shared" si="21"/>
        <v>6.1322820849762927E-4</v>
      </c>
      <c r="D282" s="1">
        <v>19624.7</v>
      </c>
      <c r="E282" s="17">
        <v>-2.3600000000000001E-3</v>
      </c>
      <c r="F282" s="3">
        <v>15273.4</v>
      </c>
      <c r="G282" s="16">
        <f t="shared" si="22"/>
        <v>3.7909044482564713E-3</v>
      </c>
      <c r="H282" s="1"/>
      <c r="I282" s="1"/>
      <c r="L282" s="120"/>
    </row>
    <row r="283" spans="1:12">
      <c r="A283" s="8">
        <v>45218</v>
      </c>
      <c r="B283" s="3">
        <v>1141.5</v>
      </c>
      <c r="C283" s="16">
        <f t="shared" si="21"/>
        <v>-1.0317322698110032E-2</v>
      </c>
      <c r="D283" s="1">
        <v>19671.099999999999</v>
      </c>
      <c r="E283" s="17">
        <v>-7.0899999999999999E-3</v>
      </c>
      <c r="F283" s="3">
        <v>15331.3</v>
      </c>
      <c r="G283" s="16">
        <f t="shared" si="22"/>
        <v>-7.7847279747965681E-3</v>
      </c>
      <c r="H283" s="1"/>
      <c r="I283" s="1"/>
      <c r="L283" s="120"/>
    </row>
    <row r="284" spans="1:12">
      <c r="A284" s="8">
        <v>45217</v>
      </c>
      <c r="B284" s="3">
        <v>1153.4000000000001</v>
      </c>
      <c r="C284" s="16">
        <f t="shared" si="21"/>
        <v>1.4602392681210441E-2</v>
      </c>
      <c r="D284" s="1">
        <v>19811.5</v>
      </c>
      <c r="E284" s="17">
        <v>4.0419999999999996E-3</v>
      </c>
      <c r="F284" s="3">
        <v>15211.95</v>
      </c>
      <c r="G284" s="16">
        <f t="shared" si="22"/>
        <v>-3.102823766841234E-3</v>
      </c>
      <c r="H284" s="1"/>
      <c r="I284" s="1"/>
      <c r="L284" s="120"/>
    </row>
    <row r="285" spans="1:12">
      <c r="A285" s="8">
        <v>45216</v>
      </c>
      <c r="B285" s="3">
        <v>1136.8</v>
      </c>
      <c r="C285" s="16">
        <f t="shared" si="21"/>
        <v>1.3212366775301465E-3</v>
      </c>
      <c r="D285" s="1">
        <v>19731.75</v>
      </c>
      <c r="E285" s="17">
        <v>-9.7999999999999997E-4</v>
      </c>
      <c r="F285" s="3">
        <v>15164.75</v>
      </c>
      <c r="G285" s="16">
        <f t="shared" si="22"/>
        <v>4.6357506717882302E-3</v>
      </c>
      <c r="H285" s="1"/>
      <c r="I285" s="1"/>
      <c r="L285" s="120"/>
    </row>
    <row r="286" spans="1:12">
      <c r="A286" s="8">
        <v>45215</v>
      </c>
      <c r="B286" s="3">
        <v>1135.3</v>
      </c>
      <c r="C286" s="16">
        <f t="shared" si="21"/>
        <v>-8.7313367676591369E-3</v>
      </c>
      <c r="D286" s="1">
        <v>19751.05</v>
      </c>
      <c r="E286" s="17">
        <v>-2.1700000000000001E-3</v>
      </c>
      <c r="F286" s="3">
        <v>15235.05</v>
      </c>
      <c r="G286" s="16">
        <f t="shared" si="22"/>
        <v>-3.2064220334031557E-3</v>
      </c>
      <c r="H286" s="1"/>
      <c r="I286" s="1"/>
      <c r="L286" s="120"/>
    </row>
    <row r="287" spans="1:12">
      <c r="A287" s="8">
        <v>45212</v>
      </c>
      <c r="B287" s="3">
        <v>1145.3</v>
      </c>
      <c r="C287" s="16">
        <f t="shared" si="21"/>
        <v>1.3181174805378504E-2</v>
      </c>
      <c r="D287" s="1">
        <v>19794</v>
      </c>
      <c r="E287" s="17">
        <v>-8.8000000000000003E-4</v>
      </c>
      <c r="F287" s="3">
        <v>15186.2</v>
      </c>
      <c r="G287" s="16">
        <f t="shared" si="22"/>
        <v>-6.3215287563711531E-4</v>
      </c>
      <c r="H287" s="1"/>
      <c r="I287" s="1"/>
      <c r="L287" s="120"/>
    </row>
    <row r="288" spans="1:12">
      <c r="A288" s="8">
        <v>45211</v>
      </c>
      <c r="B288" s="3">
        <v>1130.4000000000001</v>
      </c>
      <c r="C288" s="16">
        <f t="shared" si="21"/>
        <v>1.4617940199337376E-3</v>
      </c>
      <c r="D288" s="1">
        <v>19811.349999999999</v>
      </c>
      <c r="E288" s="17">
        <v>6.1710000000000003E-3</v>
      </c>
      <c r="F288" s="3">
        <v>15176.6</v>
      </c>
      <c r="G288" s="16">
        <f t="shared" si="22"/>
        <v>-4.6057746794406773E-3</v>
      </c>
      <c r="H288" s="1"/>
      <c r="I288" s="1"/>
      <c r="L288" s="120"/>
    </row>
    <row r="289" spans="1:12">
      <c r="A289" s="8">
        <v>45210</v>
      </c>
      <c r="B289" s="3">
        <v>1128.75</v>
      </c>
      <c r="C289" s="16">
        <f t="shared" si="21"/>
        <v>1.997336884154377E-3</v>
      </c>
      <c r="D289" s="1">
        <v>19689.849999999999</v>
      </c>
      <c r="E289" s="17">
        <v>9.0969999999999992E-3</v>
      </c>
      <c r="F289" s="3">
        <v>15106.7</v>
      </c>
      <c r="G289" s="16">
        <f t="shared" si="22"/>
        <v>-1.8865801266987337E-4</v>
      </c>
      <c r="H289" s="1"/>
      <c r="I289" s="1"/>
      <c r="L289" s="120"/>
    </row>
    <row r="290" spans="1:12">
      <c r="A290" s="8">
        <v>45209</v>
      </c>
      <c r="B290" s="3">
        <v>1126.5</v>
      </c>
      <c r="C290" s="16">
        <f t="shared" si="21"/>
        <v>3.071991451849998E-3</v>
      </c>
      <c r="D290" s="1">
        <v>19512.349999999999</v>
      </c>
      <c r="E290" s="17">
        <v>-7.1799999999999998E-3</v>
      </c>
      <c r="F290" s="3">
        <v>15103.85</v>
      </c>
      <c r="G290" s="16">
        <f t="shared" si="22"/>
        <v>1.6287238022094641E-3</v>
      </c>
      <c r="H290" s="1"/>
      <c r="I290" s="1"/>
      <c r="L290" s="120"/>
    </row>
    <row r="291" spans="1:12">
      <c r="A291" s="8">
        <v>45208</v>
      </c>
      <c r="B291" s="3">
        <v>1123.05</v>
      </c>
      <c r="C291" s="16">
        <f t="shared" si="21"/>
        <v>-3.7700700789496944E-3</v>
      </c>
      <c r="D291" s="1">
        <v>19653.5</v>
      </c>
      <c r="E291" s="17">
        <v>5.5129999999999997E-3</v>
      </c>
      <c r="F291" s="3">
        <v>15128.45</v>
      </c>
      <c r="G291" s="16">
        <f t="shared" si="22"/>
        <v>-7.0760719042599618E-3</v>
      </c>
      <c r="H291" s="1"/>
      <c r="I291" s="1"/>
      <c r="L291" s="120"/>
    </row>
    <row r="292" spans="1:12">
      <c r="A292" s="8">
        <v>45205</v>
      </c>
      <c r="B292" s="3">
        <v>1127.3</v>
      </c>
      <c r="C292" s="16">
        <f t="shared" si="21"/>
        <v>7.3273165936913465E-3</v>
      </c>
      <c r="D292" s="1">
        <v>19545.75</v>
      </c>
      <c r="E292" s="17">
        <v>5.6420000000000003E-3</v>
      </c>
      <c r="F292" s="3">
        <v>15021.4</v>
      </c>
      <c r="G292" s="16">
        <f t="shared" si="22"/>
        <v>3.0456548657249449E-3</v>
      </c>
      <c r="H292" s="1"/>
      <c r="I292" s="1"/>
      <c r="L292" s="120"/>
    </row>
    <row r="293" spans="1:12">
      <c r="A293" s="8">
        <v>45204</v>
      </c>
      <c r="B293" s="3">
        <v>1119.0999999999999</v>
      </c>
      <c r="C293" s="16">
        <f t="shared" si="21"/>
        <v>-4.1822388325325477E-3</v>
      </c>
      <c r="D293" s="1">
        <v>19436.099999999999</v>
      </c>
      <c r="E293" s="17">
        <v>-4.7400000000000003E-3</v>
      </c>
      <c r="F293" s="3">
        <v>15067.15</v>
      </c>
      <c r="G293" s="16">
        <f t="shared" si="22"/>
        <v>1.4213039625941226E-2</v>
      </c>
      <c r="H293" s="1"/>
      <c r="I293" s="1"/>
      <c r="L293" s="120"/>
    </row>
    <row r="294" spans="1:12">
      <c r="A294" s="8">
        <v>45203</v>
      </c>
      <c r="B294" s="3">
        <v>1123.8</v>
      </c>
      <c r="C294" s="16">
        <f t="shared" si="21"/>
        <v>-1.5462788558412655E-2</v>
      </c>
      <c r="D294" s="1">
        <v>19528.75</v>
      </c>
      <c r="E294" s="17">
        <v>-5.5799999999999999E-3</v>
      </c>
      <c r="F294" s="3">
        <v>15281.3</v>
      </c>
      <c r="G294" s="16">
        <f t="shared" si="22"/>
        <v>9.2564114309647838E-3</v>
      </c>
      <c r="H294" s="1"/>
      <c r="I294" s="1"/>
      <c r="L294" s="120"/>
    </row>
    <row r="295" spans="1:12">
      <c r="A295" s="8">
        <v>45202</v>
      </c>
      <c r="B295" s="3">
        <v>1141.45</v>
      </c>
      <c r="C295" s="16">
        <f t="shared" si="21"/>
        <v>-1.484486255556039E-2</v>
      </c>
      <c r="D295" s="1">
        <v>19638.3</v>
      </c>
      <c r="E295" s="17">
        <v>5.8780000000000004E-3</v>
      </c>
      <c r="F295" s="3">
        <v>15422.75</v>
      </c>
      <c r="G295" s="16">
        <f t="shared" si="22"/>
        <v>-2.5909776142387098E-2</v>
      </c>
      <c r="H295" s="1"/>
      <c r="I295" s="1"/>
      <c r="L295" s="120"/>
    </row>
    <row r="296" spans="1:12">
      <c r="A296" s="8">
        <v>45198</v>
      </c>
      <c r="B296" s="3">
        <v>1158.6500000000001</v>
      </c>
      <c r="C296" s="16">
        <f t="shared" si="21"/>
        <v>2.3271217875121541E-2</v>
      </c>
      <c r="D296" s="1">
        <v>19523.55</v>
      </c>
      <c r="E296" s="17">
        <v>-9.7800000000000005E-3</v>
      </c>
      <c r="F296" s="3">
        <v>15023.15</v>
      </c>
      <c r="G296" s="16">
        <f t="shared" si="22"/>
        <v>9.0959618988029067E-3</v>
      </c>
      <c r="H296" s="1"/>
      <c r="I296" s="1"/>
      <c r="L296" s="120"/>
    </row>
    <row r="297" spans="1:12">
      <c r="A297" s="8">
        <v>45197</v>
      </c>
      <c r="B297" s="3">
        <v>1132.3</v>
      </c>
      <c r="C297" s="16">
        <f t="shared" si="21"/>
        <v>-6.7108206500285927E-3</v>
      </c>
      <c r="D297" s="1">
        <v>19716.45</v>
      </c>
      <c r="E297" s="17">
        <v>2.6319999999999998E-3</v>
      </c>
      <c r="F297" s="3">
        <v>15159.8</v>
      </c>
      <c r="G297" s="16">
        <f t="shared" si="22"/>
        <v>-1.1751474293856146E-2</v>
      </c>
      <c r="H297" s="1"/>
      <c r="I297" s="1"/>
      <c r="L297" s="120"/>
    </row>
    <row r="298" spans="1:12">
      <c r="A298" s="8">
        <v>45196</v>
      </c>
      <c r="B298" s="3">
        <v>1139.95</v>
      </c>
      <c r="C298" s="16">
        <f t="shared" si="21"/>
        <v>1.2523870853133223E-2</v>
      </c>
      <c r="D298" s="1">
        <v>19664.7</v>
      </c>
      <c r="E298" s="17">
        <v>-5.0000000000000001E-4</v>
      </c>
      <c r="F298" s="3">
        <v>14981.65</v>
      </c>
      <c r="G298" s="16">
        <f t="shared" si="22"/>
        <v>2.3862525155773362E-3</v>
      </c>
      <c r="H298" s="1"/>
      <c r="I298" s="1"/>
      <c r="L298" s="120"/>
    </row>
    <row r="299" spans="1:12">
      <c r="A299" s="8">
        <v>45195</v>
      </c>
      <c r="B299" s="3">
        <v>1125.8499999999999</v>
      </c>
      <c r="C299" s="16">
        <f t="shared" si="21"/>
        <v>1.6013522530136104E-3</v>
      </c>
      <c r="D299" s="1">
        <v>19674.55</v>
      </c>
      <c r="E299" s="17">
        <v>1.52E-5</v>
      </c>
      <c r="F299" s="3">
        <v>15017.4</v>
      </c>
      <c r="G299" s="16">
        <f t="shared" si="22"/>
        <v>3.4426731657943854E-3</v>
      </c>
      <c r="H299" s="1"/>
      <c r="I299" s="1"/>
      <c r="L299" s="120"/>
    </row>
    <row r="300" spans="1:12">
      <c r="A300" s="8">
        <v>45194</v>
      </c>
      <c r="B300" s="3">
        <v>1124.05</v>
      </c>
      <c r="C300" s="16">
        <f t="shared" si="21"/>
        <v>-7.3298891685432688E-3</v>
      </c>
      <c r="D300" s="1">
        <v>19674.25</v>
      </c>
      <c r="E300" s="17">
        <v>-3.4499999999999999E-3</v>
      </c>
      <c r="F300" s="3">
        <v>15069.1</v>
      </c>
      <c r="G300" s="16">
        <f t="shared" si="22"/>
        <v>1.5767365005209255E-2</v>
      </c>
      <c r="H300" s="1"/>
      <c r="I300" s="1"/>
      <c r="L300" s="120"/>
    </row>
    <row r="301" spans="1:12">
      <c r="A301" s="8">
        <v>45191</v>
      </c>
      <c r="B301" s="3">
        <v>1132.3499999999999</v>
      </c>
      <c r="C301" s="16">
        <f t="shared" si="21"/>
        <v>-1.2040308860096993E-2</v>
      </c>
      <c r="D301" s="1">
        <v>19742.349999999999</v>
      </c>
      <c r="E301" s="17">
        <v>-7.9900000000000006E-3</v>
      </c>
      <c r="F301" s="3">
        <v>15306.7</v>
      </c>
      <c r="G301" s="16">
        <f t="shared" si="22"/>
        <v>1.0028288265922836E-2</v>
      </c>
      <c r="H301" s="1"/>
      <c r="I301" s="1"/>
      <c r="L301" s="120"/>
    </row>
    <row r="302" spans="1:12">
      <c r="A302" s="8">
        <v>45190</v>
      </c>
      <c r="B302" s="3">
        <v>1146.1500000000001</v>
      </c>
      <c r="C302" s="16">
        <f t="shared" si="21"/>
        <v>-6.0703290985560932E-3</v>
      </c>
      <c r="D302" s="1">
        <v>19901.400000000001</v>
      </c>
      <c r="E302" s="17">
        <v>-1.1520000000000001E-2</v>
      </c>
      <c r="F302" s="3">
        <v>15460.2</v>
      </c>
      <c r="G302" s="16">
        <f t="shared" si="22"/>
        <v>2.7975058537406117E-3</v>
      </c>
      <c r="H302" s="1"/>
      <c r="I302" s="1"/>
      <c r="L302" s="120"/>
    </row>
    <row r="303" spans="1:12">
      <c r="A303" s="8">
        <v>45189</v>
      </c>
      <c r="B303" s="3">
        <v>1153.1500000000001</v>
      </c>
      <c r="C303" s="16">
        <f t="shared" si="21"/>
        <v>4.792401864680107E-3</v>
      </c>
      <c r="D303" s="1">
        <v>20133.3</v>
      </c>
      <c r="E303" s="17">
        <v>-2.9199999999999999E-3</v>
      </c>
      <c r="F303" s="3">
        <v>15503.45</v>
      </c>
      <c r="G303" s="16">
        <f t="shared" si="22"/>
        <v>5.1665919521137749E-3</v>
      </c>
      <c r="H303" s="1"/>
      <c r="I303" s="1"/>
      <c r="L303" s="120"/>
    </row>
    <row r="304" spans="1:12">
      <c r="A304" s="8">
        <v>45187</v>
      </c>
      <c r="B304" s="3">
        <v>1147.6500000000001</v>
      </c>
      <c r="C304" s="16">
        <f t="shared" si="21"/>
        <v>-1.8698904157243845E-3</v>
      </c>
      <c r="D304" s="1">
        <v>20192.349999999999</v>
      </c>
      <c r="E304" s="17">
        <v>4.4400000000000004E-3</v>
      </c>
      <c r="F304" s="3">
        <v>15583.55</v>
      </c>
      <c r="G304" s="16">
        <f t="shared" si="22"/>
        <v>-6.0480442517911737E-3</v>
      </c>
      <c r="H304" s="1"/>
      <c r="I304" s="1"/>
      <c r="L304" s="120"/>
    </row>
    <row r="305" spans="1:12">
      <c r="A305" s="8">
        <v>45184</v>
      </c>
      <c r="B305" s="3">
        <v>1149.8</v>
      </c>
      <c r="C305" s="16">
        <f t="shared" si="21"/>
        <v>5.2456723203357924E-3</v>
      </c>
      <c r="D305" s="1">
        <v>20103.099999999999</v>
      </c>
      <c r="E305" s="17">
        <v>1.6490000000000001E-3</v>
      </c>
      <c r="F305" s="3">
        <v>15489.3</v>
      </c>
      <c r="G305" s="16">
        <f t="shared" si="22"/>
        <v>-2.605024113420118E-3</v>
      </c>
      <c r="H305" s="1"/>
      <c r="I305" s="1"/>
      <c r="L305" s="120"/>
    </row>
    <row r="306" spans="1:12">
      <c r="A306" s="8">
        <v>45183</v>
      </c>
      <c r="B306" s="3">
        <v>1143.8</v>
      </c>
      <c r="C306" s="16">
        <f t="shared" si="21"/>
        <v>-4.3090315560392334E-3</v>
      </c>
      <c r="D306" s="1">
        <v>20070</v>
      </c>
      <c r="E306" s="17">
        <v>3.8409999999999998E-3</v>
      </c>
      <c r="F306" s="3">
        <v>15448.95</v>
      </c>
      <c r="G306" s="16">
        <f t="shared" si="22"/>
        <v>-7.7869369762993967E-3</v>
      </c>
      <c r="H306" s="1"/>
      <c r="I306" s="1"/>
      <c r="L306" s="120"/>
    </row>
    <row r="307" spans="1:12">
      <c r="A307" s="8">
        <v>45182</v>
      </c>
      <c r="B307" s="3">
        <v>1148.75</v>
      </c>
      <c r="C307" s="16">
        <f t="shared" si="21"/>
        <v>3.0561012879284366E-3</v>
      </c>
      <c r="D307" s="1">
        <v>19993.2</v>
      </c>
      <c r="E307" s="17">
        <v>-1.6000000000000001E-4</v>
      </c>
      <c r="F307" s="3">
        <v>15328.65</v>
      </c>
      <c r="G307" s="16">
        <f t="shared" si="22"/>
        <v>-1.2199378288367813E-3</v>
      </c>
      <c r="H307" s="1"/>
      <c r="I307" s="1"/>
      <c r="L307" s="120"/>
    </row>
    <row r="308" spans="1:12">
      <c r="A308" s="8">
        <v>45181</v>
      </c>
      <c r="B308" s="3">
        <v>1145.25</v>
      </c>
      <c r="C308" s="16">
        <f t="shared" si="21"/>
        <v>7.3445333802444335E-3</v>
      </c>
      <c r="D308" s="1">
        <v>19996.349999999999</v>
      </c>
      <c r="E308" s="17">
        <v>8.8999999999999999E-3</v>
      </c>
      <c r="F308" s="3">
        <v>15309.95</v>
      </c>
      <c r="G308" s="16">
        <f t="shared" si="22"/>
        <v>-3.8798297838987805E-3</v>
      </c>
      <c r="H308" s="1"/>
      <c r="I308" s="1"/>
      <c r="L308" s="120"/>
    </row>
    <row r="309" spans="1:12">
      <c r="A309" s="8">
        <v>45180</v>
      </c>
      <c r="B309" s="3">
        <v>1136.9000000000001</v>
      </c>
      <c r="C309" s="16">
        <f t="shared" si="21"/>
        <v>5.7056924233711559E-3</v>
      </c>
      <c r="D309" s="1">
        <v>19819.95</v>
      </c>
      <c r="E309" s="17">
        <v>4.7089999999999996E-3</v>
      </c>
      <c r="F309" s="3">
        <v>15250.55</v>
      </c>
      <c r="G309" s="16">
        <f t="shared" si="22"/>
        <v>3.6457701525518527E-3</v>
      </c>
      <c r="H309" s="1"/>
      <c r="I309" s="1"/>
      <c r="L309" s="120"/>
    </row>
    <row r="310" spans="1:12">
      <c r="A310" s="8">
        <v>45177</v>
      </c>
      <c r="B310" s="3">
        <v>1130.45</v>
      </c>
      <c r="C310" s="16">
        <f t="shared" si="21"/>
        <v>-2.2946913198886865E-3</v>
      </c>
      <c r="D310" s="1">
        <v>19727.05</v>
      </c>
      <c r="E310" s="17">
        <v>5.9150000000000001E-3</v>
      </c>
      <c r="F310" s="3">
        <v>15306.15</v>
      </c>
      <c r="G310" s="16">
        <f t="shared" si="22"/>
        <v>3.211127553303772E-3</v>
      </c>
      <c r="H310" s="1"/>
      <c r="I310" s="1"/>
      <c r="L310" s="120"/>
    </row>
    <row r="311" spans="1:12">
      <c r="A311" s="8">
        <v>45176</v>
      </c>
      <c r="B311" s="3">
        <v>1133.05</v>
      </c>
      <c r="C311" s="16">
        <f t="shared" si="21"/>
        <v>-8.141112618724522E-3</v>
      </c>
      <c r="D311" s="1">
        <v>19611.05</v>
      </c>
      <c r="E311" s="17">
        <v>1.8469999999999999E-3</v>
      </c>
      <c r="F311" s="3">
        <v>15355.3</v>
      </c>
      <c r="G311" s="16">
        <f t="shared" si="22"/>
        <v>-8.9252570773609152E-3</v>
      </c>
      <c r="H311" s="1"/>
      <c r="I311" s="1"/>
      <c r="L311" s="120"/>
    </row>
    <row r="312" spans="1:12">
      <c r="A312" s="8">
        <v>45175</v>
      </c>
      <c r="B312" s="3">
        <v>1142.3499999999999</v>
      </c>
      <c r="C312" s="16">
        <f t="shared" si="21"/>
        <v>9.2322643343050181E-3</v>
      </c>
      <c r="D312" s="1">
        <v>19574.900000000001</v>
      </c>
      <c r="E312" s="17">
        <v>2.3609999999999998E-3</v>
      </c>
      <c r="F312" s="3">
        <v>15218.25</v>
      </c>
      <c r="G312" s="16">
        <f t="shared" si="22"/>
        <v>-1.0884957205986256E-2</v>
      </c>
      <c r="H312" s="1"/>
      <c r="I312" s="1"/>
      <c r="L312" s="120"/>
    </row>
    <row r="313" spans="1:12">
      <c r="A313" s="8">
        <v>45174</v>
      </c>
      <c r="B313" s="3">
        <v>1131.9000000000001</v>
      </c>
      <c r="C313" s="16">
        <f t="shared" si="21"/>
        <v>2.0741275137523774E-2</v>
      </c>
      <c r="D313" s="1">
        <v>19528.8</v>
      </c>
      <c r="E313" s="17">
        <v>4.8110000000000002E-3</v>
      </c>
      <c r="F313" s="3">
        <v>15052.6</v>
      </c>
      <c r="G313" s="16">
        <f t="shared" si="22"/>
        <v>-2.7104951968431878E-3</v>
      </c>
      <c r="H313" s="1"/>
      <c r="I313" s="1"/>
      <c r="L313" s="120"/>
    </row>
    <row r="314" spans="1:12">
      <c r="A314" s="8">
        <v>45173</v>
      </c>
      <c r="B314" s="3">
        <v>1108.9000000000001</v>
      </c>
      <c r="C314" s="16">
        <f t="shared" si="21"/>
        <v>-9.0171325518362266E-5</v>
      </c>
      <c r="D314" s="1">
        <v>19435.3</v>
      </c>
      <c r="E314" s="17">
        <v>9.4269999999999996E-3</v>
      </c>
      <c r="F314" s="3">
        <v>15011.8</v>
      </c>
      <c r="G314" s="16">
        <f t="shared" si="22"/>
        <v>5.6022595558160582E-3</v>
      </c>
      <c r="H314" s="1"/>
      <c r="I314" s="1"/>
      <c r="L314" s="120"/>
    </row>
    <row r="315" spans="1:12">
      <c r="A315" s="8">
        <v>45170</v>
      </c>
      <c r="B315" s="3">
        <v>1109</v>
      </c>
      <c r="C315" s="16">
        <f t="shared" si="21"/>
        <v>-2.33897085282464E-3</v>
      </c>
      <c r="D315" s="1">
        <v>19253.8</v>
      </c>
      <c r="E315" s="17">
        <v>-4.8399999999999997E-3</v>
      </c>
      <c r="F315" s="3">
        <v>15095.9</v>
      </c>
      <c r="G315" s="16">
        <f t="shared" si="22"/>
        <v>1.9607973025788095E-3</v>
      </c>
      <c r="H315" s="1"/>
      <c r="I315" s="1"/>
      <c r="L315" s="120"/>
    </row>
    <row r="316" spans="1:12">
      <c r="A316" s="8">
        <v>45169</v>
      </c>
      <c r="B316" s="3">
        <v>1111.5999999999999</v>
      </c>
      <c r="C316" s="16">
        <f t="shared" si="21"/>
        <v>-2.9599067180914318E-3</v>
      </c>
      <c r="D316" s="1">
        <v>19347.45</v>
      </c>
      <c r="E316" s="17">
        <v>2.4800000000000001E-4</v>
      </c>
      <c r="F316" s="3">
        <v>15125.5</v>
      </c>
      <c r="G316" s="16">
        <f t="shared" si="22"/>
        <v>-2.9089947439753239E-4</v>
      </c>
      <c r="H316" s="1"/>
      <c r="I316" s="1"/>
      <c r="L316" s="120"/>
    </row>
    <row r="317" spans="1:12">
      <c r="A317" s="8">
        <v>45168</v>
      </c>
      <c r="B317" s="3">
        <v>1114.9000000000001</v>
      </c>
      <c r="C317" s="16">
        <f t="shared" si="21"/>
        <v>2.968693774739295E-3</v>
      </c>
      <c r="D317" s="1">
        <v>19342.650000000001</v>
      </c>
      <c r="E317" s="17">
        <v>1.8959999999999999E-3</v>
      </c>
      <c r="F317" s="3">
        <v>15121.1</v>
      </c>
      <c r="G317" s="16">
        <f t="shared" si="22"/>
        <v>2.6916031241113192E-3</v>
      </c>
      <c r="H317" s="1"/>
      <c r="I317" s="1"/>
      <c r="L317" s="120"/>
    </row>
    <row r="318" spans="1:12">
      <c r="A318" s="8">
        <v>45167</v>
      </c>
      <c r="B318" s="3">
        <v>1111.5999999999999</v>
      </c>
      <c r="C318" s="16">
        <f t="shared" si="21"/>
        <v>-4.8343777976723734E-3</v>
      </c>
      <c r="D318" s="1">
        <v>19306.05</v>
      </c>
      <c r="E318" s="17">
        <v>2.0890000000000001E-3</v>
      </c>
      <c r="F318" s="3">
        <v>15161.8</v>
      </c>
      <c r="G318" s="16">
        <f t="shared" si="22"/>
        <v>-9.0094843620149856E-3</v>
      </c>
      <c r="H318" s="1"/>
      <c r="I318" s="1"/>
      <c r="L318" s="120"/>
    </row>
    <row r="319" spans="1:12">
      <c r="A319" s="8">
        <v>45166</v>
      </c>
      <c r="B319" s="3">
        <v>1117</v>
      </c>
      <c r="C319" s="16">
        <f t="shared" si="21"/>
        <v>9.67187923709667E-3</v>
      </c>
      <c r="D319" s="1">
        <v>19265.8</v>
      </c>
      <c r="E319" s="17">
        <v>-6.2399999999999999E-3</v>
      </c>
      <c r="F319" s="3">
        <v>15025.2</v>
      </c>
      <c r="G319" s="16">
        <f t="shared" si="22"/>
        <v>1.1177887815137177E-2</v>
      </c>
      <c r="H319" s="1"/>
      <c r="I319" s="1"/>
      <c r="L319" s="120"/>
    </row>
    <row r="320" spans="1:12">
      <c r="A320" s="8">
        <v>45163</v>
      </c>
      <c r="B320" s="3">
        <v>1106.3</v>
      </c>
      <c r="C320" s="16">
        <f t="shared" si="21"/>
        <v>-1.073057319145132E-2</v>
      </c>
      <c r="D320" s="1">
        <v>19386.7</v>
      </c>
      <c r="E320" s="17">
        <v>-2.9499999999999999E-3</v>
      </c>
      <c r="F320" s="3">
        <v>15193.15</v>
      </c>
      <c r="G320" s="16">
        <f t="shared" si="22"/>
        <v>5.8809397656180984E-3</v>
      </c>
      <c r="H320" s="1"/>
      <c r="I320" s="1"/>
      <c r="L320" s="120"/>
    </row>
    <row r="321" spans="1:12">
      <c r="A321" s="8">
        <v>45162</v>
      </c>
      <c r="B321" s="3">
        <v>1118.3</v>
      </c>
      <c r="C321" s="16">
        <f t="shared" si="21"/>
        <v>-4.8055530835633409E-3</v>
      </c>
      <c r="D321" s="1">
        <v>19444</v>
      </c>
      <c r="E321" s="17">
        <v>2.4510000000000001E-3</v>
      </c>
      <c r="F321" s="3">
        <v>15282.5</v>
      </c>
      <c r="G321" s="16">
        <f t="shared" si="22"/>
        <v>1.3152298380501026E-3</v>
      </c>
      <c r="H321" s="1"/>
      <c r="I321" s="1"/>
      <c r="L321" s="120"/>
    </row>
    <row r="322" spans="1:12">
      <c r="A322" s="8">
        <v>45161</v>
      </c>
      <c r="B322" s="3">
        <v>1123.7</v>
      </c>
      <c r="C322" s="16">
        <f t="shared" si="21"/>
        <v>-1.2175288998285683E-2</v>
      </c>
      <c r="D322" s="1">
        <v>19396.45</v>
      </c>
      <c r="E322" s="17">
        <v>1.47E-4</v>
      </c>
      <c r="F322" s="3">
        <v>15302.6</v>
      </c>
      <c r="G322" s="16">
        <f t="shared" si="22"/>
        <v>2.0094624442905662E-3</v>
      </c>
      <c r="H322" s="1"/>
      <c r="I322" s="1"/>
      <c r="L322" s="120"/>
    </row>
    <row r="323" spans="1:12">
      <c r="A323" s="8">
        <v>45160</v>
      </c>
      <c r="B323" s="3">
        <v>1137.55</v>
      </c>
      <c r="C323" s="16">
        <f t="shared" si="21"/>
        <v>1.3187972568995399E-4</v>
      </c>
      <c r="D323" s="1">
        <v>19393.599999999999</v>
      </c>
      <c r="E323" s="17">
        <v>4.3220000000000003E-3</v>
      </c>
      <c r="F323" s="3">
        <v>15333.35</v>
      </c>
      <c r="G323" s="16">
        <f t="shared" si="22"/>
        <v>-4.0336912677269021E-3</v>
      </c>
      <c r="H323" s="1"/>
      <c r="I323" s="1"/>
      <c r="L323" s="120"/>
    </row>
    <row r="324" spans="1:12">
      <c r="A324" s="8">
        <v>45159</v>
      </c>
      <c r="B324" s="3">
        <v>1137.4000000000001</v>
      </c>
      <c r="C324" s="16">
        <f t="shared" si="21"/>
        <v>2.2028372543836383E-3</v>
      </c>
      <c r="D324" s="1">
        <v>19310.150000000001</v>
      </c>
      <c r="E324" s="17">
        <v>-2.8500000000000001E-3</v>
      </c>
      <c r="F324" s="3">
        <v>15271.5</v>
      </c>
      <c r="G324" s="16">
        <f t="shared" si="22"/>
        <v>5.6936122843205261E-3</v>
      </c>
      <c r="H324" s="1"/>
      <c r="I324" s="1"/>
      <c r="L324" s="120"/>
    </row>
    <row r="325" spans="1:12">
      <c r="A325" s="8">
        <v>45156</v>
      </c>
      <c r="B325" s="3">
        <v>1134.9000000000001</v>
      </c>
      <c r="C325" s="16">
        <f t="shared" si="21"/>
        <v>-8.6477987421382796E-3</v>
      </c>
      <c r="D325" s="1">
        <v>19365.25</v>
      </c>
      <c r="E325" s="17">
        <v>-5.1200000000000004E-3</v>
      </c>
      <c r="F325" s="3">
        <v>15358.45</v>
      </c>
      <c r="G325" s="16">
        <f t="shared" si="22"/>
        <v>2.6272182414239786E-3</v>
      </c>
      <c r="H325" s="1"/>
      <c r="I325" s="1"/>
      <c r="L325" s="120"/>
    </row>
    <row r="326" spans="1:12">
      <c r="A326" s="8">
        <v>45155</v>
      </c>
      <c r="B326" s="3">
        <v>1144.8</v>
      </c>
      <c r="C326" s="16">
        <f t="shared" si="21"/>
        <v>1.0055523980236902E-3</v>
      </c>
      <c r="D326" s="1">
        <v>19465</v>
      </c>
      <c r="E326" s="17">
        <v>1.567E-3</v>
      </c>
      <c r="F326" s="3">
        <v>15398.8</v>
      </c>
      <c r="G326" s="16">
        <f t="shared" si="22"/>
        <v>-6.0654076941060175E-3</v>
      </c>
      <c r="H326" s="1"/>
      <c r="I326" s="1"/>
      <c r="L326" s="120"/>
    </row>
    <row r="327" spans="1:12">
      <c r="A327" s="8">
        <v>45154</v>
      </c>
      <c r="B327" s="3">
        <v>1143.6500000000001</v>
      </c>
      <c r="C327" s="16">
        <f t="shared" si="21"/>
        <v>8.2874145911395747E-3</v>
      </c>
      <c r="D327" s="1">
        <v>19434.55</v>
      </c>
      <c r="E327" s="17">
        <v>3.2200000000000002E-4</v>
      </c>
      <c r="F327" s="3">
        <v>15305.4</v>
      </c>
      <c r="G327" s="16">
        <f t="shared" si="22"/>
        <v>3.2733545023324595E-3</v>
      </c>
      <c r="H327" s="1"/>
      <c r="I327" s="1"/>
      <c r="L327" s="120"/>
    </row>
    <row r="328" spans="1:12">
      <c r="A328" s="8">
        <v>45152</v>
      </c>
      <c r="B328" s="3">
        <v>1134.25</v>
      </c>
      <c r="C328" s="16">
        <f t="shared" si="21"/>
        <v>1.6779264361725943E-3</v>
      </c>
      <c r="D328" s="1">
        <v>19428.3</v>
      </c>
      <c r="E328" s="17">
        <v>-5.8700000000000002E-3</v>
      </c>
      <c r="F328" s="3">
        <v>15355.5</v>
      </c>
      <c r="G328" s="16">
        <f t="shared" si="22"/>
        <v>1.466575494122635E-2</v>
      </c>
      <c r="H328" s="1"/>
      <c r="I328" s="1"/>
      <c r="L328" s="120"/>
    </row>
    <row r="329" spans="1:12">
      <c r="A329" s="8">
        <v>45149</v>
      </c>
      <c r="B329" s="3">
        <v>1132.3499999999999</v>
      </c>
      <c r="C329" s="16">
        <f t="shared" ref="C329:C392" si="23">B329/B330-1</f>
        <v>-1.5604624880465989E-2</v>
      </c>
      <c r="D329" s="1">
        <v>19543.099999999999</v>
      </c>
      <c r="E329" s="17">
        <v>-4.5599999999999998E-3</v>
      </c>
      <c r="F329" s="3">
        <v>15580.7</v>
      </c>
      <c r="G329" s="16">
        <f t="shared" ref="G329:G392" si="24">F330/F329-1</f>
        <v>7.4547356665617404E-3</v>
      </c>
      <c r="H329" s="1"/>
      <c r="I329" s="1"/>
      <c r="L329" s="120"/>
    </row>
    <row r="330" spans="1:12">
      <c r="A330" s="8">
        <v>45148</v>
      </c>
      <c r="B330" s="3">
        <v>1150.3</v>
      </c>
      <c r="C330" s="16">
        <f t="shared" si="23"/>
        <v>-2.1686328938237409E-3</v>
      </c>
      <c r="D330" s="1">
        <v>19632.55</v>
      </c>
      <c r="E330" s="17">
        <v>3.153E-3</v>
      </c>
      <c r="F330" s="3">
        <v>15696.85</v>
      </c>
      <c r="G330" s="16">
        <f t="shared" si="24"/>
        <v>-7.5397293087466899E-3</v>
      </c>
      <c r="H330" s="1"/>
      <c r="I330" s="1"/>
      <c r="L330" s="120"/>
    </row>
    <row r="331" spans="1:12">
      <c r="A331" s="8">
        <v>45147</v>
      </c>
      <c r="B331" s="3">
        <v>1152.8</v>
      </c>
      <c r="C331" s="16">
        <f t="shared" si="23"/>
        <v>3.6129369259565447E-3</v>
      </c>
      <c r="D331" s="1">
        <v>19570.849999999999</v>
      </c>
      <c r="E331" s="17">
        <v>-1.3500000000000001E-3</v>
      </c>
      <c r="F331" s="3">
        <v>15578.5</v>
      </c>
      <c r="G331" s="16">
        <f t="shared" si="24"/>
        <v>-6.3709599768911884E-3</v>
      </c>
      <c r="H331" s="1"/>
      <c r="I331" s="1"/>
      <c r="L331" s="120"/>
    </row>
    <row r="332" spans="1:12">
      <c r="A332" s="8">
        <v>45146</v>
      </c>
      <c r="B332" s="3">
        <v>1148.6500000000001</v>
      </c>
      <c r="C332" s="16">
        <f t="shared" si="23"/>
        <v>-1.0466919365954452E-2</v>
      </c>
      <c r="D332" s="1">
        <v>19597.3</v>
      </c>
      <c r="E332" s="17">
        <v>4.1139999999999996E-3</v>
      </c>
      <c r="F332" s="3">
        <v>15479.25</v>
      </c>
      <c r="G332" s="16">
        <f t="shared" si="24"/>
        <v>-1.539157258911128E-2</v>
      </c>
      <c r="H332" s="1"/>
      <c r="I332" s="1"/>
      <c r="L332" s="120"/>
    </row>
    <row r="333" spans="1:12">
      <c r="A333" s="8">
        <v>45145</v>
      </c>
      <c r="B333" s="3">
        <v>1160.8</v>
      </c>
      <c r="C333" s="16">
        <f t="shared" si="23"/>
        <v>1.9184336450239092E-2</v>
      </c>
      <c r="D333" s="1">
        <v>19517</v>
      </c>
      <c r="E333" s="17">
        <v>6.9829999999999996E-3</v>
      </c>
      <c r="F333" s="3">
        <v>15241</v>
      </c>
      <c r="G333" s="16">
        <f t="shared" si="24"/>
        <v>-9.3038514533166916E-3</v>
      </c>
      <c r="H333" s="1"/>
      <c r="I333" s="1"/>
      <c r="L333" s="120"/>
    </row>
    <row r="334" spans="1:12">
      <c r="A334" s="8">
        <v>45142</v>
      </c>
      <c r="B334" s="3">
        <v>1138.95</v>
      </c>
      <c r="C334" s="16">
        <f t="shared" si="23"/>
        <v>-1.7966695880805572E-3</v>
      </c>
      <c r="D334" s="1">
        <v>19381.650000000001</v>
      </c>
      <c r="E334" s="17">
        <v>-7.4200000000000004E-3</v>
      </c>
      <c r="F334" s="3">
        <v>15099.2</v>
      </c>
      <c r="G334" s="16">
        <f t="shared" si="24"/>
        <v>-1.0318427466355917E-2</v>
      </c>
      <c r="H334" s="1"/>
      <c r="I334" s="1"/>
      <c r="L334" s="120"/>
    </row>
    <row r="335" spans="1:12">
      <c r="A335" s="8">
        <v>45141</v>
      </c>
      <c r="B335" s="3">
        <v>1141</v>
      </c>
      <c r="C335" s="16">
        <f t="shared" si="23"/>
        <v>5.0649636643911311E-3</v>
      </c>
      <c r="D335" s="1">
        <v>19526.55</v>
      </c>
      <c r="E335" s="17">
        <v>-1.0489999999999999E-2</v>
      </c>
      <c r="F335" s="3">
        <v>14943.4</v>
      </c>
      <c r="G335" s="16">
        <f t="shared" si="24"/>
        <v>3.8746202336816804E-3</v>
      </c>
      <c r="H335" s="1"/>
      <c r="I335" s="1"/>
      <c r="L335" s="120"/>
    </row>
    <row r="336" spans="1:12">
      <c r="A336" s="8">
        <v>45140</v>
      </c>
      <c r="B336" s="3">
        <v>1135.25</v>
      </c>
      <c r="C336" s="16">
        <f t="shared" si="23"/>
        <v>-7.1712798985527071E-3</v>
      </c>
      <c r="D336" s="1">
        <v>19733.55</v>
      </c>
      <c r="E336" s="17">
        <v>-1.0300000000000001E-3</v>
      </c>
      <c r="F336" s="3">
        <v>15001.3</v>
      </c>
      <c r="G336" s="16">
        <f t="shared" si="24"/>
        <v>-6.0994713791473476E-4</v>
      </c>
      <c r="H336" s="1"/>
      <c r="I336" s="1"/>
      <c r="L336" s="120"/>
    </row>
    <row r="337" spans="1:12">
      <c r="A337" s="8">
        <v>45139</v>
      </c>
      <c r="B337" s="3">
        <v>1143.45</v>
      </c>
      <c r="C337" s="16">
        <f t="shared" si="23"/>
        <v>4.3729228616395943E-5</v>
      </c>
      <c r="D337" s="1">
        <v>19753.8</v>
      </c>
      <c r="E337" s="17">
        <v>5.4850000000000003E-3</v>
      </c>
      <c r="F337" s="3">
        <v>14992.15</v>
      </c>
      <c r="G337" s="16">
        <f t="shared" si="24"/>
        <v>-1.9743665851795766E-3</v>
      </c>
      <c r="H337" s="1"/>
      <c r="I337" s="1"/>
      <c r="L337" s="120"/>
    </row>
    <row r="338" spans="1:12">
      <c r="A338" s="8">
        <v>45138</v>
      </c>
      <c r="B338" s="3">
        <v>1143.4000000000001</v>
      </c>
      <c r="C338" s="16">
        <f t="shared" si="23"/>
        <v>4.2598041368409056E-3</v>
      </c>
      <c r="D338" s="1">
        <v>19646.05</v>
      </c>
      <c r="E338" s="17">
        <v>-6.9999999999999999E-4</v>
      </c>
      <c r="F338" s="3">
        <v>14962.55</v>
      </c>
      <c r="G338" s="16">
        <f t="shared" si="24"/>
        <v>-2.8471082803398495E-3</v>
      </c>
      <c r="H338" s="1"/>
      <c r="I338" s="1"/>
      <c r="L338" s="120"/>
    </row>
    <row r="339" spans="1:12">
      <c r="A339" s="8">
        <v>45135</v>
      </c>
      <c r="B339" s="3">
        <v>1138.55</v>
      </c>
      <c r="C339" s="16">
        <f t="shared" si="23"/>
        <v>3.171945900700468E-3</v>
      </c>
      <c r="D339" s="1">
        <v>19659.900000000001</v>
      </c>
      <c r="E339" s="17">
        <v>-5.9899999999999997E-3</v>
      </c>
      <c r="F339" s="3">
        <v>14919.95</v>
      </c>
      <c r="G339" s="16">
        <f t="shared" si="24"/>
        <v>-2.9597954416737293E-2</v>
      </c>
      <c r="H339" s="1"/>
      <c r="I339" s="1"/>
      <c r="L339" s="120"/>
    </row>
    <row r="340" spans="1:12">
      <c r="A340" s="8">
        <v>45134</v>
      </c>
      <c r="B340" s="3">
        <v>1134.95</v>
      </c>
      <c r="C340" s="16">
        <f t="shared" si="23"/>
        <v>2.0638489208633093E-2</v>
      </c>
      <c r="D340" s="1">
        <v>19778.3</v>
      </c>
      <c r="E340" s="17">
        <v>4.9639999999999997E-3</v>
      </c>
      <c r="F340" s="3">
        <v>14478.35</v>
      </c>
      <c r="G340" s="16">
        <f t="shared" si="24"/>
        <v>-6.5684280321998134E-3</v>
      </c>
      <c r="H340" s="1"/>
      <c r="I340" s="1"/>
      <c r="L340" s="120"/>
    </row>
    <row r="341" spans="1:12">
      <c r="A341" s="8">
        <v>45133</v>
      </c>
      <c r="B341" s="3">
        <v>1112</v>
      </c>
      <c r="C341" s="16">
        <f t="shared" si="23"/>
        <v>1.5478745262773375E-2</v>
      </c>
      <c r="D341" s="1">
        <v>19680.599999999999</v>
      </c>
      <c r="E341" s="17">
        <v>4.1899999999999999E-4</v>
      </c>
      <c r="F341" s="3">
        <v>14383.25</v>
      </c>
      <c r="G341" s="16">
        <f t="shared" si="24"/>
        <v>-3.5596961743695754E-3</v>
      </c>
      <c r="H341" s="1"/>
      <c r="I341" s="1"/>
      <c r="L341" s="120"/>
    </row>
    <row r="342" spans="1:12">
      <c r="A342" s="8">
        <v>45132</v>
      </c>
      <c r="B342" s="3">
        <v>1095.05</v>
      </c>
      <c r="C342" s="16">
        <f t="shared" si="23"/>
        <v>-4.861868411486836E-3</v>
      </c>
      <c r="D342" s="1">
        <v>19672.349999999999</v>
      </c>
      <c r="E342" s="17">
        <v>-3.6800000000000001E-3</v>
      </c>
      <c r="F342" s="3">
        <v>14332.05</v>
      </c>
      <c r="G342" s="16">
        <f t="shared" si="24"/>
        <v>-4.0503626487486954E-3</v>
      </c>
      <c r="H342" s="1"/>
      <c r="I342" s="1"/>
      <c r="L342" s="120"/>
    </row>
    <row r="343" spans="1:12">
      <c r="A343" s="8">
        <v>45131</v>
      </c>
      <c r="B343" s="3">
        <v>1100.4000000000001</v>
      </c>
      <c r="C343" s="16">
        <f t="shared" si="23"/>
        <v>2.9622202980448264E-3</v>
      </c>
      <c r="D343" s="1">
        <v>19745</v>
      </c>
      <c r="E343" s="17">
        <v>-1.172E-2</v>
      </c>
      <c r="F343" s="3">
        <v>14274</v>
      </c>
      <c r="G343" s="16">
        <f t="shared" si="24"/>
        <v>1.7549390500208872E-3</v>
      </c>
      <c r="H343" s="1"/>
      <c r="I343" s="1"/>
      <c r="L343" s="120"/>
    </row>
    <row r="344" spans="1:12">
      <c r="A344" s="8">
        <v>45128</v>
      </c>
      <c r="B344" s="3">
        <v>1097.1500000000001</v>
      </c>
      <c r="C344" s="16">
        <f t="shared" si="23"/>
        <v>-4.5551860793513477E-4</v>
      </c>
      <c r="D344" s="1">
        <v>19979.150000000001</v>
      </c>
      <c r="E344" s="17">
        <v>7.3610000000000004E-3</v>
      </c>
      <c r="F344" s="3">
        <v>14299.05</v>
      </c>
      <c r="G344" s="16">
        <f t="shared" si="24"/>
        <v>-1.4438022106363579E-2</v>
      </c>
      <c r="H344" s="1"/>
      <c r="I344" s="1"/>
      <c r="L344" s="120"/>
    </row>
    <row r="345" spans="1:12">
      <c r="A345" s="8">
        <v>45127</v>
      </c>
      <c r="B345" s="3">
        <v>1097.6500000000001</v>
      </c>
      <c r="C345" s="16">
        <f t="shared" si="23"/>
        <v>1.4604612469381273E-2</v>
      </c>
      <c r="D345" s="1">
        <v>19833.150000000001</v>
      </c>
      <c r="E345" s="17">
        <v>4.248E-3</v>
      </c>
      <c r="F345" s="3">
        <v>14092.6</v>
      </c>
      <c r="G345" s="16">
        <f t="shared" si="24"/>
        <v>-5.3538736641925988E-3</v>
      </c>
      <c r="H345" s="1"/>
      <c r="I345" s="1"/>
      <c r="L345" s="120"/>
    </row>
    <row r="346" spans="1:12">
      <c r="A346" s="8">
        <v>45126</v>
      </c>
      <c r="B346" s="3">
        <v>1081.8499999999999</v>
      </c>
      <c r="C346" s="16">
        <f t="shared" si="23"/>
        <v>1.3775008199409466E-2</v>
      </c>
      <c r="D346" s="1">
        <v>19749.25</v>
      </c>
      <c r="E346" s="17">
        <v>1.918E-3</v>
      </c>
      <c r="F346" s="3">
        <v>14017.15</v>
      </c>
      <c r="G346" s="16">
        <f t="shared" si="24"/>
        <v>2.6075200736241921E-3</v>
      </c>
      <c r="H346" s="1"/>
      <c r="I346" s="1"/>
      <c r="L346" s="120"/>
    </row>
    <row r="347" spans="1:12">
      <c r="A347" s="8">
        <v>45125</v>
      </c>
      <c r="B347" s="3">
        <v>1067.1500000000001</v>
      </c>
      <c r="C347" s="16">
        <f t="shared" si="23"/>
        <v>-9.6974758723086252E-3</v>
      </c>
      <c r="D347" s="1">
        <v>19711.45</v>
      </c>
      <c r="E347" s="17">
        <v>7.5110000000000003E-3</v>
      </c>
      <c r="F347" s="3">
        <v>14053.7</v>
      </c>
      <c r="G347" s="16">
        <f t="shared" si="24"/>
        <v>-7.6883667646243659E-3</v>
      </c>
      <c r="H347" s="1"/>
      <c r="I347" s="1"/>
      <c r="L347" s="120"/>
    </row>
    <row r="348" spans="1:12">
      <c r="A348" s="8">
        <v>45124</v>
      </c>
      <c r="B348" s="3">
        <v>1077.5999999999999</v>
      </c>
      <c r="C348" s="16">
        <f t="shared" si="23"/>
        <v>4.3338459387667339E-3</v>
      </c>
      <c r="D348" s="1">
        <v>19564.5</v>
      </c>
      <c r="E348" s="17">
        <v>7.7650000000000002E-3</v>
      </c>
      <c r="F348" s="3">
        <v>13945.65</v>
      </c>
      <c r="G348" s="16">
        <f t="shared" si="24"/>
        <v>-4.9549501098908877E-3</v>
      </c>
      <c r="H348" s="1"/>
      <c r="I348" s="1"/>
      <c r="L348" s="120"/>
    </row>
    <row r="349" spans="1:12">
      <c r="A349" s="8">
        <v>45121</v>
      </c>
      <c r="B349" s="3">
        <v>1072.95</v>
      </c>
      <c r="C349" s="16">
        <f t="shared" si="23"/>
        <v>-2.5101101659462666E-3</v>
      </c>
      <c r="D349" s="1">
        <v>19413.75</v>
      </c>
      <c r="E349" s="17">
        <v>1.519E-3</v>
      </c>
      <c r="F349" s="3">
        <v>13876.55</v>
      </c>
      <c r="G349" s="16">
        <f t="shared" si="24"/>
        <v>4.3346509038630909E-3</v>
      </c>
      <c r="H349" s="1"/>
      <c r="I349" s="1"/>
      <c r="L349" s="120"/>
    </row>
    <row r="350" spans="1:12">
      <c r="A350" s="8">
        <v>45120</v>
      </c>
      <c r="B350" s="3">
        <v>1075.6500000000001</v>
      </c>
      <c r="C350" s="16">
        <f t="shared" si="23"/>
        <v>-2.8736964078793781E-3</v>
      </c>
      <c r="D350" s="1">
        <v>19384.3</v>
      </c>
      <c r="E350" s="17">
        <v>-2.8300000000000001E-3</v>
      </c>
      <c r="F350" s="3">
        <v>13936.7</v>
      </c>
      <c r="G350" s="16">
        <f t="shared" si="24"/>
        <v>-2.9633987959847286E-3</v>
      </c>
      <c r="H350" s="1"/>
      <c r="I350" s="1"/>
      <c r="L350" s="120"/>
    </row>
    <row r="351" spans="1:12">
      <c r="A351" s="8">
        <v>45119</v>
      </c>
      <c r="B351" s="3">
        <v>1078.75</v>
      </c>
      <c r="C351" s="16">
        <f t="shared" si="23"/>
        <v>6.0620191186757655E-3</v>
      </c>
      <c r="D351" s="1">
        <v>19439.400000000001</v>
      </c>
      <c r="E351" s="17">
        <v>4.3140000000000001E-3</v>
      </c>
      <c r="F351" s="3">
        <v>13895.4</v>
      </c>
      <c r="G351" s="16">
        <f t="shared" si="24"/>
        <v>-1.0334355254256855E-2</v>
      </c>
      <c r="H351" s="1"/>
      <c r="I351" s="1"/>
      <c r="L351" s="120"/>
    </row>
    <row r="352" spans="1:12">
      <c r="A352" s="8">
        <v>45118</v>
      </c>
      <c r="B352" s="3">
        <v>1072.25</v>
      </c>
      <c r="C352" s="16">
        <f t="shared" si="23"/>
        <v>2.6076555023923476E-2</v>
      </c>
      <c r="D352" s="1">
        <v>19355.900000000001</v>
      </c>
      <c r="E352" s="17">
        <v>1.2470000000000001E-3</v>
      </c>
      <c r="F352" s="3">
        <v>13751.8</v>
      </c>
      <c r="G352" s="16">
        <f t="shared" si="24"/>
        <v>1.25074535697145E-3</v>
      </c>
      <c r="H352" s="1"/>
      <c r="I352" s="1"/>
      <c r="L352" s="120"/>
    </row>
    <row r="353" spans="1:12">
      <c r="A353" s="8">
        <v>45117</v>
      </c>
      <c r="B353" s="3">
        <v>1045</v>
      </c>
      <c r="C353" s="16">
        <f t="shared" si="23"/>
        <v>8.9794341990923066E-3</v>
      </c>
      <c r="D353" s="1">
        <v>19331.8</v>
      </c>
      <c r="E353" s="17">
        <v>-8.4899999999999993E-3</v>
      </c>
      <c r="F353" s="3">
        <v>13769</v>
      </c>
      <c r="G353" s="16">
        <f t="shared" si="24"/>
        <v>7.4515215338804008E-3</v>
      </c>
      <c r="H353" s="1"/>
      <c r="I353" s="1"/>
      <c r="L353" s="120"/>
    </row>
    <row r="354" spans="1:12">
      <c r="A354" s="8">
        <v>45114</v>
      </c>
      <c r="B354" s="3">
        <v>1035.7</v>
      </c>
      <c r="C354" s="16">
        <f t="shared" si="23"/>
        <v>-6.5227817745803218E-3</v>
      </c>
      <c r="D354" s="1">
        <v>19497.3</v>
      </c>
      <c r="E354" s="17">
        <v>5.0930000000000003E-3</v>
      </c>
      <c r="F354" s="3">
        <v>13871.6</v>
      </c>
      <c r="G354" s="16">
        <f t="shared" si="24"/>
        <v>-7.1801378355778045E-3</v>
      </c>
      <c r="H354" s="1"/>
      <c r="I354" s="1"/>
      <c r="L354" s="120"/>
    </row>
    <row r="355" spans="1:12">
      <c r="A355" s="8">
        <v>45113</v>
      </c>
      <c r="B355" s="3">
        <v>1042.5</v>
      </c>
      <c r="C355" s="16">
        <f t="shared" si="23"/>
        <v>-2.1058677132191894E-3</v>
      </c>
      <c r="D355" s="1">
        <v>19398.5</v>
      </c>
      <c r="E355" s="17">
        <v>4.8999999999999998E-4</v>
      </c>
      <c r="F355" s="3">
        <v>13772</v>
      </c>
      <c r="G355" s="16">
        <f t="shared" si="24"/>
        <v>-7.010601219866297E-3</v>
      </c>
      <c r="H355" s="1"/>
      <c r="I355" s="1"/>
      <c r="L355" s="120"/>
    </row>
    <row r="356" spans="1:12">
      <c r="A356" s="8">
        <v>45112</v>
      </c>
      <c r="B356" s="3">
        <v>1044.7</v>
      </c>
      <c r="C356" s="16">
        <f t="shared" si="23"/>
        <v>-3.9092295957283696E-3</v>
      </c>
      <c r="D356" s="1">
        <v>19389</v>
      </c>
      <c r="E356" s="17">
        <v>3.4390000000000002E-3</v>
      </c>
      <c r="F356" s="3">
        <v>13675.45</v>
      </c>
      <c r="G356" s="16">
        <f t="shared" si="24"/>
        <v>-4.4934535975050816E-3</v>
      </c>
      <c r="H356" s="1"/>
      <c r="I356" s="1"/>
      <c r="L356" s="120"/>
    </row>
    <row r="357" spans="1:12">
      <c r="A357" s="8">
        <v>45111</v>
      </c>
      <c r="B357" s="3">
        <v>1048.8</v>
      </c>
      <c r="C357" s="16">
        <f t="shared" si="23"/>
        <v>1.5590200445434244E-2</v>
      </c>
      <c r="D357" s="1">
        <v>19322.55</v>
      </c>
      <c r="E357" s="17">
        <v>6.9569999999999996E-3</v>
      </c>
      <c r="F357" s="3">
        <v>13614</v>
      </c>
      <c r="G357" s="16">
        <f t="shared" si="24"/>
        <v>1.1275157925664692E-2</v>
      </c>
      <c r="H357" s="1"/>
      <c r="I357" s="1"/>
      <c r="L357" s="120"/>
    </row>
    <row r="358" spans="1:12">
      <c r="A358" s="8">
        <v>45110</v>
      </c>
      <c r="B358" s="3">
        <v>1032.7</v>
      </c>
      <c r="C358" s="16">
        <f t="shared" si="23"/>
        <v>-1.7972613160897599E-2</v>
      </c>
      <c r="D358" s="1">
        <v>19189.05</v>
      </c>
      <c r="E358" s="17">
        <v>1.1435000000000001E-2</v>
      </c>
      <c r="F358" s="3">
        <v>13767.5</v>
      </c>
      <c r="G358" s="16">
        <f t="shared" si="24"/>
        <v>-1.0513891410931508E-2</v>
      </c>
      <c r="H358" s="1"/>
      <c r="I358" s="1"/>
      <c r="L358" s="120"/>
    </row>
    <row r="359" spans="1:12">
      <c r="A359" s="8">
        <v>45107</v>
      </c>
      <c r="B359" s="3">
        <v>1051.5999999999999</v>
      </c>
      <c r="C359" s="16">
        <f t="shared" si="23"/>
        <v>2.9164220003914609E-2</v>
      </c>
      <c r="D359" s="1">
        <v>18972.099999999999</v>
      </c>
      <c r="E359" s="17">
        <v>8.2209999999999991E-3</v>
      </c>
      <c r="F359" s="3">
        <v>13622.75</v>
      </c>
      <c r="G359" s="16">
        <f t="shared" si="24"/>
        <v>-1.4376686058248156E-2</v>
      </c>
      <c r="H359" s="1"/>
      <c r="I359" s="1"/>
      <c r="L359" s="120"/>
    </row>
    <row r="360" spans="1:12">
      <c r="A360" s="8">
        <v>45105</v>
      </c>
      <c r="B360" s="3">
        <v>1021.8</v>
      </c>
      <c r="C360" s="16">
        <f t="shared" si="23"/>
        <v>1.9964064683569482E-2</v>
      </c>
      <c r="D360" s="1">
        <v>18817.400000000001</v>
      </c>
      <c r="E360" s="17">
        <v>6.7520000000000002E-3</v>
      </c>
      <c r="F360" s="3">
        <v>13426.9</v>
      </c>
      <c r="G360" s="16">
        <f t="shared" si="24"/>
        <v>-2.8524827026341626E-3</v>
      </c>
      <c r="H360" s="1"/>
      <c r="I360" s="1"/>
      <c r="L360" s="120"/>
    </row>
    <row r="361" spans="1:12">
      <c r="A361" s="8">
        <v>45104</v>
      </c>
      <c r="B361" s="3">
        <v>1001.8</v>
      </c>
      <c r="C361" s="16">
        <f t="shared" si="23"/>
        <v>6.8847680787977872E-3</v>
      </c>
      <c r="D361" s="1">
        <v>18691.2</v>
      </c>
      <c r="E361" s="17">
        <v>1.377E-3</v>
      </c>
      <c r="F361" s="3">
        <v>13388.6</v>
      </c>
      <c r="G361" s="16">
        <f t="shared" si="24"/>
        <v>-1.5109869590547276E-2</v>
      </c>
      <c r="H361" s="1"/>
      <c r="I361" s="1"/>
      <c r="L361" s="120"/>
    </row>
    <row r="362" spans="1:12">
      <c r="A362" s="8">
        <v>45103</v>
      </c>
      <c r="B362" s="1">
        <v>994.95</v>
      </c>
      <c r="C362" s="16">
        <f t="shared" si="23"/>
        <v>3.5301830652074706E-3</v>
      </c>
      <c r="D362" s="1">
        <v>18665.5</v>
      </c>
      <c r="E362" s="17">
        <v>-5.6299999999999996E-3</v>
      </c>
      <c r="F362" s="3">
        <v>13186.3</v>
      </c>
      <c r="G362" s="16">
        <f t="shared" si="24"/>
        <v>-1.4750157360289284E-3</v>
      </c>
      <c r="H362" s="1"/>
      <c r="I362" s="1"/>
      <c r="L362" s="120"/>
    </row>
    <row r="363" spans="1:12">
      <c r="A363" s="8">
        <v>45100</v>
      </c>
      <c r="B363" s="1">
        <v>991.45</v>
      </c>
      <c r="C363" s="16">
        <f t="shared" si="23"/>
        <v>1.1612642633547221E-3</v>
      </c>
      <c r="D363" s="1">
        <v>18771.25</v>
      </c>
      <c r="E363" s="17">
        <v>-4.5399999999999998E-3</v>
      </c>
      <c r="F363" s="3">
        <v>13166.85</v>
      </c>
      <c r="G363" s="16">
        <f t="shared" si="24"/>
        <v>6.1404208295834373E-3</v>
      </c>
      <c r="H363" s="1"/>
      <c r="I363" s="1"/>
      <c r="L363" s="120"/>
    </row>
    <row r="364" spans="1:12">
      <c r="A364" s="8">
        <v>45099</v>
      </c>
      <c r="B364" s="1">
        <v>990.3</v>
      </c>
      <c r="C364" s="16">
        <f t="shared" si="23"/>
        <v>-1.613065833249383E-3</v>
      </c>
      <c r="D364" s="1">
        <v>18856.849999999999</v>
      </c>
      <c r="E364" s="17">
        <v>2.134E-3</v>
      </c>
      <c r="F364" s="3">
        <v>13247.7</v>
      </c>
      <c r="G364" s="16">
        <f t="shared" si="24"/>
        <v>-6.6804049004731691E-4</v>
      </c>
      <c r="H364" s="1"/>
      <c r="I364" s="1"/>
      <c r="L364" s="120"/>
    </row>
    <row r="365" spans="1:12">
      <c r="A365" s="8">
        <v>45098</v>
      </c>
      <c r="B365" s="1">
        <v>991.9</v>
      </c>
      <c r="C365" s="16">
        <f t="shared" si="23"/>
        <v>-5.0405766419792108E-5</v>
      </c>
      <c r="D365" s="1">
        <v>18816.7</v>
      </c>
      <c r="E365" s="17">
        <v>3.2659999999999998E-3</v>
      </c>
      <c r="F365" s="3">
        <v>13238.85</v>
      </c>
      <c r="G365" s="16">
        <f t="shared" si="24"/>
        <v>1.9488097531128457E-3</v>
      </c>
      <c r="H365" s="1"/>
      <c r="I365" s="1"/>
      <c r="L365" s="120"/>
    </row>
    <row r="366" spans="1:12">
      <c r="A366" s="8">
        <v>45097</v>
      </c>
      <c r="B366" s="1">
        <v>991.95</v>
      </c>
      <c r="C366" s="16">
        <f t="shared" si="23"/>
        <v>-9.8323018566579545E-3</v>
      </c>
      <c r="D366" s="1">
        <v>18755.45</v>
      </c>
      <c r="E366" s="17">
        <v>-3.7499999999999999E-3</v>
      </c>
      <c r="F366" s="3">
        <v>13264.65</v>
      </c>
      <c r="G366" s="16">
        <f t="shared" si="24"/>
        <v>-1.7113154135238728E-3</v>
      </c>
      <c r="H366" s="1"/>
      <c r="I366" s="1"/>
      <c r="L366" s="120"/>
    </row>
    <row r="367" spans="1:12">
      <c r="A367" s="8">
        <v>45096</v>
      </c>
      <c r="B367" s="3">
        <v>1001.8</v>
      </c>
      <c r="C367" s="16">
        <f t="shared" si="23"/>
        <v>9.879032258064413E-3</v>
      </c>
      <c r="D367" s="1">
        <v>18826</v>
      </c>
      <c r="E367" s="17">
        <v>7.3790000000000001E-3</v>
      </c>
      <c r="F367" s="3">
        <v>13241.95</v>
      </c>
      <c r="G367" s="16">
        <f t="shared" si="24"/>
        <v>-6.1433550194647246E-3</v>
      </c>
      <c r="H367" s="1"/>
      <c r="I367" s="1"/>
      <c r="L367" s="120"/>
    </row>
    <row r="368" spans="1:12">
      <c r="A368" s="8">
        <v>45093</v>
      </c>
      <c r="B368" s="1">
        <v>992</v>
      </c>
      <c r="C368" s="16">
        <f t="shared" si="23"/>
        <v>3.6422501011736941E-3</v>
      </c>
      <c r="D368" s="1">
        <v>18688.099999999999</v>
      </c>
      <c r="E368" s="17">
        <v>-3.6099999999999999E-3</v>
      </c>
      <c r="F368" s="3">
        <v>13160.6</v>
      </c>
      <c r="G368" s="16">
        <f t="shared" si="24"/>
        <v>-1.3965928605078837E-2</v>
      </c>
      <c r="H368" s="1"/>
      <c r="I368" s="1"/>
      <c r="L368" s="120"/>
    </row>
    <row r="369" spans="1:12">
      <c r="A369" s="8">
        <v>45092</v>
      </c>
      <c r="B369" s="1">
        <v>988.4</v>
      </c>
      <c r="C369" s="16">
        <f t="shared" si="23"/>
        <v>1.7229147663928579E-3</v>
      </c>
      <c r="D369" s="1">
        <v>18755.900000000001</v>
      </c>
      <c r="E369" s="17">
        <v>2.124E-3</v>
      </c>
      <c r="F369" s="3">
        <v>12976.8</v>
      </c>
      <c r="G369" s="16">
        <f t="shared" si="24"/>
        <v>1.3061771777325148E-3</v>
      </c>
      <c r="H369" s="1"/>
      <c r="I369" s="1"/>
      <c r="L369" s="120"/>
    </row>
    <row r="370" spans="1:12">
      <c r="A370" s="8">
        <v>45091</v>
      </c>
      <c r="B370" s="1">
        <v>986.7</v>
      </c>
      <c r="C370" s="16">
        <f t="shared" si="23"/>
        <v>-1.4168606416354868E-3</v>
      </c>
      <c r="D370" s="1">
        <v>18716.150000000001</v>
      </c>
      <c r="E370" s="17">
        <v>6.1630000000000001E-3</v>
      </c>
      <c r="F370" s="3">
        <v>12993.75</v>
      </c>
      <c r="G370" s="16">
        <f t="shared" si="24"/>
        <v>-1.0597402597402605E-2</v>
      </c>
      <c r="H370" s="1"/>
      <c r="I370" s="1"/>
      <c r="L370" s="120"/>
    </row>
    <row r="371" spans="1:12">
      <c r="A371" s="8">
        <v>45090</v>
      </c>
      <c r="B371" s="1">
        <v>988.1</v>
      </c>
      <c r="C371" s="16">
        <f t="shared" si="23"/>
        <v>2.6891267948652153E-3</v>
      </c>
      <c r="D371" s="1">
        <v>18601.5</v>
      </c>
      <c r="E371" s="17">
        <v>2.052E-3</v>
      </c>
      <c r="F371" s="3">
        <v>12856.05</v>
      </c>
      <c r="G371" s="16">
        <f t="shared" si="24"/>
        <v>3.8892194725437257E-4</v>
      </c>
      <c r="H371" s="1"/>
      <c r="I371" s="1"/>
      <c r="L371" s="120"/>
    </row>
    <row r="372" spans="1:12">
      <c r="A372" s="8">
        <v>45089</v>
      </c>
      <c r="B372" s="1">
        <v>985.45</v>
      </c>
      <c r="C372" s="16">
        <f t="shared" si="23"/>
        <v>1.5244677066923451E-3</v>
      </c>
      <c r="D372" s="1">
        <v>18563.400000000001</v>
      </c>
      <c r="E372" s="17">
        <v>-3.82E-3</v>
      </c>
      <c r="F372" s="3">
        <v>12861.05</v>
      </c>
      <c r="G372" s="16">
        <f t="shared" si="24"/>
        <v>3.9110337025360931E-3</v>
      </c>
      <c r="H372" s="1"/>
      <c r="I372" s="1"/>
      <c r="L372" s="120"/>
    </row>
    <row r="373" spans="1:12">
      <c r="A373" s="8">
        <v>45086</v>
      </c>
      <c r="B373" s="1">
        <v>983.95</v>
      </c>
      <c r="C373" s="16">
        <f t="shared" si="23"/>
        <v>-3.0901722391083464E-3</v>
      </c>
      <c r="D373" s="1">
        <v>18634.55</v>
      </c>
      <c r="E373" s="17">
        <v>-4.8999999999999998E-3</v>
      </c>
      <c r="F373" s="3">
        <v>12911.35</v>
      </c>
      <c r="G373" s="16">
        <f t="shared" si="24"/>
        <v>1.0401700829115512E-2</v>
      </c>
      <c r="H373" s="1"/>
      <c r="I373" s="1"/>
      <c r="L373" s="120"/>
    </row>
    <row r="374" spans="1:12">
      <c r="A374" s="8">
        <v>45085</v>
      </c>
      <c r="B374" s="1">
        <v>987</v>
      </c>
      <c r="C374" s="16">
        <f t="shared" si="23"/>
        <v>-2.7202838557066844E-2</v>
      </c>
      <c r="D374" s="1">
        <v>18726.400000000001</v>
      </c>
      <c r="E374" s="17">
        <v>6.8500000000000002E-3</v>
      </c>
      <c r="F374" s="3">
        <v>13045.65</v>
      </c>
      <c r="G374" s="16">
        <f t="shared" si="24"/>
        <v>-2.5104153491777303E-3</v>
      </c>
      <c r="H374" s="1"/>
      <c r="I374" s="1"/>
      <c r="L374" s="120"/>
    </row>
    <row r="375" spans="1:12">
      <c r="A375" s="8">
        <v>45084</v>
      </c>
      <c r="B375" s="3">
        <v>1014.6</v>
      </c>
      <c r="C375" s="16">
        <f t="shared" si="23"/>
        <v>7.891102781614201E-4</v>
      </c>
      <c r="D375" s="1">
        <v>18599</v>
      </c>
      <c r="E375" s="17">
        <v>2.7700000000000001E-4</v>
      </c>
      <c r="F375" s="3">
        <v>13012.9</v>
      </c>
      <c r="G375" s="16">
        <f t="shared" si="24"/>
        <v>-6.0247907845292215E-3</v>
      </c>
      <c r="H375" s="1"/>
      <c r="I375" s="1"/>
      <c r="L375" s="120"/>
    </row>
    <row r="376" spans="1:12">
      <c r="A376" s="8">
        <v>45083</v>
      </c>
      <c r="B376" s="3">
        <v>1013.8</v>
      </c>
      <c r="C376" s="16">
        <f t="shared" si="23"/>
        <v>5.0061957868647866E-3</v>
      </c>
      <c r="D376" s="1">
        <v>18593.849999999999</v>
      </c>
      <c r="E376" s="17">
        <v>3.2239999999999999E-3</v>
      </c>
      <c r="F376" s="3">
        <v>12934.5</v>
      </c>
      <c r="G376" s="16">
        <f t="shared" si="24"/>
        <v>-2.6208975994432837E-3</v>
      </c>
      <c r="H376" s="1"/>
      <c r="I376" s="1"/>
      <c r="L376" s="120"/>
    </row>
    <row r="377" spans="1:12">
      <c r="A377" s="8">
        <v>45082</v>
      </c>
      <c r="B377" s="3">
        <v>1008.75</v>
      </c>
      <c r="C377" s="16">
        <f t="shared" si="23"/>
        <v>9.1536614645857384E-3</v>
      </c>
      <c r="D377" s="1">
        <v>18534.099999999999</v>
      </c>
      <c r="E377" s="17">
        <v>2.5070000000000001E-3</v>
      </c>
      <c r="F377" s="3">
        <v>12900.6</v>
      </c>
      <c r="G377" s="16">
        <f t="shared" si="24"/>
        <v>-6.8058849975970448E-3</v>
      </c>
      <c r="H377" s="1"/>
      <c r="I377" s="1"/>
      <c r="L377" s="120"/>
    </row>
    <row r="378" spans="1:12">
      <c r="A378" s="8">
        <v>45079</v>
      </c>
      <c r="B378" s="1">
        <v>999.6</v>
      </c>
      <c r="C378" s="16">
        <f t="shared" si="23"/>
        <v>1.2048192771084265E-2</v>
      </c>
      <c r="D378" s="1">
        <v>18487.75</v>
      </c>
      <c r="E378" s="17">
        <v>-2.5200000000000001E-3</v>
      </c>
      <c r="F378" s="3">
        <v>12812.8</v>
      </c>
      <c r="G378" s="16">
        <f t="shared" si="24"/>
        <v>-1.0489510489510412E-2</v>
      </c>
      <c r="H378" s="1"/>
      <c r="I378" s="1"/>
      <c r="L378" s="120"/>
    </row>
    <row r="379" spans="1:12">
      <c r="A379" s="8">
        <v>45078</v>
      </c>
      <c r="B379" s="1">
        <v>987.7</v>
      </c>
      <c r="C379" s="16">
        <f t="shared" si="23"/>
        <v>1.2662121289793493E-2</v>
      </c>
      <c r="D379" s="1">
        <v>18534.400000000001</v>
      </c>
      <c r="E379" s="17">
        <v>-5.3400000000000001E-3</v>
      </c>
      <c r="F379" s="3">
        <v>12678.4</v>
      </c>
      <c r="G379" s="16">
        <f t="shared" si="24"/>
        <v>-5.813036345280076E-3</v>
      </c>
      <c r="H379" s="1"/>
      <c r="I379" s="1"/>
      <c r="L379" s="120"/>
    </row>
    <row r="380" spans="1:12">
      <c r="A380" s="8">
        <v>45077</v>
      </c>
      <c r="B380" s="1">
        <v>975.35</v>
      </c>
      <c r="C380" s="16">
        <f t="shared" si="23"/>
        <v>1.6413088786994656E-2</v>
      </c>
      <c r="D380" s="1">
        <v>18633.849999999999</v>
      </c>
      <c r="E380" s="17">
        <v>1.8929999999999999E-3</v>
      </c>
      <c r="F380" s="3">
        <v>12604.7</v>
      </c>
      <c r="G380" s="16">
        <f t="shared" si="24"/>
        <v>1.5470419764056498E-3</v>
      </c>
      <c r="H380" s="1"/>
      <c r="I380" s="1"/>
      <c r="L380" s="120"/>
    </row>
    <row r="381" spans="1:12">
      <c r="A381" s="8">
        <v>45076</v>
      </c>
      <c r="B381" s="1">
        <v>959.6</v>
      </c>
      <c r="C381" s="16">
        <f t="shared" si="23"/>
        <v>-9.1383138004027531E-3</v>
      </c>
      <c r="D381" s="1">
        <v>18598.650000000001</v>
      </c>
      <c r="E381" s="17">
        <v>5.3680000000000004E-3</v>
      </c>
      <c r="F381" s="3">
        <v>12624.2</v>
      </c>
      <c r="G381" s="16">
        <f t="shared" si="24"/>
        <v>-1.7941730961170688E-3</v>
      </c>
      <c r="H381" s="1"/>
      <c r="I381" s="1"/>
      <c r="L381" s="120"/>
    </row>
    <row r="382" spans="1:12">
      <c r="A382" s="8">
        <v>45075</v>
      </c>
      <c r="B382" s="1">
        <v>968.45</v>
      </c>
      <c r="C382" s="16">
        <f t="shared" si="23"/>
        <v>-1.4949994844828396E-3</v>
      </c>
      <c r="D382" s="1">
        <v>18499.349999999999</v>
      </c>
      <c r="E382" s="17">
        <v>9.7260000000000003E-3</v>
      </c>
      <c r="F382" s="3">
        <v>12601.55</v>
      </c>
      <c r="G382" s="16">
        <f t="shared" si="24"/>
        <v>-1.1589844106478897E-2</v>
      </c>
      <c r="H382" s="1"/>
      <c r="I382" s="1"/>
      <c r="L382" s="120"/>
    </row>
    <row r="383" spans="1:12">
      <c r="A383" s="8">
        <v>45072</v>
      </c>
      <c r="B383" s="1">
        <v>969.9</v>
      </c>
      <c r="C383" s="16">
        <f t="shared" si="23"/>
        <v>2.6349206349206344E-2</v>
      </c>
      <c r="D383" s="1">
        <v>18321.150000000001</v>
      </c>
      <c r="E383" s="17">
        <v>1.9550000000000001E-3</v>
      </c>
      <c r="F383" s="3">
        <v>12455.5</v>
      </c>
      <c r="G383" s="16">
        <f t="shared" si="24"/>
        <v>-1.2083015535304664E-3</v>
      </c>
      <c r="H383" s="1"/>
      <c r="I383" s="1"/>
      <c r="L383" s="120"/>
    </row>
    <row r="384" spans="1:12">
      <c r="A384" s="8">
        <v>45071</v>
      </c>
      <c r="B384" s="1">
        <v>945</v>
      </c>
      <c r="C384" s="16">
        <f t="shared" si="23"/>
        <v>-7.5093210103449604E-3</v>
      </c>
      <c r="D384" s="1">
        <v>18285.400000000001</v>
      </c>
      <c r="E384" s="17">
        <v>-3.4099999999999998E-3</v>
      </c>
      <c r="F384" s="3">
        <v>12440.45</v>
      </c>
      <c r="G384" s="16">
        <f t="shared" si="24"/>
        <v>-1.0148346723792168E-2</v>
      </c>
      <c r="H384" s="1"/>
      <c r="I384" s="1"/>
      <c r="L384" s="120"/>
    </row>
    <row r="385" spans="1:12">
      <c r="A385" s="8">
        <v>45070</v>
      </c>
      <c r="B385" s="1">
        <v>952.15</v>
      </c>
      <c r="C385" s="16">
        <f t="shared" si="23"/>
        <v>2.2058823529411686E-2</v>
      </c>
      <c r="D385" s="1">
        <v>18348</v>
      </c>
      <c r="E385" s="17">
        <v>1.835E-3</v>
      </c>
      <c r="F385" s="3">
        <v>12314.2</v>
      </c>
      <c r="G385" s="16">
        <f t="shared" si="24"/>
        <v>-5.6844943236263878E-3</v>
      </c>
      <c r="H385" s="1"/>
      <c r="I385" s="1"/>
      <c r="L385" s="120"/>
    </row>
    <row r="386" spans="1:12">
      <c r="A386" s="8">
        <v>45069</v>
      </c>
      <c r="B386" s="1">
        <v>931.6</v>
      </c>
      <c r="C386" s="16">
        <f t="shared" si="23"/>
        <v>-6.2403328177502715E-3</v>
      </c>
      <c r="D386" s="1">
        <v>18314.400000000001</v>
      </c>
      <c r="E386" s="17">
        <v>6.0980000000000001E-3</v>
      </c>
      <c r="F386" s="3">
        <v>12244.2</v>
      </c>
      <c r="G386" s="16">
        <f t="shared" si="24"/>
        <v>-9.7964750657454358E-3</v>
      </c>
      <c r="H386" s="1"/>
      <c r="I386" s="1"/>
      <c r="L386" s="120"/>
    </row>
    <row r="387" spans="1:12">
      <c r="A387" s="8">
        <v>45068</v>
      </c>
      <c r="B387" s="1">
        <v>937.45</v>
      </c>
      <c r="C387" s="16">
        <f t="shared" si="23"/>
        <v>1.2529027380245195E-2</v>
      </c>
      <c r="D387" s="1">
        <v>18203.400000000001</v>
      </c>
      <c r="E387" s="17">
        <v>4.0509999999999999E-3</v>
      </c>
      <c r="F387" s="3">
        <v>12124.25</v>
      </c>
      <c r="G387" s="16">
        <f t="shared" si="24"/>
        <v>9.6583293811989268E-3</v>
      </c>
      <c r="H387" s="1"/>
      <c r="I387" s="1"/>
      <c r="L387" s="120"/>
    </row>
    <row r="388" spans="1:12">
      <c r="A388" s="8">
        <v>45065</v>
      </c>
      <c r="B388" s="1">
        <v>925.85</v>
      </c>
      <c r="C388" s="16">
        <f t="shared" si="23"/>
        <v>-4.0875598343461661E-3</v>
      </c>
      <c r="D388" s="1">
        <v>18129.95</v>
      </c>
      <c r="E388" s="17">
        <v>-2.8500000000000001E-3</v>
      </c>
      <c r="F388" s="3">
        <v>12241.35</v>
      </c>
      <c r="G388" s="16">
        <f t="shared" si="24"/>
        <v>1.2841720888627339E-2</v>
      </c>
      <c r="H388" s="1"/>
      <c r="I388" s="1"/>
      <c r="L388" s="120"/>
    </row>
    <row r="389" spans="1:12">
      <c r="A389" s="8">
        <v>45064</v>
      </c>
      <c r="B389" s="1">
        <v>929.65</v>
      </c>
      <c r="C389" s="16">
        <f t="shared" si="23"/>
        <v>-6.7311287996154601E-3</v>
      </c>
      <c r="D389" s="1">
        <v>18181.75</v>
      </c>
      <c r="E389" s="17">
        <v>-5.7299999999999999E-3</v>
      </c>
      <c r="F389" s="3">
        <v>12398.55</v>
      </c>
      <c r="G389" s="16">
        <f t="shared" si="24"/>
        <v>4.5126244601183529E-3</v>
      </c>
      <c r="H389" s="1"/>
      <c r="I389" s="1"/>
      <c r="L389" s="120"/>
    </row>
    <row r="390" spans="1:12">
      <c r="A390" s="8">
        <v>45063</v>
      </c>
      <c r="B390" s="1">
        <v>935.95</v>
      </c>
      <c r="C390" s="16">
        <f t="shared" si="23"/>
        <v>-5.313778627982324E-3</v>
      </c>
      <c r="D390" s="1">
        <v>18286.5</v>
      </c>
      <c r="E390" s="17">
        <v>-6.11E-3</v>
      </c>
      <c r="F390" s="3">
        <v>12454.5</v>
      </c>
      <c r="G390" s="16">
        <f t="shared" si="24"/>
        <v>2.6416154803483582E-3</v>
      </c>
      <c r="H390" s="1"/>
      <c r="I390" s="1"/>
      <c r="L390" s="120"/>
    </row>
    <row r="391" spans="1:12">
      <c r="A391" s="8">
        <v>45062</v>
      </c>
      <c r="B391" s="1">
        <v>940.95</v>
      </c>
      <c r="C391" s="16">
        <f t="shared" si="23"/>
        <v>-1.264428121720873E-2</v>
      </c>
      <c r="D391" s="1">
        <v>18398.849999999999</v>
      </c>
      <c r="E391" s="17">
        <v>4.5890000000000002E-3</v>
      </c>
      <c r="F391" s="3">
        <v>12487.4</v>
      </c>
      <c r="G391" s="16">
        <f t="shared" si="24"/>
        <v>-5.6056504956880637E-5</v>
      </c>
      <c r="H391" s="1"/>
      <c r="I391" s="1"/>
      <c r="L391" s="120"/>
    </row>
    <row r="392" spans="1:12">
      <c r="A392" s="8">
        <v>45061</v>
      </c>
      <c r="B392" s="1">
        <v>953</v>
      </c>
      <c r="C392" s="16">
        <f t="shared" si="23"/>
        <v>-3.1380753138074979E-3</v>
      </c>
      <c r="D392" s="1">
        <v>18314.8</v>
      </c>
      <c r="E392" s="17">
        <v>9.7300000000000002E-4</v>
      </c>
      <c r="F392" s="3">
        <v>12486.7</v>
      </c>
      <c r="G392" s="16">
        <f t="shared" si="24"/>
        <v>5.6339945702226224E-3</v>
      </c>
      <c r="H392" s="1"/>
      <c r="I392" s="1"/>
      <c r="L392" s="120"/>
    </row>
    <row r="393" spans="1:12">
      <c r="A393" s="8">
        <v>45058</v>
      </c>
      <c r="B393" s="1">
        <v>956</v>
      </c>
      <c r="C393" s="16">
        <f t="shared" ref="C393:C456" si="25">B393/B394-1</f>
        <v>-5.2546693720409987E-3</v>
      </c>
      <c r="D393" s="1">
        <v>18297</v>
      </c>
      <c r="E393" s="17">
        <v>-9.8999999999999999E-4</v>
      </c>
      <c r="F393" s="3">
        <v>12557.05</v>
      </c>
      <c r="G393" s="16">
        <f t="shared" ref="G393:G456" si="26">F394/F393-1</f>
        <v>1.2729900733054356E-2</v>
      </c>
      <c r="H393" s="1"/>
      <c r="I393" s="1"/>
      <c r="L393" s="120"/>
    </row>
    <row r="394" spans="1:12">
      <c r="A394" s="8">
        <v>45057</v>
      </c>
      <c r="B394" s="1">
        <v>961.05</v>
      </c>
      <c r="C394" s="16">
        <f t="shared" si="25"/>
        <v>7.6011742503669932E-3</v>
      </c>
      <c r="D394" s="1">
        <v>18315.099999999999</v>
      </c>
      <c r="E394" s="17">
        <v>2.6909999999999998E-3</v>
      </c>
      <c r="F394" s="3">
        <v>12716.9</v>
      </c>
      <c r="G394" s="16">
        <f t="shared" si="26"/>
        <v>-1.5727103303442291E-5</v>
      </c>
      <c r="H394" s="1"/>
      <c r="I394" s="1"/>
      <c r="L394" s="120"/>
    </row>
    <row r="395" spans="1:12">
      <c r="A395" s="8">
        <v>45056</v>
      </c>
      <c r="B395" s="1">
        <v>953.8</v>
      </c>
      <c r="C395" s="16">
        <f t="shared" si="25"/>
        <v>-3.8122095148572788E-3</v>
      </c>
      <c r="D395" s="1">
        <v>18265.95</v>
      </c>
      <c r="E395" s="17">
        <v>8.4900000000000004E-5</v>
      </c>
      <c r="F395" s="3">
        <v>12716.7</v>
      </c>
      <c r="G395" s="16">
        <f t="shared" si="26"/>
        <v>-4.2149299739712154E-3</v>
      </c>
      <c r="H395" s="1"/>
      <c r="I395" s="1"/>
      <c r="L395" s="120"/>
    </row>
    <row r="396" spans="1:12">
      <c r="A396" s="8">
        <v>45055</v>
      </c>
      <c r="B396" s="1">
        <v>957.45</v>
      </c>
      <c r="C396" s="16">
        <f t="shared" si="25"/>
        <v>-4.5745178562145439E-3</v>
      </c>
      <c r="D396" s="1">
        <v>18264.400000000001</v>
      </c>
      <c r="E396" s="17">
        <v>1.0814000000000001E-2</v>
      </c>
      <c r="F396" s="3">
        <v>12663.1</v>
      </c>
      <c r="G396" s="16">
        <f t="shared" si="26"/>
        <v>-4.3235858518055892E-3</v>
      </c>
      <c r="H396" s="1"/>
      <c r="I396" s="1"/>
      <c r="L396" s="120"/>
    </row>
    <row r="397" spans="1:12">
      <c r="A397" s="8">
        <v>45054</v>
      </c>
      <c r="B397" s="1">
        <v>961.85</v>
      </c>
      <c r="C397" s="16">
        <f t="shared" si="25"/>
        <v>-8.8618682054717457E-3</v>
      </c>
      <c r="D397" s="1">
        <v>18069</v>
      </c>
      <c r="E397" s="17">
        <v>-1.023E-2</v>
      </c>
      <c r="F397" s="3">
        <v>12608.35</v>
      </c>
      <c r="G397" s="16">
        <f t="shared" si="26"/>
        <v>3.6721696336157184E-3</v>
      </c>
      <c r="H397" s="1"/>
      <c r="I397" s="1"/>
      <c r="L397" s="120"/>
    </row>
    <row r="398" spans="1:12">
      <c r="A398" s="8">
        <v>45051</v>
      </c>
      <c r="B398" s="1">
        <v>970.45</v>
      </c>
      <c r="C398" s="16">
        <f t="shared" si="25"/>
        <v>-3.6447638603696042E-3</v>
      </c>
      <c r="D398" s="1">
        <v>18255.8</v>
      </c>
      <c r="E398" s="17">
        <v>9.1739999999999999E-3</v>
      </c>
      <c r="F398" s="3">
        <v>12654.65</v>
      </c>
      <c r="G398" s="16">
        <f t="shared" si="26"/>
        <v>-5.3616654747464798E-3</v>
      </c>
      <c r="H398" s="1"/>
      <c r="I398" s="1"/>
      <c r="L398" s="120"/>
    </row>
    <row r="399" spans="1:12">
      <c r="A399" s="8">
        <v>45050</v>
      </c>
      <c r="B399" s="1">
        <v>974</v>
      </c>
      <c r="C399" s="16">
        <f t="shared" si="25"/>
        <v>1.079286010792857E-2</v>
      </c>
      <c r="D399" s="1">
        <v>18089.849999999999</v>
      </c>
      <c r="E399" s="17">
        <v>-3.1800000000000001E-3</v>
      </c>
      <c r="F399" s="3">
        <v>12586.8</v>
      </c>
      <c r="G399" s="16">
        <f t="shared" si="26"/>
        <v>2.7806908825112053E-4</v>
      </c>
      <c r="H399" s="1"/>
      <c r="I399" s="1"/>
      <c r="L399" s="120"/>
    </row>
    <row r="400" spans="1:12">
      <c r="A400" s="8">
        <v>45049</v>
      </c>
      <c r="B400" s="1">
        <v>963.6</v>
      </c>
      <c r="C400" s="16">
        <f t="shared" si="25"/>
        <v>-9.7117311546168761E-3</v>
      </c>
      <c r="D400" s="1">
        <v>18147.650000000001</v>
      </c>
      <c r="E400" s="17">
        <v>4.5750000000000001E-3</v>
      </c>
      <c r="F400" s="3">
        <v>12590.3</v>
      </c>
      <c r="G400" s="16">
        <f t="shared" si="26"/>
        <v>1.8784302200902658E-3</v>
      </c>
      <c r="H400" s="1"/>
      <c r="I400" s="1"/>
      <c r="L400" s="120"/>
    </row>
    <row r="401" spans="1:12">
      <c r="A401" s="8">
        <v>45048</v>
      </c>
      <c r="B401" s="1">
        <v>973.05</v>
      </c>
      <c r="C401" s="16">
        <f t="shared" si="25"/>
        <v>-1.4782564673720522E-2</v>
      </c>
      <c r="D401" s="1">
        <v>18065</v>
      </c>
      <c r="E401" s="17">
        <v>8.3700000000000007E-3</v>
      </c>
      <c r="F401" s="3">
        <v>12613.95</v>
      </c>
      <c r="G401" s="16">
        <f t="shared" si="26"/>
        <v>-7.4996333424502959E-3</v>
      </c>
      <c r="H401" s="1"/>
      <c r="I401" s="1"/>
      <c r="L401" s="120"/>
    </row>
    <row r="402" spans="1:12">
      <c r="A402" s="8">
        <v>45044</v>
      </c>
      <c r="B402" s="1">
        <v>987.65</v>
      </c>
      <c r="C402" s="16">
        <f t="shared" si="25"/>
        <v>9.1447838970062367E-3</v>
      </c>
      <c r="D402" s="1">
        <v>17915.05</v>
      </c>
      <c r="E402" s="17">
        <v>5.6950000000000004E-3</v>
      </c>
      <c r="F402" s="3">
        <v>12519.35</v>
      </c>
      <c r="G402" s="16">
        <f t="shared" si="26"/>
        <v>-4.9123956115932899E-3</v>
      </c>
      <c r="H402" s="1"/>
      <c r="I402" s="1"/>
      <c r="L402" s="120"/>
    </row>
    <row r="403" spans="1:12">
      <c r="A403" s="8">
        <v>45043</v>
      </c>
      <c r="B403" s="1">
        <v>978.7</v>
      </c>
      <c r="C403" s="16">
        <f t="shared" si="25"/>
        <v>7.6705276705277825E-3</v>
      </c>
      <c r="D403" s="1">
        <v>17813.599999999999</v>
      </c>
      <c r="E403" s="17">
        <v>2.496E-3</v>
      </c>
      <c r="F403" s="3">
        <v>12457.85</v>
      </c>
      <c r="G403" s="16">
        <f t="shared" si="26"/>
        <v>-1.0033834088551963E-4</v>
      </c>
      <c r="H403" s="1"/>
      <c r="I403" s="1"/>
      <c r="L403" s="120"/>
    </row>
    <row r="404" spans="1:12">
      <c r="A404" s="8">
        <v>45042</v>
      </c>
      <c r="B404" s="1">
        <v>971.25</v>
      </c>
      <c r="C404" s="16">
        <f t="shared" si="25"/>
        <v>-1.2853470437017567E-3</v>
      </c>
      <c r="D404" s="1">
        <v>17769.25</v>
      </c>
      <c r="E404" s="17">
        <v>1.457E-3</v>
      </c>
      <c r="F404" s="3">
        <v>12456.6</v>
      </c>
      <c r="G404" s="16">
        <f t="shared" si="26"/>
        <v>-1.8062713742117431E-4</v>
      </c>
      <c r="H404" s="1"/>
      <c r="I404" s="1"/>
      <c r="L404" s="120"/>
    </row>
    <row r="405" spans="1:12">
      <c r="A405" s="8">
        <v>45041</v>
      </c>
      <c r="B405" s="1">
        <v>972.5</v>
      </c>
      <c r="C405" s="16">
        <f t="shared" si="25"/>
        <v>-6.7916049634887399E-3</v>
      </c>
      <c r="D405" s="1">
        <v>17743.400000000001</v>
      </c>
      <c r="E405" s="17">
        <v>6.7720000000000002E-3</v>
      </c>
      <c r="F405" s="3">
        <v>12454.35</v>
      </c>
      <c r="G405" s="16">
        <f t="shared" si="26"/>
        <v>7.3388013023560905E-3</v>
      </c>
      <c r="H405" s="1"/>
      <c r="I405" s="1"/>
      <c r="L405" s="120"/>
    </row>
    <row r="406" spans="1:12">
      <c r="A406" s="8">
        <v>45040</v>
      </c>
      <c r="B406" s="1">
        <v>979.15</v>
      </c>
      <c r="C406" s="16">
        <f t="shared" si="25"/>
        <v>-1.0409823639395688E-2</v>
      </c>
      <c r="D406" s="1">
        <v>17624.05</v>
      </c>
      <c r="E406" s="17">
        <v>-2.3E-5</v>
      </c>
      <c r="F406" s="3">
        <v>12545.75</v>
      </c>
      <c r="G406" s="16">
        <f t="shared" si="26"/>
        <v>-4.8223501982742611E-3</v>
      </c>
      <c r="H406" s="1"/>
      <c r="I406" s="1"/>
      <c r="L406" s="120"/>
    </row>
    <row r="407" spans="1:12">
      <c r="A407" s="8">
        <v>45037</v>
      </c>
      <c r="B407" s="1">
        <v>989.45</v>
      </c>
      <c r="C407" s="16">
        <f t="shared" si="25"/>
        <v>1.7210832700582657E-3</v>
      </c>
      <c r="D407" s="1">
        <v>17624.45</v>
      </c>
      <c r="E407" s="17">
        <v>3.2400000000000001E-4</v>
      </c>
      <c r="F407" s="3">
        <v>12485.25</v>
      </c>
      <c r="G407" s="16">
        <f t="shared" si="26"/>
        <v>1.1217236338879832E-2</v>
      </c>
      <c r="H407" s="1"/>
      <c r="I407" s="1"/>
      <c r="L407" s="120"/>
    </row>
    <row r="408" spans="1:12">
      <c r="A408" s="8">
        <v>45036</v>
      </c>
      <c r="B408" s="1">
        <v>987.75</v>
      </c>
      <c r="C408" s="16">
        <f t="shared" si="25"/>
        <v>-7.7850326469111053E-3</v>
      </c>
      <c r="D408" s="1">
        <v>17618.75</v>
      </c>
      <c r="E408" s="17">
        <v>-2.3400000000000001E-3</v>
      </c>
      <c r="F408" s="3">
        <v>12625.3</v>
      </c>
      <c r="G408" s="16">
        <f t="shared" si="26"/>
        <v>-1.4217483940974773E-3</v>
      </c>
      <c r="H408" s="1"/>
      <c r="I408" s="1"/>
      <c r="L408" s="120"/>
    </row>
    <row r="409" spans="1:12">
      <c r="A409" s="8">
        <v>45035</v>
      </c>
      <c r="B409" s="1">
        <v>995.5</v>
      </c>
      <c r="C409" s="16">
        <f t="shared" si="25"/>
        <v>-9.2555732484076447E-3</v>
      </c>
      <c r="D409" s="1">
        <v>17660.150000000001</v>
      </c>
      <c r="E409" s="17">
        <v>-2.64E-3</v>
      </c>
      <c r="F409" s="3">
        <v>12607.35</v>
      </c>
      <c r="G409" s="16">
        <f t="shared" si="26"/>
        <v>-1.6161207549564294E-2</v>
      </c>
      <c r="H409" s="1"/>
      <c r="I409" s="1"/>
      <c r="L409" s="120"/>
    </row>
    <row r="410" spans="1:12">
      <c r="A410" s="8">
        <v>45034</v>
      </c>
      <c r="B410" s="3">
        <v>1004.8</v>
      </c>
      <c r="C410" s="16">
        <f t="shared" si="25"/>
        <v>6.1079403224191253E-3</v>
      </c>
      <c r="D410" s="1">
        <v>17706.849999999999</v>
      </c>
      <c r="E410" s="17">
        <v>-6.7999999999999996E-3</v>
      </c>
      <c r="F410" s="3">
        <v>12403.6</v>
      </c>
      <c r="G410" s="16">
        <f t="shared" si="26"/>
        <v>6.0708181495694458E-3</v>
      </c>
      <c r="H410" s="1"/>
      <c r="I410" s="1"/>
      <c r="L410" s="120"/>
    </row>
    <row r="411" spans="1:12">
      <c r="A411" s="8">
        <v>45033</v>
      </c>
      <c r="B411" s="1">
        <v>998.7</v>
      </c>
      <c r="C411" s="16">
        <f t="shared" si="25"/>
        <v>-4.7832585949177941E-3</v>
      </c>
      <c r="D411" s="1">
        <v>17828</v>
      </c>
      <c r="E411" s="17">
        <v>8.7600000000000004E-4</v>
      </c>
      <c r="F411" s="3">
        <v>12478.9</v>
      </c>
      <c r="G411" s="16">
        <f t="shared" si="26"/>
        <v>7.6368910721298366E-3</v>
      </c>
      <c r="H411" s="1"/>
      <c r="I411" s="1"/>
      <c r="L411" s="120"/>
    </row>
    <row r="412" spans="1:12">
      <c r="A412" s="8">
        <v>45029</v>
      </c>
      <c r="B412" s="3">
        <v>1003.5</v>
      </c>
      <c r="C412" s="16">
        <f t="shared" si="25"/>
        <v>-1.2983180879315492E-2</v>
      </c>
      <c r="D412" s="1">
        <v>17812.400000000001</v>
      </c>
      <c r="E412" s="17">
        <v>5.084E-3</v>
      </c>
      <c r="F412" s="3">
        <v>12574.2</v>
      </c>
      <c r="G412" s="16">
        <f t="shared" si="26"/>
        <v>-2.1806556281910638E-2</v>
      </c>
      <c r="H412" s="1"/>
      <c r="I412" s="1"/>
      <c r="L412" s="120"/>
    </row>
    <row r="413" spans="1:12">
      <c r="A413" s="8">
        <v>45028</v>
      </c>
      <c r="B413" s="3">
        <v>1016.7</v>
      </c>
      <c r="C413" s="16">
        <f t="shared" si="25"/>
        <v>7.3817190983402892E-3</v>
      </c>
      <c r="D413" s="1">
        <v>17722.3</v>
      </c>
      <c r="E413" s="17">
        <v>5.5750000000000001E-3</v>
      </c>
      <c r="F413" s="3">
        <v>12300</v>
      </c>
      <c r="G413" s="16">
        <f t="shared" si="26"/>
        <v>-1.016260162601812E-4</v>
      </c>
      <c r="H413" s="1"/>
      <c r="I413" s="1"/>
      <c r="L413" s="120"/>
    </row>
    <row r="414" spans="1:12">
      <c r="A414" s="8">
        <v>45027</v>
      </c>
      <c r="B414" s="3">
        <v>1009.25</v>
      </c>
      <c r="C414" s="16">
        <f t="shared" si="25"/>
        <v>6.4445766408871563E-4</v>
      </c>
      <c r="D414" s="1">
        <v>17624.05</v>
      </c>
      <c r="E414" s="17">
        <v>1.415E-3</v>
      </c>
      <c r="F414" s="3">
        <v>12298.75</v>
      </c>
      <c r="G414" s="16">
        <f t="shared" si="26"/>
        <v>-1.9839414574651659E-3</v>
      </c>
      <c r="H414" s="1"/>
      <c r="I414" s="1"/>
      <c r="L414" s="120"/>
    </row>
    <row r="415" spans="1:12">
      <c r="A415" s="8">
        <v>45026</v>
      </c>
      <c r="B415" s="3">
        <v>1008.6</v>
      </c>
      <c r="C415" s="16">
        <f t="shared" si="25"/>
        <v>-3.4581563086651945E-3</v>
      </c>
      <c r="D415" s="1">
        <v>17599.150000000001</v>
      </c>
      <c r="E415" s="17">
        <v>2.398E-3</v>
      </c>
      <c r="F415" s="3">
        <v>12274.35</v>
      </c>
      <c r="G415" s="16">
        <f t="shared" si="26"/>
        <v>-7.5360406050014594E-3</v>
      </c>
      <c r="H415" s="1"/>
      <c r="I415" s="1"/>
      <c r="L415" s="120"/>
    </row>
    <row r="416" spans="1:12">
      <c r="A416" s="8">
        <v>45022</v>
      </c>
      <c r="B416" s="3">
        <v>1012.1</v>
      </c>
      <c r="C416" s="16">
        <f t="shared" si="25"/>
        <v>1.4992729278443528E-2</v>
      </c>
      <c r="D416" s="1">
        <v>17557.05</v>
      </c>
      <c r="E416" s="17">
        <v>9.1389999999999996E-3</v>
      </c>
      <c r="F416" s="3">
        <v>12181.85</v>
      </c>
      <c r="G416" s="16">
        <f t="shared" si="26"/>
        <v>-9.3499755784219873E-3</v>
      </c>
      <c r="H416" s="1"/>
      <c r="I416" s="1"/>
      <c r="L416" s="120"/>
    </row>
    <row r="417" spans="1:12">
      <c r="A417" s="8">
        <v>45021</v>
      </c>
      <c r="B417" s="1">
        <v>997.15</v>
      </c>
      <c r="C417" s="16">
        <f t="shared" si="25"/>
        <v>1.8487309126193674E-2</v>
      </c>
      <c r="D417" s="1">
        <v>17398.05</v>
      </c>
      <c r="E417" s="17">
        <v>2.2060000000000001E-3</v>
      </c>
      <c r="F417" s="3">
        <v>12067.95</v>
      </c>
      <c r="G417" s="16">
        <f t="shared" si="26"/>
        <v>-4.217783467780456E-3</v>
      </c>
      <c r="H417" s="1"/>
      <c r="I417" s="1"/>
      <c r="L417" s="120"/>
    </row>
    <row r="418" spans="1:12">
      <c r="A418" s="8">
        <v>45019</v>
      </c>
      <c r="B418" s="1">
        <v>979.05</v>
      </c>
      <c r="C418" s="16">
        <f t="shared" si="25"/>
        <v>-4.1196216051266887E-3</v>
      </c>
      <c r="D418" s="1">
        <v>17359.75</v>
      </c>
      <c r="E418" s="17">
        <v>1.6337000000000001E-2</v>
      </c>
      <c r="F418" s="3">
        <v>12017.05</v>
      </c>
      <c r="G418" s="16">
        <f t="shared" si="26"/>
        <v>-6.203685596714581E-3</v>
      </c>
      <c r="H418" s="1"/>
      <c r="I418" s="1"/>
      <c r="L418" s="120"/>
    </row>
    <row r="419" spans="1:12">
      <c r="A419" s="8">
        <v>45016</v>
      </c>
      <c r="B419" s="1">
        <v>983.1</v>
      </c>
      <c r="C419" s="16">
        <f t="shared" si="25"/>
        <v>-8.8718620828711625E-3</v>
      </c>
      <c r="D419" s="1">
        <v>17080.7</v>
      </c>
      <c r="E419" s="17">
        <v>7.6099999999999996E-3</v>
      </c>
      <c r="F419" s="3">
        <v>11942.5</v>
      </c>
      <c r="G419" s="16">
        <f t="shared" si="26"/>
        <v>-5.8028051078081733E-3</v>
      </c>
      <c r="H419" s="1"/>
      <c r="I419" s="1"/>
      <c r="L419" s="120"/>
    </row>
    <row r="420" spans="1:12">
      <c r="A420" s="8">
        <v>45014</v>
      </c>
      <c r="B420" s="1">
        <v>991.9</v>
      </c>
      <c r="C420" s="16">
        <f t="shared" si="25"/>
        <v>7.8236130867708198E-3</v>
      </c>
      <c r="D420" s="1">
        <v>16951.7</v>
      </c>
      <c r="E420" s="17">
        <v>-2E-3</v>
      </c>
      <c r="F420" s="3">
        <v>11873.2</v>
      </c>
      <c r="G420" s="16">
        <f t="shared" si="26"/>
        <v>8.0433244618127731E-4</v>
      </c>
      <c r="H420" s="1"/>
      <c r="I420" s="1"/>
      <c r="L420" s="120"/>
    </row>
    <row r="421" spans="1:12">
      <c r="A421" s="8">
        <v>45013</v>
      </c>
      <c r="B421" s="1">
        <v>984.2</v>
      </c>
      <c r="C421" s="16">
        <f t="shared" si="25"/>
        <v>7.6262138390359446E-4</v>
      </c>
      <c r="D421" s="1">
        <v>16985.7</v>
      </c>
      <c r="E421" s="17">
        <v>2.3990000000000001E-3</v>
      </c>
      <c r="F421" s="3">
        <v>11882.75</v>
      </c>
      <c r="G421" s="16">
        <f t="shared" si="26"/>
        <v>-1.072142391281472E-2</v>
      </c>
      <c r="H421" s="1"/>
      <c r="I421" s="1"/>
      <c r="L421" s="120"/>
    </row>
    <row r="422" spans="1:12">
      <c r="A422" s="8">
        <v>45012</v>
      </c>
      <c r="B422" s="1">
        <v>983.45</v>
      </c>
      <c r="C422" s="16">
        <f t="shared" si="25"/>
        <v>1.0895821555224394E-2</v>
      </c>
      <c r="D422" s="1">
        <v>16945.05</v>
      </c>
      <c r="E422" s="17">
        <v>-7.7200000000000003E-3</v>
      </c>
      <c r="F422" s="3">
        <v>11755.35</v>
      </c>
      <c r="G422" s="16">
        <f t="shared" si="26"/>
        <v>2.169225076241954E-3</v>
      </c>
      <c r="H422" s="1"/>
      <c r="I422" s="1"/>
      <c r="L422" s="120"/>
    </row>
    <row r="423" spans="1:12">
      <c r="A423" s="8">
        <v>45009</v>
      </c>
      <c r="B423" s="1">
        <v>972.85</v>
      </c>
      <c r="C423" s="16">
        <f t="shared" si="25"/>
        <v>-4.9097325218635524E-3</v>
      </c>
      <c r="D423" s="1">
        <v>17076.900000000001</v>
      </c>
      <c r="E423" s="17">
        <v>-4.3699999999999998E-3</v>
      </c>
      <c r="F423" s="3">
        <v>11780.85</v>
      </c>
      <c r="G423" s="16">
        <f t="shared" si="26"/>
        <v>-2.2197040111706645E-3</v>
      </c>
      <c r="H423" s="1"/>
      <c r="I423" s="1"/>
      <c r="L423" s="120"/>
    </row>
    <row r="424" spans="1:12">
      <c r="A424" s="8">
        <v>45008</v>
      </c>
      <c r="B424" s="1">
        <v>977.65</v>
      </c>
      <c r="C424" s="16">
        <f t="shared" si="25"/>
        <v>5.7610205236355849E-3</v>
      </c>
      <c r="D424" s="1">
        <v>17151.900000000001</v>
      </c>
      <c r="E424" s="17">
        <v>2.5950000000000001E-3</v>
      </c>
      <c r="F424" s="3">
        <v>11754.7</v>
      </c>
      <c r="G424" s="16">
        <f t="shared" si="26"/>
        <v>-1.0289501220788311E-2</v>
      </c>
      <c r="H424" s="1"/>
      <c r="I424" s="1"/>
      <c r="L424" s="120"/>
    </row>
    <row r="425" spans="1:12">
      <c r="A425" s="8">
        <v>45007</v>
      </c>
      <c r="B425" s="1">
        <v>972.05</v>
      </c>
      <c r="C425" s="16">
        <f t="shared" si="25"/>
        <v>1.6576030119221929E-2</v>
      </c>
      <c r="D425" s="1">
        <v>17107.5</v>
      </c>
      <c r="E425" s="17">
        <v>7.0109999999999999E-3</v>
      </c>
      <c r="F425" s="3">
        <v>11633.75</v>
      </c>
      <c r="G425" s="16">
        <f t="shared" si="26"/>
        <v>2.540023638121891E-3</v>
      </c>
      <c r="H425" s="1"/>
      <c r="I425" s="1"/>
      <c r="L425" s="120"/>
    </row>
    <row r="426" spans="1:12">
      <c r="A426" s="8">
        <v>45006</v>
      </c>
      <c r="B426" s="1">
        <v>956.2</v>
      </c>
      <c r="C426" s="16">
        <f t="shared" si="25"/>
        <v>-5.2018310445276494E-3</v>
      </c>
      <c r="D426" s="1">
        <v>16988.400000000001</v>
      </c>
      <c r="E426" s="17">
        <v>-6.5300000000000002E-3</v>
      </c>
      <c r="F426" s="3">
        <v>11663.3</v>
      </c>
      <c r="G426" s="16">
        <f t="shared" si="26"/>
        <v>1.1017465039910856E-3</v>
      </c>
      <c r="H426" s="1"/>
      <c r="I426" s="1"/>
      <c r="L426" s="120"/>
    </row>
    <row r="427" spans="1:12">
      <c r="A427" s="8">
        <v>45005</v>
      </c>
      <c r="B427" s="1">
        <v>961.2</v>
      </c>
      <c r="C427" s="16">
        <f t="shared" si="25"/>
        <v>3.6545891197661273E-3</v>
      </c>
      <c r="D427" s="1">
        <v>17100.05</v>
      </c>
      <c r="E427" s="17">
        <v>6.7380000000000001E-3</v>
      </c>
      <c r="F427" s="3">
        <v>11676.15</v>
      </c>
      <c r="G427" s="16">
        <f t="shared" si="26"/>
        <v>5.7424750452848006E-3</v>
      </c>
      <c r="H427" s="1"/>
      <c r="I427" s="1"/>
      <c r="L427" s="120"/>
    </row>
    <row r="428" spans="1:12">
      <c r="A428" s="8">
        <v>45002</v>
      </c>
      <c r="B428" s="1">
        <v>957.7</v>
      </c>
      <c r="C428" s="16">
        <f t="shared" si="25"/>
        <v>-1.0026876162910869E-2</v>
      </c>
      <c r="D428" s="1">
        <v>16985.599999999999</v>
      </c>
      <c r="E428" s="17">
        <v>7.9199999999999995E-4</v>
      </c>
      <c r="F428" s="3">
        <v>11743.2</v>
      </c>
      <c r="G428" s="16">
        <f t="shared" si="26"/>
        <v>-9.3032563526125323E-3</v>
      </c>
      <c r="H428" s="1"/>
      <c r="I428" s="1"/>
      <c r="L428" s="120"/>
    </row>
    <row r="429" spans="1:12">
      <c r="A429" s="8">
        <v>45001</v>
      </c>
      <c r="B429" s="1">
        <v>967.4</v>
      </c>
      <c r="C429" s="16">
        <f t="shared" si="25"/>
        <v>1.6817321841496646E-2</v>
      </c>
      <c r="D429" s="1">
        <v>16972.150000000001</v>
      </c>
      <c r="E429" s="17">
        <v>-4.1700000000000001E-3</v>
      </c>
      <c r="F429" s="3">
        <v>11633.95</v>
      </c>
      <c r="G429" s="16">
        <f t="shared" si="26"/>
        <v>-3.0943918445583973E-3</v>
      </c>
      <c r="H429" s="1"/>
      <c r="I429" s="1"/>
      <c r="L429" s="120"/>
    </row>
    <row r="430" spans="1:12">
      <c r="A430" s="8">
        <v>45000</v>
      </c>
      <c r="B430" s="1">
        <v>951.4</v>
      </c>
      <c r="C430" s="16">
        <f t="shared" si="25"/>
        <v>-6.0593397409111072E-3</v>
      </c>
      <c r="D430" s="1">
        <v>17043.3</v>
      </c>
      <c r="E430" s="17">
        <v>-6.4700000000000001E-3</v>
      </c>
      <c r="F430" s="3">
        <v>11597.95</v>
      </c>
      <c r="G430" s="16">
        <f t="shared" si="26"/>
        <v>-5.1733280450494412E-5</v>
      </c>
      <c r="H430" s="1"/>
      <c r="I430" s="1"/>
      <c r="L430" s="120"/>
    </row>
    <row r="431" spans="1:12">
      <c r="A431" s="8">
        <v>44999</v>
      </c>
      <c r="B431" s="1">
        <v>957.2</v>
      </c>
      <c r="C431" s="16">
        <f t="shared" si="25"/>
        <v>3.2491353107639842E-3</v>
      </c>
      <c r="D431" s="1">
        <v>17154.3</v>
      </c>
      <c r="E431" s="17">
        <v>-1.485E-2</v>
      </c>
      <c r="F431" s="3">
        <v>11597.35</v>
      </c>
      <c r="G431" s="16">
        <f t="shared" si="26"/>
        <v>7.467223115625643E-3</v>
      </c>
      <c r="H431" s="1"/>
      <c r="I431" s="1"/>
      <c r="L431" s="120"/>
    </row>
    <row r="432" spans="1:12">
      <c r="A432" s="8">
        <v>44998</v>
      </c>
      <c r="B432" s="1">
        <v>954.1</v>
      </c>
      <c r="C432" s="16">
        <f t="shared" si="25"/>
        <v>-1.5174506828526946E-3</v>
      </c>
      <c r="D432" s="1">
        <v>17412.900000000001</v>
      </c>
      <c r="E432" s="17">
        <v>-1.005E-2</v>
      </c>
      <c r="F432" s="3">
        <v>11683.95</v>
      </c>
      <c r="G432" s="16">
        <f t="shared" si="26"/>
        <v>1.407914275565858E-3</v>
      </c>
      <c r="H432" s="1"/>
      <c r="I432" s="1"/>
      <c r="L432" s="120"/>
    </row>
    <row r="433" spans="1:12">
      <c r="A433" s="8">
        <v>44995</v>
      </c>
      <c r="B433" s="1">
        <v>955.55</v>
      </c>
      <c r="C433" s="16">
        <f t="shared" si="25"/>
        <v>2.9914978482208365E-3</v>
      </c>
      <c r="D433" s="1">
        <v>17589.599999999999</v>
      </c>
      <c r="E433" s="17">
        <v>-9.2800000000000001E-3</v>
      </c>
      <c r="F433" s="3">
        <v>11700.4</v>
      </c>
      <c r="G433" s="16">
        <f t="shared" si="26"/>
        <v>4.2519913849099478E-3</v>
      </c>
      <c r="H433" s="1"/>
      <c r="I433" s="1"/>
      <c r="L433" s="120"/>
    </row>
    <row r="434" spans="1:12">
      <c r="A434" s="8">
        <v>44994</v>
      </c>
      <c r="B434" s="1">
        <v>952.7</v>
      </c>
      <c r="C434" s="16">
        <f t="shared" si="25"/>
        <v>-5.0130548302871336E-3</v>
      </c>
      <c r="D434" s="1">
        <v>17754.400000000001</v>
      </c>
      <c r="E434" s="17">
        <v>2.4250000000000001E-3</v>
      </c>
      <c r="F434" s="3">
        <v>11750.15</v>
      </c>
      <c r="G434" s="16">
        <f t="shared" si="26"/>
        <v>4.9148308744995095E-3</v>
      </c>
      <c r="H434" s="1"/>
      <c r="I434" s="1"/>
      <c r="L434" s="120"/>
    </row>
    <row r="435" spans="1:12">
      <c r="A435" s="8">
        <v>44993</v>
      </c>
      <c r="B435" s="1">
        <v>957.5</v>
      </c>
      <c r="C435" s="16">
        <f t="shared" si="25"/>
        <v>-8.0290080290080779E-3</v>
      </c>
      <c r="D435" s="1">
        <v>17711.45</v>
      </c>
      <c r="E435" s="17">
        <v>6.6559999999999996E-3</v>
      </c>
      <c r="F435" s="3">
        <v>11807.9</v>
      </c>
      <c r="G435" s="16">
        <f t="shared" si="26"/>
        <v>-2.210384573040125E-3</v>
      </c>
      <c r="H435" s="1"/>
      <c r="I435" s="1"/>
      <c r="L435" s="120"/>
    </row>
    <row r="436" spans="1:12">
      <c r="A436" s="8">
        <v>44991</v>
      </c>
      <c r="B436" s="1">
        <v>965.25</v>
      </c>
      <c r="C436" s="16">
        <f t="shared" si="25"/>
        <v>-1.7064846416382506E-3</v>
      </c>
      <c r="D436" s="1">
        <v>17594.349999999999</v>
      </c>
      <c r="E436" s="17">
        <v>1.5729E-2</v>
      </c>
      <c r="F436" s="3">
        <v>11781.8</v>
      </c>
      <c r="G436" s="16">
        <f t="shared" si="26"/>
        <v>-1.7569471557825622E-3</v>
      </c>
      <c r="H436" s="1"/>
      <c r="I436" s="1"/>
      <c r="L436" s="120"/>
    </row>
    <row r="437" spans="1:12">
      <c r="A437" s="8">
        <v>44988</v>
      </c>
      <c r="B437" s="1">
        <v>966.9</v>
      </c>
      <c r="C437" s="16">
        <f t="shared" si="25"/>
        <v>1.6575157981975064E-3</v>
      </c>
      <c r="D437" s="1">
        <v>17321.900000000001</v>
      </c>
      <c r="E437" s="17">
        <v>-7.3899999999999999E-3</v>
      </c>
      <c r="F437" s="3">
        <v>11761.1</v>
      </c>
      <c r="G437" s="16">
        <f t="shared" si="26"/>
        <v>2.9759121170647163E-4</v>
      </c>
      <c r="H437" s="1"/>
      <c r="I437" s="1"/>
      <c r="L437" s="120"/>
    </row>
    <row r="438" spans="1:12">
      <c r="A438" s="8">
        <v>44987</v>
      </c>
      <c r="B438" s="1">
        <v>965.3</v>
      </c>
      <c r="C438" s="16">
        <f t="shared" si="25"/>
        <v>6.2545606171167112E-3</v>
      </c>
      <c r="D438" s="1">
        <v>17450.900000000001</v>
      </c>
      <c r="E438" s="17">
        <v>8.4919999999999995E-3</v>
      </c>
      <c r="F438" s="3">
        <v>11764.6</v>
      </c>
      <c r="G438" s="16">
        <f t="shared" si="26"/>
        <v>-1.4875133876205426E-3</v>
      </c>
      <c r="H438" s="1"/>
      <c r="I438" s="1"/>
      <c r="L438" s="120"/>
    </row>
    <row r="439" spans="1:12">
      <c r="A439" s="8">
        <v>44986</v>
      </c>
      <c r="B439" s="1">
        <v>959.3</v>
      </c>
      <c r="C439" s="16">
        <f t="shared" si="25"/>
        <v>2.822496341208458E-3</v>
      </c>
      <c r="D439" s="1">
        <v>17303.95</v>
      </c>
      <c r="E439" s="17">
        <v>-5.1000000000000004E-3</v>
      </c>
      <c r="F439" s="3">
        <v>11747.1</v>
      </c>
      <c r="G439" s="16">
        <f t="shared" si="26"/>
        <v>1.3228796894552586E-2</v>
      </c>
      <c r="H439" s="1"/>
      <c r="I439" s="1"/>
      <c r="L439" s="120"/>
    </row>
    <row r="440" spans="1:12">
      <c r="A440" s="8">
        <v>44985</v>
      </c>
      <c r="B440" s="1">
        <v>956.6</v>
      </c>
      <c r="C440" s="16">
        <f t="shared" si="25"/>
        <v>-8.7560230039893661E-3</v>
      </c>
      <c r="D440" s="1">
        <v>17392.7</v>
      </c>
      <c r="E440" s="17">
        <v>-4.1900000000000001E-3</v>
      </c>
      <c r="F440" s="3">
        <v>11902.5</v>
      </c>
      <c r="G440" s="16">
        <f t="shared" si="26"/>
        <v>7.8722957361898604E-3</v>
      </c>
      <c r="H440" s="1"/>
      <c r="I440" s="1"/>
      <c r="L440" s="120"/>
    </row>
    <row r="441" spans="1:12">
      <c r="A441" s="8">
        <v>44984</v>
      </c>
      <c r="B441" s="1">
        <v>965.05</v>
      </c>
      <c r="C441" s="16">
        <f t="shared" si="25"/>
        <v>-5.6156620298815074E-3</v>
      </c>
      <c r="D441" s="1">
        <v>17465.8</v>
      </c>
      <c r="E441" s="17">
        <v>-2.5999999999999999E-3</v>
      </c>
      <c r="F441" s="3">
        <v>11996.2</v>
      </c>
      <c r="G441" s="16">
        <f t="shared" si="26"/>
        <v>-2.3340724562778137E-3</v>
      </c>
      <c r="H441" s="1"/>
      <c r="I441" s="1"/>
      <c r="L441" s="120"/>
    </row>
    <row r="442" spans="1:12">
      <c r="A442" s="8">
        <v>44981</v>
      </c>
      <c r="B442" s="1">
        <v>970.5</v>
      </c>
      <c r="C442" s="16">
        <f t="shared" si="25"/>
        <v>-2.0565552699228773E-3</v>
      </c>
      <c r="D442" s="1">
        <v>17511.25</v>
      </c>
      <c r="E442" s="17">
        <v>-2.4499999999999999E-3</v>
      </c>
      <c r="F442" s="3">
        <v>11968.2</v>
      </c>
      <c r="G442" s="16">
        <f t="shared" si="26"/>
        <v>1.9760699186175401E-3</v>
      </c>
      <c r="H442" s="1"/>
      <c r="I442" s="1"/>
      <c r="L442" s="120"/>
    </row>
    <row r="443" spans="1:12">
      <c r="A443" s="8">
        <v>44980</v>
      </c>
      <c r="B443" s="1">
        <v>972.5</v>
      </c>
      <c r="C443" s="16">
        <f t="shared" si="25"/>
        <v>4.0782613184657812E-3</v>
      </c>
      <c r="D443" s="1">
        <v>17554.3</v>
      </c>
      <c r="E443" s="17">
        <v>-1.528E-2</v>
      </c>
      <c r="F443" s="3">
        <v>11991.85</v>
      </c>
      <c r="G443" s="16">
        <f t="shared" si="26"/>
        <v>2.3057326434203773E-3</v>
      </c>
      <c r="H443" s="1"/>
      <c r="I443" s="1"/>
      <c r="L443" s="120"/>
    </row>
    <row r="444" spans="1:12">
      <c r="A444" s="8">
        <v>44979</v>
      </c>
      <c r="B444" s="1">
        <v>968.55</v>
      </c>
      <c r="C444" s="16">
        <f t="shared" si="25"/>
        <v>-3.1391519143680879E-3</v>
      </c>
      <c r="D444" s="1">
        <v>17826.7</v>
      </c>
      <c r="E444" s="17">
        <v>-1E-3</v>
      </c>
      <c r="F444" s="3">
        <v>12019.5</v>
      </c>
      <c r="G444" s="16">
        <f t="shared" si="26"/>
        <v>2.9868130953867311E-3</v>
      </c>
      <c r="H444" s="1"/>
      <c r="I444" s="1"/>
      <c r="L444" s="120"/>
    </row>
    <row r="445" spans="1:12">
      <c r="A445" s="8">
        <v>44978</v>
      </c>
      <c r="B445" s="1">
        <v>971.6</v>
      </c>
      <c r="C445" s="16">
        <f t="shared" si="25"/>
        <v>-1.3002844372206335E-2</v>
      </c>
      <c r="D445" s="1">
        <v>17844.599999999999</v>
      </c>
      <c r="E445" s="17">
        <v>-5.5500000000000002E-3</v>
      </c>
      <c r="F445" s="3">
        <v>12055.4</v>
      </c>
      <c r="G445" s="16">
        <f t="shared" si="26"/>
        <v>8.183054896560904E-3</v>
      </c>
      <c r="H445" s="1"/>
      <c r="I445" s="1"/>
      <c r="L445" s="120"/>
    </row>
    <row r="446" spans="1:12">
      <c r="A446" s="8">
        <v>44977</v>
      </c>
      <c r="B446" s="1">
        <v>984.4</v>
      </c>
      <c r="C446" s="16">
        <f t="shared" si="25"/>
        <v>-1.0157440325042622E-4</v>
      </c>
      <c r="D446" s="1">
        <v>17944.2</v>
      </c>
      <c r="E446" s="17">
        <v>-5.0800000000000003E-3</v>
      </c>
      <c r="F446" s="3">
        <v>12154.05</v>
      </c>
      <c r="G446" s="16">
        <f t="shared" si="26"/>
        <v>1.1893154956578389E-2</v>
      </c>
      <c r="H446" s="1"/>
      <c r="I446" s="1"/>
      <c r="L446" s="120"/>
    </row>
    <row r="447" spans="1:12">
      <c r="A447" s="8">
        <v>44974</v>
      </c>
      <c r="B447" s="1">
        <v>984.5</v>
      </c>
      <c r="C447" s="16">
        <f t="shared" si="25"/>
        <v>-1.0701904235542403E-2</v>
      </c>
      <c r="D447" s="1">
        <v>18035.849999999999</v>
      </c>
      <c r="E447" s="17">
        <v>1.1100000000000001E-3</v>
      </c>
      <c r="F447" s="3">
        <v>12298.6</v>
      </c>
      <c r="G447" s="16">
        <f t="shared" si="26"/>
        <v>-5.0005691704746447E-3</v>
      </c>
      <c r="H447" s="1"/>
      <c r="I447" s="1"/>
      <c r="L447" s="120"/>
    </row>
    <row r="448" spans="1:12">
      <c r="A448" s="8">
        <v>44973</v>
      </c>
      <c r="B448" s="1">
        <v>995.15</v>
      </c>
      <c r="C448" s="16">
        <f t="shared" si="25"/>
        <v>-2.5115531444641626E-4</v>
      </c>
      <c r="D448" s="1">
        <v>18015.849999999999</v>
      </c>
      <c r="E448" s="17">
        <v>4.7959999999999999E-3</v>
      </c>
      <c r="F448" s="3">
        <v>12237.1</v>
      </c>
      <c r="G448" s="16">
        <f t="shared" si="26"/>
        <v>9.5610888200625688E-4</v>
      </c>
      <c r="H448" s="1"/>
      <c r="I448" s="1"/>
      <c r="L448" s="120"/>
    </row>
    <row r="449" spans="1:12">
      <c r="A449" s="8">
        <v>44972</v>
      </c>
      <c r="B449" s="1">
        <v>995.4</v>
      </c>
      <c r="C449" s="16">
        <f t="shared" si="25"/>
        <v>-1.1273901167121902E-2</v>
      </c>
      <c r="D449" s="1">
        <v>17929.849999999999</v>
      </c>
      <c r="E449" s="17">
        <v>8.9440000000000006E-3</v>
      </c>
      <c r="F449" s="3">
        <v>12248.8</v>
      </c>
      <c r="G449" s="16">
        <f t="shared" si="26"/>
        <v>1.5756645548952175E-3</v>
      </c>
      <c r="H449" s="1"/>
      <c r="I449" s="1"/>
      <c r="L449" s="120"/>
    </row>
    <row r="450" spans="1:12">
      <c r="A450" s="8">
        <v>44971</v>
      </c>
      <c r="B450" s="3">
        <v>1006.75</v>
      </c>
      <c r="C450" s="16">
        <f t="shared" si="25"/>
        <v>-8.3723220881556371E-3</v>
      </c>
      <c r="D450" s="1">
        <v>17770.900000000001</v>
      </c>
      <c r="E450" s="17">
        <v>-4.79E-3</v>
      </c>
      <c r="F450" s="3">
        <v>12268.1</v>
      </c>
      <c r="G450" s="16">
        <f t="shared" si="26"/>
        <v>4.8010694402556009E-3</v>
      </c>
      <c r="H450" s="1"/>
      <c r="I450" s="1"/>
      <c r="L450" s="120"/>
    </row>
    <row r="451" spans="1:12">
      <c r="A451" s="8">
        <v>44970</v>
      </c>
      <c r="B451" s="3">
        <v>1015.25</v>
      </c>
      <c r="C451" s="16">
        <f t="shared" si="25"/>
        <v>8.5932843234650669E-3</v>
      </c>
      <c r="D451" s="1">
        <v>17856.5</v>
      </c>
      <c r="E451" s="17">
        <v>-2.0699999999999998E-3</v>
      </c>
      <c r="F451" s="3">
        <v>12327</v>
      </c>
      <c r="G451" s="16">
        <f t="shared" si="26"/>
        <v>-1.9875070982395826E-3</v>
      </c>
      <c r="H451" s="1"/>
      <c r="I451" s="1"/>
      <c r="L451" s="120"/>
    </row>
    <row r="452" spans="1:12">
      <c r="A452" s="8">
        <v>44967</v>
      </c>
      <c r="B452" s="3">
        <v>1006.6</v>
      </c>
      <c r="C452" s="16">
        <f t="shared" si="25"/>
        <v>-1.9864918553824662E-4</v>
      </c>
      <c r="D452" s="1">
        <v>17893.45</v>
      </c>
      <c r="E452" s="17">
        <v>1.217E-3</v>
      </c>
      <c r="F452" s="3">
        <v>12302.5</v>
      </c>
      <c r="G452" s="16">
        <f t="shared" si="26"/>
        <v>4.4543791912212694E-3</v>
      </c>
      <c r="H452" s="1"/>
      <c r="I452" s="1"/>
      <c r="L452" s="120"/>
    </row>
    <row r="453" spans="1:12">
      <c r="A453" s="8">
        <v>44966</v>
      </c>
      <c r="B453" s="3">
        <v>1006.8</v>
      </c>
      <c r="C453" s="16">
        <f t="shared" si="25"/>
        <v>-6.1204343534058125E-3</v>
      </c>
      <c r="D453" s="1">
        <v>17871.7</v>
      </c>
      <c r="E453" s="17">
        <v>8.4759999999999992E-3</v>
      </c>
      <c r="F453" s="3">
        <v>12357.3</v>
      </c>
      <c r="G453" s="16">
        <f t="shared" si="26"/>
        <v>-1.3425262800126236E-2</v>
      </c>
      <c r="H453" s="1"/>
      <c r="I453" s="1"/>
      <c r="L453" s="120"/>
    </row>
    <row r="454" spans="1:12">
      <c r="A454" s="8">
        <v>44965</v>
      </c>
      <c r="B454" s="3">
        <v>1013</v>
      </c>
      <c r="C454" s="16">
        <f t="shared" si="25"/>
        <v>6.558028616852063E-3</v>
      </c>
      <c r="D454" s="1">
        <v>17721.5</v>
      </c>
      <c r="E454" s="17">
        <v>-2.4299999999999999E-3</v>
      </c>
      <c r="F454" s="3">
        <v>12191.4</v>
      </c>
      <c r="G454" s="16">
        <f t="shared" si="26"/>
        <v>1.3944255786868531E-4</v>
      </c>
      <c r="H454" s="1"/>
      <c r="I454" s="1"/>
      <c r="L454" s="120"/>
    </row>
    <row r="455" spans="1:12">
      <c r="A455" s="8">
        <v>44964</v>
      </c>
      <c r="B455" s="3">
        <v>1006.4</v>
      </c>
      <c r="C455" s="16">
        <f t="shared" si="25"/>
        <v>-1.6563248155567534E-2</v>
      </c>
      <c r="D455" s="1">
        <v>17764.599999999999</v>
      </c>
      <c r="E455" s="17">
        <v>-5.0099999999999997E-3</v>
      </c>
      <c r="F455" s="3">
        <v>12193.1</v>
      </c>
      <c r="G455" s="16">
        <f t="shared" si="26"/>
        <v>-6.9711558176344113E-4</v>
      </c>
      <c r="H455" s="1"/>
      <c r="I455" s="1"/>
      <c r="L455" s="120"/>
    </row>
    <row r="456" spans="1:12">
      <c r="A456" s="8">
        <v>44963</v>
      </c>
      <c r="B456" s="3">
        <v>1023.35</v>
      </c>
      <c r="C456" s="16">
        <f t="shared" si="25"/>
        <v>-4.6685794874289366E-3</v>
      </c>
      <c r="D456" s="1">
        <v>17854.05</v>
      </c>
      <c r="E456" s="17">
        <v>1.3835999999999999E-2</v>
      </c>
      <c r="F456" s="3">
        <v>12184.6</v>
      </c>
      <c r="G456" s="16">
        <f t="shared" si="26"/>
        <v>9.9880176616384819E-3</v>
      </c>
      <c r="H456" s="1"/>
      <c r="I456" s="1"/>
      <c r="L456" s="120"/>
    </row>
    <row r="457" spans="1:12">
      <c r="A457" s="8">
        <v>44960</v>
      </c>
      <c r="B457" s="3">
        <v>1028.1500000000001</v>
      </c>
      <c r="C457" s="16">
        <f t="shared" ref="C457:C516" si="27">B457/B458-1</f>
        <v>2.0394998015085486E-2</v>
      </c>
      <c r="D457" s="1">
        <v>17610.400000000001</v>
      </c>
      <c r="E457" s="17">
        <v>-3.3E-4</v>
      </c>
      <c r="F457" s="3">
        <v>12306.3</v>
      </c>
      <c r="G457" s="16">
        <f t="shared" ref="G457:G515" si="28">F458/F457-1</f>
        <v>4.0223300260842088E-3</v>
      </c>
      <c r="H457" s="1"/>
      <c r="I457" s="1"/>
      <c r="L457" s="120"/>
    </row>
    <row r="458" spans="1:12">
      <c r="A458" s="8">
        <v>44959</v>
      </c>
      <c r="B458" s="3">
        <v>1007.6</v>
      </c>
      <c r="C458" s="16">
        <f t="shared" si="27"/>
        <v>-7.1928268794955175E-3</v>
      </c>
      <c r="D458" s="1">
        <v>17616.3</v>
      </c>
      <c r="E458" s="17">
        <v>-2.5999999999999999E-3</v>
      </c>
      <c r="F458" s="3">
        <v>12355.8</v>
      </c>
      <c r="G458" s="16">
        <f t="shared" si="28"/>
        <v>3.6015474513995116E-4</v>
      </c>
      <c r="H458" s="1"/>
      <c r="I458" s="1"/>
      <c r="L458" s="120"/>
    </row>
    <row r="459" spans="1:12">
      <c r="A459" s="8">
        <v>44958</v>
      </c>
      <c r="B459" s="3">
        <v>1014.9</v>
      </c>
      <c r="C459" s="16">
        <f t="shared" si="27"/>
        <v>-1.8946350894151753E-2</v>
      </c>
      <c r="D459" s="1">
        <v>17662.150000000001</v>
      </c>
      <c r="E459" s="17">
        <v>7.4799999999999997E-4</v>
      </c>
      <c r="F459" s="3">
        <v>12360.25</v>
      </c>
      <c r="G459" s="16">
        <f t="shared" si="28"/>
        <v>1.0011933415586149E-2</v>
      </c>
      <c r="H459" s="1"/>
      <c r="I459" s="1"/>
      <c r="L459" s="120"/>
    </row>
    <row r="460" spans="1:12">
      <c r="A460" s="8">
        <v>44957</v>
      </c>
      <c r="B460" s="3">
        <v>1034.5</v>
      </c>
      <c r="C460" s="16">
        <f t="shared" si="27"/>
        <v>-1.6354473709232709E-2</v>
      </c>
      <c r="D460" s="1">
        <v>17648.95</v>
      </c>
      <c r="E460" s="17">
        <v>2.5330000000000001E-3</v>
      </c>
      <c r="F460" s="3">
        <v>12484</v>
      </c>
      <c r="G460" s="16">
        <f t="shared" si="28"/>
        <v>1.9264658763216147E-3</v>
      </c>
      <c r="H460" s="1"/>
      <c r="I460" s="1"/>
      <c r="L460" s="120"/>
    </row>
    <row r="461" spans="1:12">
      <c r="A461" s="8">
        <v>44956</v>
      </c>
      <c r="B461" s="3">
        <v>1051.7</v>
      </c>
      <c r="C461" s="16">
        <f t="shared" si="27"/>
        <v>7.954763273912091E-3</v>
      </c>
      <c r="D461" s="1">
        <v>17604.349999999999</v>
      </c>
      <c r="E461" s="17">
        <v>-1.6070000000000001E-2</v>
      </c>
      <c r="F461" s="3">
        <v>12508.05</v>
      </c>
      <c r="G461" s="16">
        <f t="shared" si="28"/>
        <v>-5.4325014690538298E-3</v>
      </c>
      <c r="H461" s="1"/>
      <c r="I461" s="1"/>
      <c r="L461" s="120"/>
    </row>
    <row r="462" spans="1:12">
      <c r="A462" s="8">
        <v>44953</v>
      </c>
      <c r="B462" s="3">
        <v>1043.4000000000001</v>
      </c>
      <c r="C462" s="16">
        <f t="shared" si="27"/>
        <v>3.2209989904332659E-3</v>
      </c>
      <c r="D462" s="1">
        <v>17891.95</v>
      </c>
      <c r="E462" s="17">
        <v>-1.2489999999999999E-2</v>
      </c>
      <c r="F462" s="3">
        <v>12440.1</v>
      </c>
      <c r="G462" s="16">
        <f t="shared" si="28"/>
        <v>1.2359225408155927E-2</v>
      </c>
      <c r="H462" s="1"/>
      <c r="I462" s="1"/>
      <c r="L462" s="120"/>
    </row>
    <row r="463" spans="1:12">
      <c r="A463" s="8">
        <v>44951</v>
      </c>
      <c r="B463" s="3">
        <v>1040.05</v>
      </c>
      <c r="C463" s="16">
        <f t="shared" si="27"/>
        <v>-6.2457960987805095E-4</v>
      </c>
      <c r="D463" s="1">
        <v>18118.3</v>
      </c>
      <c r="E463" s="17">
        <v>-1.4E-5</v>
      </c>
      <c r="F463" s="3">
        <v>12593.85</v>
      </c>
      <c r="G463" s="16">
        <f t="shared" si="28"/>
        <v>9.8937179655149698E-3</v>
      </c>
      <c r="H463" s="1"/>
      <c r="I463" s="1"/>
      <c r="L463" s="120"/>
    </row>
    <row r="464" spans="1:12">
      <c r="A464" s="8">
        <v>44950</v>
      </c>
      <c r="B464" s="3">
        <v>1040.7</v>
      </c>
      <c r="C464" s="16">
        <f t="shared" si="27"/>
        <v>-8.1959401505764529E-3</v>
      </c>
      <c r="D464" s="1">
        <v>18118.55</v>
      </c>
      <c r="E464" s="17">
        <v>5.0419999999999996E-3</v>
      </c>
      <c r="F464" s="3">
        <v>12718.45</v>
      </c>
      <c r="G464" s="16">
        <f t="shared" si="28"/>
        <v>-8.8061045174530062E-3</v>
      </c>
      <c r="H464" s="1"/>
      <c r="I464" s="1"/>
      <c r="L464" s="120"/>
    </row>
    <row r="465" spans="1:12">
      <c r="A465" s="8">
        <v>44949</v>
      </c>
      <c r="B465" s="3">
        <v>1049.3</v>
      </c>
      <c r="C465" s="16">
        <f t="shared" si="27"/>
        <v>1.8391808608725135E-2</v>
      </c>
      <c r="D465" s="1">
        <v>18027.650000000001</v>
      </c>
      <c r="E465" s="17">
        <v>-4.4299999999999999E-3</v>
      </c>
      <c r="F465" s="3">
        <v>12606.45</v>
      </c>
      <c r="G465" s="16">
        <f t="shared" si="28"/>
        <v>7.3454461803281745E-3</v>
      </c>
      <c r="H465" s="1"/>
      <c r="I465" s="1"/>
      <c r="L465" s="120"/>
    </row>
    <row r="466" spans="1:12">
      <c r="A466" s="8">
        <v>44946</v>
      </c>
      <c r="B466" s="3">
        <v>1030.3499999999999</v>
      </c>
      <c r="C466" s="16">
        <f t="shared" si="27"/>
        <v>-9.8025082888857362E-3</v>
      </c>
      <c r="D466" s="1">
        <v>18107.849999999999</v>
      </c>
      <c r="E466" s="17">
        <v>-3.1700000000000001E-3</v>
      </c>
      <c r="F466" s="3">
        <v>12699.05</v>
      </c>
      <c r="G466" s="16">
        <f t="shared" si="28"/>
        <v>2.7915473992150552E-3</v>
      </c>
      <c r="H466" s="1"/>
      <c r="I466" s="1"/>
      <c r="L466" s="120"/>
    </row>
    <row r="467" spans="1:12">
      <c r="A467" s="8">
        <v>44945</v>
      </c>
      <c r="B467" s="3">
        <v>1040.55</v>
      </c>
      <c r="C467" s="16">
        <f t="shared" si="27"/>
        <v>4.3265070666276273E-4</v>
      </c>
      <c r="D467" s="1">
        <v>18165.349999999999</v>
      </c>
      <c r="E467" s="17">
        <v>6.2069999999999998E-3</v>
      </c>
      <c r="F467" s="3">
        <v>12734.5</v>
      </c>
      <c r="G467" s="16">
        <f t="shared" si="28"/>
        <v>-6.7925713612627669E-3</v>
      </c>
      <c r="H467" s="1"/>
      <c r="I467" s="1"/>
      <c r="L467" s="120"/>
    </row>
    <row r="468" spans="1:12">
      <c r="A468" s="8">
        <v>44944</v>
      </c>
      <c r="B468" s="3">
        <v>1040.0999999999999</v>
      </c>
      <c r="C468" s="16">
        <f t="shared" si="27"/>
        <v>7.1656821923111735E-3</v>
      </c>
      <c r="D468" s="1">
        <v>18053.3</v>
      </c>
      <c r="E468" s="17">
        <v>8.855E-3</v>
      </c>
      <c r="F468" s="3">
        <v>12648</v>
      </c>
      <c r="G468" s="16">
        <f t="shared" si="28"/>
        <v>9.0132827324485021E-4</v>
      </c>
      <c r="H468" s="1"/>
      <c r="I468" s="1"/>
      <c r="L468" s="120"/>
    </row>
    <row r="469" spans="1:12">
      <c r="A469" s="8">
        <v>44943</v>
      </c>
      <c r="B469" s="3">
        <v>1032.7</v>
      </c>
      <c r="C469" s="16">
        <f t="shared" si="27"/>
        <v>-2.6558501134772428E-3</v>
      </c>
      <c r="D469" s="1">
        <v>17894.849999999999</v>
      </c>
      <c r="E469" s="17">
        <v>-3.4399999999999999E-3</v>
      </c>
      <c r="F469" s="3">
        <v>12659.4</v>
      </c>
      <c r="G469" s="16">
        <f t="shared" si="28"/>
        <v>7.4253124160694739E-4</v>
      </c>
      <c r="H469" s="1"/>
      <c r="I469" s="1"/>
      <c r="L469" s="120"/>
    </row>
    <row r="470" spans="1:12">
      <c r="A470" s="8">
        <v>44942</v>
      </c>
      <c r="B470" s="3">
        <v>1035.45</v>
      </c>
      <c r="C470" s="16">
        <f t="shared" si="27"/>
        <v>3.732066692516689E-3</v>
      </c>
      <c r="D470" s="1">
        <v>17956.599999999999</v>
      </c>
      <c r="E470" s="17">
        <v>5.5100000000000001E-3</v>
      </c>
      <c r="F470" s="3">
        <v>12668.8</v>
      </c>
      <c r="G470" s="16">
        <f t="shared" si="28"/>
        <v>2.0917529679231883E-4</v>
      </c>
      <c r="H470" s="1"/>
      <c r="I470" s="1"/>
      <c r="L470" s="120"/>
    </row>
    <row r="471" spans="1:12">
      <c r="A471" s="8">
        <v>44939</v>
      </c>
      <c r="B471" s="3">
        <v>1031.5999999999999</v>
      </c>
      <c r="C471" s="16">
        <f t="shared" si="27"/>
        <v>-1.210243500992414E-3</v>
      </c>
      <c r="D471" s="1">
        <v>17858.2</v>
      </c>
      <c r="E471" s="17">
        <v>-2.0999999999999999E-3</v>
      </c>
      <c r="F471" s="3">
        <v>12671.45</v>
      </c>
      <c r="G471" s="16">
        <f t="shared" si="28"/>
        <v>8.5230971988203841E-4</v>
      </c>
      <c r="H471" s="1"/>
      <c r="I471" s="1"/>
      <c r="L471" s="120"/>
    </row>
    <row r="472" spans="1:12">
      <c r="A472" s="8">
        <v>44938</v>
      </c>
      <c r="B472" s="3">
        <v>1032.8499999999999</v>
      </c>
      <c r="C472" s="16">
        <f t="shared" si="27"/>
        <v>4.7178988326848081E-3</v>
      </c>
      <c r="D472" s="1">
        <v>17895.7</v>
      </c>
      <c r="E472" s="17">
        <v>-1.0300000000000001E-3</v>
      </c>
      <c r="F472" s="3">
        <v>12682.25</v>
      </c>
      <c r="G472" s="16">
        <f t="shared" si="28"/>
        <v>6.6510280115910092E-3</v>
      </c>
      <c r="H472" s="1"/>
      <c r="I472" s="1"/>
      <c r="L472" s="120"/>
    </row>
    <row r="473" spans="1:12">
      <c r="A473" s="8">
        <v>44937</v>
      </c>
      <c r="B473" s="3">
        <v>1028</v>
      </c>
      <c r="C473" s="16">
        <f t="shared" si="27"/>
        <v>1.5960863764391986E-2</v>
      </c>
      <c r="D473" s="1">
        <v>17914.150000000001</v>
      </c>
      <c r="E473" s="17">
        <v>-1.0330000000000001E-2</v>
      </c>
      <c r="F473" s="3">
        <v>12766.6</v>
      </c>
      <c r="G473" s="16">
        <f t="shared" si="28"/>
        <v>3.1331756301589131E-4</v>
      </c>
      <c r="H473" s="1"/>
      <c r="I473" s="1"/>
      <c r="L473" s="120"/>
    </row>
    <row r="474" spans="1:12">
      <c r="A474" s="8">
        <v>44936</v>
      </c>
      <c r="B474" s="3">
        <v>1011.85</v>
      </c>
      <c r="C474" s="16">
        <f t="shared" si="27"/>
        <v>-4.917146088410318E-3</v>
      </c>
      <c r="D474" s="1">
        <v>18101.2</v>
      </c>
      <c r="E474" s="17">
        <v>1.3535999999999999E-2</v>
      </c>
      <c r="F474" s="3">
        <v>12770.6</v>
      </c>
      <c r="G474" s="16">
        <f t="shared" si="28"/>
        <v>-9.0559566504314626E-3</v>
      </c>
      <c r="H474" s="1"/>
      <c r="I474" s="1"/>
      <c r="L474" s="120"/>
    </row>
    <row r="475" spans="1:12">
      <c r="A475" s="8">
        <v>44935</v>
      </c>
      <c r="B475" s="3">
        <v>1016.85</v>
      </c>
      <c r="C475" s="16">
        <f t="shared" si="27"/>
        <v>8.0797065529889522E-3</v>
      </c>
      <c r="D475" s="1">
        <v>17859.45</v>
      </c>
      <c r="E475" s="17">
        <v>-7.3800000000000003E-3</v>
      </c>
      <c r="F475" s="3">
        <v>12654.95</v>
      </c>
      <c r="G475" s="16">
        <f t="shared" si="28"/>
        <v>7.7637604257623227E-3</v>
      </c>
      <c r="H475" s="1"/>
      <c r="I475" s="1"/>
      <c r="L475" s="120"/>
    </row>
    <row r="476" spans="1:12">
      <c r="A476" s="8">
        <v>44932</v>
      </c>
      <c r="B476" s="3">
        <v>1008.7</v>
      </c>
      <c r="C476" s="16">
        <f t="shared" si="27"/>
        <v>-7.3804369218657406E-3</v>
      </c>
      <c r="D476" s="1">
        <v>17992.150000000001</v>
      </c>
      <c r="E476" s="17">
        <v>-2.82E-3</v>
      </c>
      <c r="F476" s="3">
        <v>12753.2</v>
      </c>
      <c r="G476" s="16">
        <f t="shared" si="28"/>
        <v>-1.0228805319449252E-2</v>
      </c>
      <c r="H476" s="1"/>
      <c r="I476" s="1"/>
      <c r="L476" s="120"/>
    </row>
    <row r="477" spans="1:12">
      <c r="A477" s="8">
        <v>44931</v>
      </c>
      <c r="B477" s="3">
        <v>1016.2</v>
      </c>
      <c r="C477" s="16">
        <f t="shared" si="27"/>
        <v>1.2050592570461038E-2</v>
      </c>
      <c r="D477" s="1">
        <v>18042.95</v>
      </c>
      <c r="E477" s="17">
        <v>-1.04E-2</v>
      </c>
      <c r="F477" s="3">
        <v>12622.75</v>
      </c>
      <c r="G477" s="16">
        <f t="shared" si="28"/>
        <v>1.5052187518567184E-3</v>
      </c>
      <c r="H477" s="1"/>
      <c r="I477" s="1"/>
      <c r="L477" s="120"/>
    </row>
    <row r="478" spans="1:12">
      <c r="A478" s="8">
        <v>44930</v>
      </c>
      <c r="B478" s="3">
        <v>1004.1</v>
      </c>
      <c r="C478" s="16">
        <f t="shared" si="27"/>
        <v>-4.9549103161232733E-3</v>
      </c>
      <c r="D478" s="1">
        <v>18232.55</v>
      </c>
      <c r="E478" s="17">
        <v>1.9289999999999999E-3</v>
      </c>
      <c r="F478" s="3">
        <v>12641.75</v>
      </c>
      <c r="G478" s="16">
        <f t="shared" si="28"/>
        <v>-7.146953546779522E-3</v>
      </c>
      <c r="H478" s="1"/>
      <c r="I478" s="1"/>
      <c r="L478" s="120"/>
    </row>
    <row r="479" spans="1:12">
      <c r="A479" s="8">
        <v>44929</v>
      </c>
      <c r="B479" s="3">
        <v>1009.1</v>
      </c>
      <c r="C479" s="16">
        <f t="shared" si="27"/>
        <v>1.2136409227682998E-2</v>
      </c>
      <c r="D479" s="1">
        <v>18197.45</v>
      </c>
      <c r="E479" s="17">
        <v>5.0899999999999999E-3</v>
      </c>
      <c r="F479" s="3">
        <v>12551.4</v>
      </c>
      <c r="G479" s="16">
        <f t="shared" si="28"/>
        <v>3.6808642860557406E-3</v>
      </c>
      <c r="H479" s="1"/>
      <c r="I479" s="1"/>
      <c r="L479" s="120"/>
    </row>
    <row r="480" spans="1:12">
      <c r="A480" s="8">
        <v>44928</v>
      </c>
      <c r="B480" s="1">
        <v>997</v>
      </c>
      <c r="C480" s="16">
        <f t="shared" si="27"/>
        <v>-4.3938486119432518E-3</v>
      </c>
      <c r="D480" s="1">
        <v>18105.3</v>
      </c>
      <c r="E480" s="17">
        <v>-4.7099999999999998E-3</v>
      </c>
      <c r="F480" s="3">
        <v>12597.6</v>
      </c>
      <c r="G480" s="16">
        <f t="shared" si="28"/>
        <v>2.9132533180922238E-3</v>
      </c>
      <c r="H480" s="1"/>
      <c r="I480" s="1"/>
      <c r="L480" s="120"/>
    </row>
    <row r="481" spans="1:12">
      <c r="A481" s="8">
        <v>44925</v>
      </c>
      <c r="B481" s="3">
        <v>1001.4</v>
      </c>
      <c r="C481" s="16">
        <f t="shared" si="27"/>
        <v>8.4953275698373965E-4</v>
      </c>
      <c r="D481" s="1">
        <v>18191</v>
      </c>
      <c r="E481" s="17">
        <v>3.7799999999999999E-3</v>
      </c>
      <c r="F481" s="3">
        <v>12634.3</v>
      </c>
      <c r="G481" s="16">
        <f t="shared" si="28"/>
        <v>-8.0336860767904472E-4</v>
      </c>
      <c r="H481" s="1"/>
      <c r="I481" s="1"/>
      <c r="L481" s="120"/>
    </row>
    <row r="482" spans="1:12">
      <c r="A482" s="8">
        <v>44924</v>
      </c>
      <c r="B482" s="3">
        <v>1000.55</v>
      </c>
      <c r="C482" s="16">
        <f t="shared" si="27"/>
        <v>5.5778894472360285E-3</v>
      </c>
      <c r="D482" s="1">
        <v>18122.5</v>
      </c>
      <c r="E482" s="17">
        <v>-5.4000000000000001E-4</v>
      </c>
      <c r="F482" s="3">
        <v>12624.15</v>
      </c>
      <c r="G482" s="16">
        <f t="shared" si="28"/>
        <v>5.5924557296926913E-3</v>
      </c>
      <c r="H482" s="1"/>
      <c r="I482" s="1"/>
      <c r="L482" s="120"/>
    </row>
    <row r="483" spans="1:12">
      <c r="A483" s="8">
        <v>44923</v>
      </c>
      <c r="B483" s="1">
        <v>995</v>
      </c>
      <c r="C483" s="16">
        <f t="shared" si="27"/>
        <v>-5.1492276158575656E-3</v>
      </c>
      <c r="D483" s="1">
        <v>18132.3</v>
      </c>
      <c r="E483" s="17">
        <v>6.5339999999999999E-3</v>
      </c>
      <c r="F483" s="3">
        <v>12694.75</v>
      </c>
      <c r="G483" s="16">
        <f t="shared" si="28"/>
        <v>-1.3903385257685308E-3</v>
      </c>
      <c r="H483" s="1"/>
      <c r="I483" s="1"/>
      <c r="L483" s="120"/>
    </row>
    <row r="484" spans="1:12">
      <c r="A484" s="8">
        <v>44922</v>
      </c>
      <c r="B484" s="3">
        <v>1000.15</v>
      </c>
      <c r="C484" s="16">
        <f t="shared" si="27"/>
        <v>9.9995000250041599E-5</v>
      </c>
      <c r="D484" s="1">
        <v>18014.599999999999</v>
      </c>
      <c r="E484" s="17">
        <v>1.167E-2</v>
      </c>
      <c r="F484" s="3">
        <v>12677.1</v>
      </c>
      <c r="G484" s="16">
        <f t="shared" si="28"/>
        <v>8.4680250214954622E-3</v>
      </c>
      <c r="H484" s="1"/>
      <c r="I484" s="1"/>
      <c r="L484" s="120"/>
    </row>
    <row r="485" spans="1:12">
      <c r="A485" s="8">
        <v>44921</v>
      </c>
      <c r="B485" s="3">
        <v>1000.05</v>
      </c>
      <c r="C485" s="16">
        <f t="shared" si="27"/>
        <v>-1.4976785981728469E-3</v>
      </c>
      <c r="D485" s="1">
        <v>17806.8</v>
      </c>
      <c r="E485" s="17">
        <v>-1.7680000000000001E-2</v>
      </c>
      <c r="F485" s="3">
        <v>12784.45</v>
      </c>
      <c r="G485" s="16">
        <f t="shared" si="28"/>
        <v>8.4712287192643121E-3</v>
      </c>
      <c r="H485" s="1"/>
      <c r="I485" s="1"/>
      <c r="L485" s="120"/>
    </row>
    <row r="486" spans="1:12">
      <c r="A486" s="8">
        <v>44918</v>
      </c>
      <c r="B486" s="3">
        <v>1001.55</v>
      </c>
      <c r="C486" s="16">
        <f t="shared" si="27"/>
        <v>-9.0041062682432171E-3</v>
      </c>
      <c r="D486" s="1">
        <v>18127.349999999999</v>
      </c>
      <c r="E486" s="17">
        <v>-3.9399999999999999E-3</v>
      </c>
      <c r="F486" s="3">
        <v>12892.75</v>
      </c>
      <c r="G486" s="16">
        <f t="shared" si="28"/>
        <v>2.144616160244972E-3</v>
      </c>
      <c r="H486" s="1"/>
      <c r="I486" s="1"/>
      <c r="L486" s="120"/>
    </row>
    <row r="487" spans="1:12">
      <c r="A487" s="8">
        <v>44917</v>
      </c>
      <c r="B487" s="3">
        <v>1010.65</v>
      </c>
      <c r="C487" s="16">
        <f t="shared" si="27"/>
        <v>5.0218774860779636E-3</v>
      </c>
      <c r="D487" s="1">
        <v>18199.099999999999</v>
      </c>
      <c r="E487" s="17">
        <v>-1.013E-2</v>
      </c>
      <c r="F487" s="3">
        <v>12920.4</v>
      </c>
      <c r="G487" s="16">
        <f t="shared" si="28"/>
        <v>-2.3370019504040052E-2</v>
      </c>
      <c r="H487" s="1"/>
      <c r="I487" s="1"/>
      <c r="L487" s="120"/>
    </row>
    <row r="488" spans="1:12">
      <c r="A488" s="8">
        <v>44916</v>
      </c>
      <c r="B488" s="3">
        <v>1005.6</v>
      </c>
      <c r="C488" s="16">
        <f t="shared" si="27"/>
        <v>1.745333130975868E-2</v>
      </c>
      <c r="D488" s="1">
        <v>18385.3</v>
      </c>
      <c r="E488" s="17">
        <v>-1.91E-3</v>
      </c>
      <c r="F488" s="3">
        <v>12618.45</v>
      </c>
      <c r="G488" s="16">
        <f t="shared" si="28"/>
        <v>2.218973011740788E-3</v>
      </c>
      <c r="H488" s="1"/>
      <c r="I488" s="1"/>
      <c r="L488" s="120"/>
    </row>
    <row r="489" spans="1:12">
      <c r="A489" s="8">
        <v>44915</v>
      </c>
      <c r="B489" s="1">
        <v>988.35</v>
      </c>
      <c r="C489" s="16">
        <f t="shared" si="27"/>
        <v>4.0487878941242172E-4</v>
      </c>
      <c r="D489" s="1">
        <v>18420.45</v>
      </c>
      <c r="E489" s="17">
        <v>8.2900000000000005E-3</v>
      </c>
      <c r="F489" s="3">
        <v>12646.45</v>
      </c>
      <c r="G489" s="16">
        <f t="shared" si="28"/>
        <v>-8.105041335710883E-4</v>
      </c>
      <c r="H489" s="1"/>
      <c r="I489" s="1"/>
      <c r="L489" s="120"/>
    </row>
    <row r="490" spans="1:12">
      <c r="A490" s="8">
        <v>44914</v>
      </c>
      <c r="B490" s="1">
        <v>987.95</v>
      </c>
      <c r="C490" s="16">
        <f t="shared" si="27"/>
        <v>-5.7364263070497357E-3</v>
      </c>
      <c r="D490" s="1">
        <v>18269</v>
      </c>
      <c r="E490" s="17">
        <v>-7.92E-3</v>
      </c>
      <c r="F490" s="3">
        <v>12636.2</v>
      </c>
      <c r="G490" s="16">
        <f t="shared" si="28"/>
        <v>1.4236875009892236E-2</v>
      </c>
      <c r="H490" s="1"/>
      <c r="I490" s="1"/>
      <c r="L490" s="120"/>
    </row>
    <row r="491" spans="1:12">
      <c r="A491" s="8">
        <v>44911</v>
      </c>
      <c r="B491" s="1">
        <v>993.65</v>
      </c>
      <c r="C491" s="16">
        <f t="shared" si="27"/>
        <v>-8.5312312911595134E-3</v>
      </c>
      <c r="D491" s="1">
        <v>18414.900000000001</v>
      </c>
      <c r="E491" s="17">
        <v>-1.315E-2</v>
      </c>
      <c r="F491" s="3">
        <v>12816.1</v>
      </c>
      <c r="G491" s="16">
        <f t="shared" si="28"/>
        <v>5.2668128369783851E-3</v>
      </c>
      <c r="H491" s="1"/>
      <c r="I491" s="1"/>
      <c r="L491" s="120"/>
    </row>
    <row r="492" spans="1:12">
      <c r="A492" s="8">
        <v>44910</v>
      </c>
      <c r="B492" s="3">
        <v>1002.2</v>
      </c>
      <c r="C492" s="16">
        <f t="shared" si="27"/>
        <v>1.9495126218445069E-3</v>
      </c>
      <c r="D492" s="1">
        <v>18660.3</v>
      </c>
      <c r="E492" s="17">
        <v>2.8110000000000001E-3</v>
      </c>
      <c r="F492" s="3">
        <v>12883.6</v>
      </c>
      <c r="G492" s="16">
        <f t="shared" si="28"/>
        <v>-6.6635101990126788E-3</v>
      </c>
      <c r="H492" s="1"/>
      <c r="I492" s="1"/>
      <c r="L492" s="120"/>
    </row>
    <row r="493" spans="1:12">
      <c r="A493" s="8">
        <v>44909</v>
      </c>
      <c r="B493" s="3">
        <v>1000.25</v>
      </c>
      <c r="C493" s="16">
        <f t="shared" si="27"/>
        <v>5.6301211481426527E-3</v>
      </c>
      <c r="D493" s="1">
        <v>18608</v>
      </c>
      <c r="E493" s="17">
        <v>5.9930000000000001E-3</v>
      </c>
      <c r="F493" s="3">
        <v>12797.75</v>
      </c>
      <c r="G493" s="16">
        <f t="shared" si="28"/>
        <v>-3.1021077923854001E-3</v>
      </c>
      <c r="H493" s="1"/>
      <c r="I493" s="1"/>
      <c r="L493" s="120"/>
    </row>
    <row r="494" spans="1:12">
      <c r="A494" s="8">
        <v>44908</v>
      </c>
      <c r="B494" s="1">
        <v>994.65</v>
      </c>
      <c r="C494" s="16">
        <f t="shared" si="27"/>
        <v>7.3425156977922068E-3</v>
      </c>
      <c r="D494" s="1">
        <v>18497.150000000001</v>
      </c>
      <c r="E494" s="17">
        <v>2.97E-5</v>
      </c>
      <c r="F494" s="3">
        <v>12758.05</v>
      </c>
      <c r="G494" s="16">
        <f t="shared" si="28"/>
        <v>1.3050583749085742E-3</v>
      </c>
      <c r="H494" s="1"/>
      <c r="I494" s="1"/>
      <c r="L494" s="120"/>
    </row>
    <row r="495" spans="1:12">
      <c r="A495" s="8">
        <v>44907</v>
      </c>
      <c r="B495" s="1">
        <v>987.4</v>
      </c>
      <c r="C495" s="16">
        <f t="shared" si="27"/>
        <v>-5.4892481240872426E-3</v>
      </c>
      <c r="D495" s="1">
        <v>18496.599999999999</v>
      </c>
      <c r="E495" s="17">
        <v>-6.0600000000000003E-3</v>
      </c>
      <c r="F495" s="3">
        <v>12774.7</v>
      </c>
      <c r="G495" s="16">
        <f t="shared" si="28"/>
        <v>-3.6008673393503887E-3</v>
      </c>
      <c r="H495" s="1"/>
      <c r="I495" s="1"/>
      <c r="L495" s="120"/>
    </row>
    <row r="496" spans="1:12">
      <c r="A496" s="8">
        <v>44904</v>
      </c>
      <c r="B496" s="1">
        <v>992.85</v>
      </c>
      <c r="C496" s="16">
        <f t="shared" si="27"/>
        <v>1.2285889070146938E-2</v>
      </c>
      <c r="D496" s="1">
        <v>18609.349999999999</v>
      </c>
      <c r="E496" s="17">
        <v>2.6319999999999998E-3</v>
      </c>
      <c r="F496" s="3">
        <v>12728.7</v>
      </c>
      <c r="G496" s="16">
        <f t="shared" si="28"/>
        <v>1.1085185447060386E-2</v>
      </c>
      <c r="H496" s="1"/>
      <c r="I496" s="1"/>
      <c r="L496" s="120"/>
    </row>
    <row r="497" spans="1:12">
      <c r="A497" s="8">
        <v>44903</v>
      </c>
      <c r="B497" s="1">
        <v>980.8</v>
      </c>
      <c r="C497" s="16">
        <f t="shared" si="27"/>
        <v>-3.6305576025546626E-2</v>
      </c>
      <c r="D497" s="1">
        <v>18560.5</v>
      </c>
      <c r="E497" s="17">
        <v>-4.4099999999999999E-3</v>
      </c>
      <c r="F497" s="3">
        <v>12869.8</v>
      </c>
      <c r="G497" s="16">
        <f t="shared" si="28"/>
        <v>6.6473449470854096E-3</v>
      </c>
      <c r="H497" s="1"/>
      <c r="I497" s="1"/>
      <c r="L497" s="120"/>
    </row>
    <row r="498" spans="1:12">
      <c r="A498" s="8">
        <v>44902</v>
      </c>
      <c r="B498" s="3">
        <v>1017.75</v>
      </c>
      <c r="C498" s="16">
        <f t="shared" si="27"/>
        <v>-1.5287117217357649E-2</v>
      </c>
      <c r="D498" s="1">
        <v>18642.75</v>
      </c>
      <c r="E498" s="17">
        <v>-3.1199999999999999E-3</v>
      </c>
      <c r="F498" s="3">
        <v>12955.35</v>
      </c>
      <c r="G498" s="16">
        <f t="shared" si="28"/>
        <v>7.5297078041116627E-3</v>
      </c>
      <c r="H498" s="1"/>
      <c r="I498" s="1"/>
      <c r="L498" s="120"/>
    </row>
    <row r="499" spans="1:12">
      <c r="A499" s="8">
        <v>44901</v>
      </c>
      <c r="B499" s="3">
        <v>1033.55</v>
      </c>
      <c r="C499" s="16">
        <f t="shared" si="27"/>
        <v>-5.628247065614933E-3</v>
      </c>
      <c r="D499" s="1">
        <v>18701.05</v>
      </c>
      <c r="E499" s="17">
        <v>2.6499999999999999E-4</v>
      </c>
      <c r="F499" s="3">
        <v>13052.9</v>
      </c>
      <c r="G499" s="16">
        <f t="shared" si="28"/>
        <v>2.6086157099189933E-3</v>
      </c>
      <c r="H499" s="1"/>
      <c r="I499" s="1"/>
      <c r="L499" s="120"/>
    </row>
    <row r="500" spans="1:12">
      <c r="A500" s="8">
        <v>44900</v>
      </c>
      <c r="B500" s="3">
        <v>1039.4000000000001</v>
      </c>
      <c r="C500" s="16">
        <f t="shared" si="27"/>
        <v>-5.7692307692303046E-4</v>
      </c>
      <c r="D500" s="1">
        <v>18696.099999999999</v>
      </c>
      <c r="E500" s="17">
        <v>-6.1900000000000002E-3</v>
      </c>
      <c r="F500" s="3">
        <v>13086.95</v>
      </c>
      <c r="G500" s="16">
        <f t="shared" si="28"/>
        <v>2.5750843397429612E-3</v>
      </c>
      <c r="H500" s="1"/>
      <c r="I500" s="1"/>
      <c r="L500" s="120"/>
    </row>
    <row r="501" spans="1:12">
      <c r="A501" s="8">
        <v>44897</v>
      </c>
      <c r="B501" s="3">
        <v>1040</v>
      </c>
      <c r="C501" s="16">
        <f t="shared" si="27"/>
        <v>-6.163696306560329E-3</v>
      </c>
      <c r="D501" s="1">
        <v>18812.5</v>
      </c>
      <c r="E501" s="17">
        <v>2.8869999999999998E-3</v>
      </c>
      <c r="F501" s="3">
        <v>13120.65</v>
      </c>
      <c r="G501" s="16">
        <f t="shared" si="28"/>
        <v>1.7948805889953512E-3</v>
      </c>
      <c r="H501" s="1"/>
      <c r="I501" s="1"/>
      <c r="L501" s="120"/>
    </row>
    <row r="502" spans="1:12">
      <c r="A502" s="8">
        <v>44896</v>
      </c>
      <c r="B502" s="3">
        <v>1046.45</v>
      </c>
      <c r="C502" s="16">
        <f t="shared" si="27"/>
        <v>3.8239089909675172E-4</v>
      </c>
      <c r="D502" s="1">
        <v>18758.349999999999</v>
      </c>
      <c r="E502" s="17">
        <v>7.5360000000000002E-3</v>
      </c>
      <c r="F502" s="3">
        <v>13144.2</v>
      </c>
      <c r="G502" s="16">
        <f t="shared" si="28"/>
        <v>-4.3251015657096437E-3</v>
      </c>
      <c r="H502" s="1"/>
      <c r="I502" s="1"/>
      <c r="L502" s="120"/>
    </row>
    <row r="503" spans="1:12">
      <c r="A503" s="8">
        <v>44895</v>
      </c>
      <c r="B503" s="3">
        <v>1046.05</v>
      </c>
      <c r="C503" s="16">
        <f t="shared" si="27"/>
        <v>-3.6195646997189135E-3</v>
      </c>
      <c r="D503" s="1">
        <v>18618.05</v>
      </c>
      <c r="E503" s="17">
        <v>2.9789999999999999E-3</v>
      </c>
      <c r="F503" s="3">
        <v>13087.35</v>
      </c>
      <c r="G503" s="16">
        <f t="shared" si="28"/>
        <v>-7.1366625023400188E-3</v>
      </c>
      <c r="H503" s="1"/>
      <c r="I503" s="1"/>
      <c r="L503" s="120"/>
    </row>
    <row r="504" spans="1:12">
      <c r="A504" s="8">
        <v>44894</v>
      </c>
      <c r="B504" s="3">
        <v>1049.8499999999999</v>
      </c>
      <c r="C504" s="16">
        <f t="shared" si="27"/>
        <v>1.4592896834984215E-2</v>
      </c>
      <c r="D504" s="1">
        <v>18562.75</v>
      </c>
      <c r="E504" s="17">
        <v>2.7009999999999998E-3</v>
      </c>
      <c r="F504" s="3">
        <v>12993.95</v>
      </c>
      <c r="G504" s="16">
        <f t="shared" si="28"/>
        <v>-1.9624517563943122E-3</v>
      </c>
      <c r="H504" s="1"/>
      <c r="I504" s="1"/>
      <c r="L504" s="120"/>
    </row>
    <row r="505" spans="1:12">
      <c r="A505" s="8">
        <v>44893</v>
      </c>
      <c r="B505" s="3">
        <v>1034.75</v>
      </c>
      <c r="C505" s="16">
        <f t="shared" si="27"/>
        <v>8.7053247569768288E-4</v>
      </c>
      <c r="D505" s="1">
        <v>18512.75</v>
      </c>
      <c r="E505" s="17">
        <v>1.5499999999999999E-3</v>
      </c>
      <c r="F505" s="3">
        <v>12968.45</v>
      </c>
      <c r="G505" s="16">
        <f t="shared" si="28"/>
        <v>-6.1919504643963563E-3</v>
      </c>
      <c r="H505" s="1"/>
      <c r="I505" s="1"/>
      <c r="L505" s="120"/>
    </row>
    <row r="506" spans="1:12">
      <c r="A506" s="8">
        <v>44890</v>
      </c>
      <c r="B506" s="3">
        <v>1033.8499999999999</v>
      </c>
      <c r="C506" s="16">
        <f t="shared" si="27"/>
        <v>-1.2076127910346512E-3</v>
      </c>
      <c r="D506" s="1">
        <v>18484.099999999999</v>
      </c>
      <c r="E506" s="17">
        <v>1.1871E-2</v>
      </c>
      <c r="F506" s="3">
        <v>12888.15</v>
      </c>
      <c r="G506" s="16">
        <f t="shared" si="28"/>
        <v>-8.6901533579286649E-4</v>
      </c>
      <c r="H506" s="1"/>
      <c r="I506" s="1"/>
      <c r="L506" s="120"/>
    </row>
    <row r="507" spans="1:12">
      <c r="A507" s="8">
        <v>44889</v>
      </c>
      <c r="B507" s="3">
        <v>1035.0999999999999</v>
      </c>
      <c r="C507" s="16">
        <f t="shared" si="27"/>
        <v>1.7147349285117519E-2</v>
      </c>
      <c r="D507" s="1">
        <v>18267.25</v>
      </c>
      <c r="E507" s="17">
        <v>1.263E-3</v>
      </c>
      <c r="F507" s="3">
        <v>12876.95</v>
      </c>
      <c r="G507" s="16">
        <f t="shared" si="28"/>
        <v>-3.1529205285413253E-3</v>
      </c>
      <c r="H507" s="1"/>
      <c r="I507" s="1"/>
      <c r="L507" s="120"/>
    </row>
    <row r="508" spans="1:12">
      <c r="A508" s="8">
        <v>44888</v>
      </c>
      <c r="B508" s="3">
        <v>1017.65</v>
      </c>
      <c r="C508" s="16">
        <f t="shared" si="27"/>
        <v>7.474507474507508E-3</v>
      </c>
      <c r="D508" s="1">
        <v>18244.2</v>
      </c>
      <c r="E508" s="17">
        <v>4.6389999999999999E-3</v>
      </c>
      <c r="F508" s="3">
        <v>12836.35</v>
      </c>
      <c r="G508" s="16">
        <f t="shared" si="28"/>
        <v>-3.2524822087275362E-3</v>
      </c>
      <c r="H508" s="1"/>
      <c r="I508" s="1"/>
      <c r="L508" s="120"/>
    </row>
    <row r="509" spans="1:12">
      <c r="A509" s="8">
        <v>44887</v>
      </c>
      <c r="B509" s="3">
        <v>1010.1</v>
      </c>
      <c r="C509" s="16">
        <f t="shared" si="27"/>
        <v>6.9281762448287765E-3</v>
      </c>
      <c r="D509" s="1">
        <v>18159.95</v>
      </c>
      <c r="E509" s="17">
        <v>-8.0700000000000008E-3</v>
      </c>
      <c r="F509" s="3">
        <v>12794.6</v>
      </c>
      <c r="G509" s="16">
        <f t="shared" si="28"/>
        <v>5.2209525893736064E-3</v>
      </c>
      <c r="H509" s="1"/>
      <c r="I509" s="1"/>
      <c r="L509" s="120"/>
    </row>
    <row r="510" spans="1:12">
      <c r="A510" s="8">
        <v>44886</v>
      </c>
      <c r="B510" s="3">
        <v>1003.15</v>
      </c>
      <c r="C510" s="16">
        <f t="shared" si="27"/>
        <v>-6.388668779714779E-3</v>
      </c>
      <c r="D510" s="1">
        <v>18307.650000000001</v>
      </c>
      <c r="E510" s="17">
        <v>-1.98E-3</v>
      </c>
      <c r="F510" s="3">
        <v>12861.4</v>
      </c>
      <c r="G510" s="16">
        <f t="shared" si="28"/>
        <v>6.7527640847808712E-3</v>
      </c>
      <c r="H510" s="1"/>
      <c r="I510" s="1"/>
      <c r="L510" s="120"/>
    </row>
    <row r="511" spans="1:12">
      <c r="A511" s="8">
        <v>44883</v>
      </c>
      <c r="B511" s="3">
        <v>1009.6</v>
      </c>
      <c r="C511" s="16">
        <f t="shared" si="27"/>
        <v>-3.7005970296540847E-3</v>
      </c>
      <c r="D511" s="1">
        <v>18343.900000000001</v>
      </c>
      <c r="E511" s="17">
        <v>-3.5699999999999998E-3</v>
      </c>
      <c r="F511" s="3">
        <v>12948.25</v>
      </c>
      <c r="G511" s="16">
        <f t="shared" si="28"/>
        <v>3.8808333172435372E-3</v>
      </c>
      <c r="H511" s="1"/>
      <c r="I511" s="1"/>
      <c r="L511" s="120"/>
    </row>
    <row r="512" spans="1:12">
      <c r="A512" s="8">
        <v>44882</v>
      </c>
      <c r="B512" s="3">
        <v>1013.35</v>
      </c>
      <c r="C512" s="16">
        <f t="shared" si="27"/>
        <v>-5.2029647081921482E-3</v>
      </c>
      <c r="D512" s="1">
        <v>18409.650000000001</v>
      </c>
      <c r="E512" s="17">
        <v>3.4000000000000002E-4</v>
      </c>
      <c r="F512" s="3">
        <v>12998.5</v>
      </c>
      <c r="G512" s="16">
        <f t="shared" si="28"/>
        <v>2.9541870215794575E-3</v>
      </c>
      <c r="H512" s="1"/>
      <c r="I512" s="1"/>
      <c r="L512" s="120"/>
    </row>
    <row r="513" spans="1:12">
      <c r="A513" s="8">
        <v>44881</v>
      </c>
      <c r="B513" s="3">
        <v>1018.65</v>
      </c>
      <c r="C513" s="16">
        <f t="shared" si="27"/>
        <v>2.5589291865557584E-3</v>
      </c>
      <c r="D513" s="1">
        <v>18403.400000000001</v>
      </c>
      <c r="E513" s="17">
        <v>4.0509999999999999E-3</v>
      </c>
      <c r="F513" s="3">
        <v>13036.9</v>
      </c>
      <c r="G513" s="16">
        <f t="shared" si="28"/>
        <v>-1.3078262470371804E-3</v>
      </c>
      <c r="H513" s="1"/>
      <c r="I513" s="1"/>
      <c r="L513" s="120"/>
    </row>
    <row r="514" spans="1:12">
      <c r="A514" s="8">
        <v>44880</v>
      </c>
      <c r="B514" s="3">
        <v>1016.05</v>
      </c>
      <c r="C514" s="16">
        <f t="shared" si="27"/>
        <v>-8.3587373389715225E-4</v>
      </c>
      <c r="D514" s="1">
        <v>18329.150000000001</v>
      </c>
      <c r="E514" s="17">
        <v>-1.1199999999999999E-3</v>
      </c>
      <c r="F514" s="3">
        <v>13019.85</v>
      </c>
      <c r="G514" s="16">
        <f t="shared" si="28"/>
        <v>-3.2258436157106551E-4</v>
      </c>
      <c r="H514" s="1"/>
      <c r="I514" s="1"/>
      <c r="L514" s="120"/>
    </row>
    <row r="515" spans="1:12">
      <c r="A515" s="8">
        <v>44879</v>
      </c>
      <c r="B515" s="3">
        <v>1016.9</v>
      </c>
      <c r="C515" s="16">
        <f t="shared" si="27"/>
        <v>3.3052143456169247E-3</v>
      </c>
      <c r="D515" s="1">
        <v>18349.7</v>
      </c>
      <c r="E515" s="17">
        <v>1.7833000000000002E-2</v>
      </c>
      <c r="F515" s="3">
        <v>13015.65</v>
      </c>
      <c r="G515" s="16">
        <f t="shared" si="28"/>
        <v>-2.5008355326087139E-3</v>
      </c>
      <c r="H515" s="1"/>
      <c r="I515" s="1"/>
      <c r="L515" s="120"/>
    </row>
    <row r="516" spans="1:12">
      <c r="A516" s="8">
        <v>44876</v>
      </c>
      <c r="B516" s="3">
        <v>1013.55</v>
      </c>
      <c r="C516" s="16">
        <f t="shared" si="27"/>
        <v>2.8694404591105283E-3</v>
      </c>
      <c r="D516" s="1">
        <v>18028.2</v>
      </c>
      <c r="E516" s="17">
        <v>1.7833000000000002E-2</v>
      </c>
      <c r="F516" s="3">
        <v>12983.1</v>
      </c>
      <c r="G516" s="16">
        <f>M517/F516-1</f>
        <v>-1</v>
      </c>
      <c r="H516" s="1"/>
      <c r="I516" s="1"/>
      <c r="J516" s="1"/>
      <c r="L516" s="120"/>
    </row>
    <row r="517" spans="1:12">
      <c r="A517" s="8">
        <v>44875</v>
      </c>
      <c r="B517" s="3">
        <v>1010.65</v>
      </c>
      <c r="C517" s="16" t="e">
        <f>B517/D518-1</f>
        <v>#DIV/0!</v>
      </c>
    </row>
  </sheetData>
  <mergeCells count="12">
    <mergeCell ref="AL12:AN12"/>
    <mergeCell ref="AK8:AT11"/>
    <mergeCell ref="F7:G7"/>
    <mergeCell ref="J7:L7"/>
    <mergeCell ref="M7:O7"/>
    <mergeCell ref="I25:K26"/>
    <mergeCell ref="A1:C1"/>
    <mergeCell ref="A3:C3"/>
    <mergeCell ref="A4:D4"/>
    <mergeCell ref="A2:D2"/>
    <mergeCell ref="B7:C7"/>
    <mergeCell ref="D7:E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9965E-1854-4197-A7EB-39FE7FD73DFC}">
  <dimension ref="A1:AZ517"/>
  <sheetViews>
    <sheetView topLeftCell="H91" workbookViewId="0">
      <selection activeCell="I35" sqref="I35"/>
    </sheetView>
  </sheetViews>
  <sheetFormatPr defaultRowHeight="15" customHeight="1"/>
  <cols>
    <col min="1" max="1" width="11.140625" bestFit="1" customWidth="1"/>
    <col min="2" max="2" width="12.7109375" customWidth="1"/>
    <col min="3" max="3" width="10.28515625" bestFit="1" customWidth="1"/>
    <col min="4" max="4" width="12.5703125" bestFit="1" customWidth="1"/>
    <col min="6" max="6" width="12.5703125" bestFit="1" customWidth="1"/>
    <col min="7" max="7" width="10.5703125" bestFit="1" customWidth="1"/>
    <col min="8" max="8" width="32.140625" customWidth="1"/>
    <col min="9" max="9" width="26" customWidth="1"/>
    <col min="10" max="10" width="38.28515625" customWidth="1"/>
    <col min="11" max="11" width="23.5703125" customWidth="1"/>
    <col min="12" max="12" width="20.140625" customWidth="1"/>
    <col min="16" max="16" width="12.85546875" customWidth="1"/>
    <col min="17" max="17" width="19.42578125" customWidth="1"/>
    <col min="18" max="18" width="14.42578125" customWidth="1"/>
    <col min="19" max="19" width="14.85546875" customWidth="1"/>
    <col min="20" max="20" width="16.85546875" customWidth="1"/>
    <col min="23" max="23" width="12.85546875" customWidth="1"/>
    <col min="27" max="27" width="12" customWidth="1"/>
    <col min="31" max="31" width="11.7109375" customWidth="1"/>
    <col min="35" max="35" width="12.85546875" customWidth="1"/>
    <col min="42" max="42" width="27.28515625" customWidth="1"/>
    <col min="43" max="43" width="18.140625" customWidth="1"/>
    <col min="48" max="48" width="25.5703125" customWidth="1"/>
    <col min="49" max="49" width="13.28515625" customWidth="1"/>
    <col min="50" max="50" width="15.85546875" customWidth="1"/>
    <col min="51" max="51" width="18" customWidth="1"/>
  </cols>
  <sheetData>
    <row r="1" spans="1:52" ht="15" customHeight="1">
      <c r="A1" s="9" t="s">
        <v>187</v>
      </c>
      <c r="O1" s="1" t="s">
        <v>51</v>
      </c>
      <c r="P1" s="1"/>
      <c r="Q1" s="1"/>
      <c r="R1" s="1"/>
      <c r="S1" s="1"/>
      <c r="T1" s="1"/>
      <c r="W1" s="1"/>
      <c r="X1" s="1"/>
      <c r="Y1" s="1"/>
      <c r="Z1" s="1"/>
      <c r="AA1" s="1"/>
      <c r="AB1" s="1"/>
      <c r="AC1" s="1"/>
      <c r="AD1" s="1"/>
      <c r="AE1" s="1"/>
      <c r="AF1" s="1"/>
      <c r="AG1" s="1"/>
      <c r="AH1" s="1"/>
      <c r="AI1" s="1"/>
      <c r="AJ1" s="1"/>
      <c r="AK1" s="1"/>
    </row>
    <row r="2" spans="1:52">
      <c r="A2" s="4" t="s">
        <v>160</v>
      </c>
      <c r="G2" s="74"/>
      <c r="H2" s="74"/>
      <c r="I2" s="1" t="s">
        <v>50</v>
      </c>
      <c r="J2" s="72"/>
      <c r="K2" s="72"/>
      <c r="L2" s="72"/>
      <c r="O2" s="1" t="s">
        <v>54</v>
      </c>
      <c r="P2" s="1"/>
      <c r="Q2" s="1"/>
      <c r="R2" s="1"/>
      <c r="S2" s="1"/>
      <c r="T2" s="1"/>
      <c r="W2" s="1"/>
      <c r="X2" s="213" t="s">
        <v>55</v>
      </c>
      <c r="Y2" s="213"/>
      <c r="Z2" s="1"/>
      <c r="AA2" s="1"/>
      <c r="AB2" s="1"/>
      <c r="AC2" s="1"/>
      <c r="AD2" s="1"/>
      <c r="AE2" s="1"/>
      <c r="AF2" s="1"/>
      <c r="AG2" s="1"/>
      <c r="AH2" s="1"/>
      <c r="AI2" s="1"/>
      <c r="AJ2" s="1"/>
      <c r="AK2" s="1"/>
      <c r="AP2" s="196" t="s">
        <v>56</v>
      </c>
      <c r="AQ2" s="196"/>
    </row>
    <row r="3" spans="1:52">
      <c r="A3" s="4" t="s">
        <v>168</v>
      </c>
      <c r="G3" s="73"/>
      <c r="H3" s="73"/>
      <c r="I3" s="5" t="s">
        <v>53</v>
      </c>
      <c r="J3" s="73"/>
      <c r="K3" s="73"/>
      <c r="L3" s="73"/>
      <c r="O3" s="5" t="s">
        <v>59</v>
      </c>
      <c r="P3" s="5"/>
      <c r="Q3" s="5"/>
      <c r="R3" s="5"/>
      <c r="S3" s="5"/>
      <c r="T3" s="1"/>
      <c r="W3" s="1"/>
      <c r="X3" s="1"/>
      <c r="Y3" s="1"/>
      <c r="Z3" s="1"/>
      <c r="AA3" s="1"/>
      <c r="AB3" s="1"/>
      <c r="AC3" s="1"/>
      <c r="AD3" s="1"/>
      <c r="AE3" s="1"/>
      <c r="AF3" s="1"/>
      <c r="AG3" s="1"/>
      <c r="AH3" s="1"/>
      <c r="AI3" s="1"/>
      <c r="AJ3" s="1"/>
      <c r="AK3" s="1"/>
      <c r="AP3" s="228" t="s">
        <v>188</v>
      </c>
      <c r="AQ3" s="202"/>
      <c r="AR3" s="229"/>
      <c r="AS3" s="229"/>
      <c r="AT3" s="229"/>
      <c r="AU3" s="229"/>
      <c r="AV3" s="229"/>
      <c r="AW3" s="229"/>
      <c r="AX3" s="229"/>
      <c r="AY3" s="229"/>
      <c r="AZ3" s="230"/>
    </row>
    <row r="4" spans="1:52">
      <c r="A4" s="5" t="s">
        <v>189</v>
      </c>
      <c r="I4" s="1" t="s">
        <v>58</v>
      </c>
      <c r="O4" s="1" t="s">
        <v>62</v>
      </c>
      <c r="P4" s="1"/>
      <c r="Q4" s="1"/>
      <c r="R4" s="1"/>
      <c r="S4" s="1"/>
      <c r="T4" s="1"/>
      <c r="W4" s="5" t="s">
        <v>63</v>
      </c>
      <c r="X4" s="1"/>
      <c r="Y4" s="1"/>
      <c r="Z4" s="1"/>
      <c r="AA4" s="5" t="s">
        <v>64</v>
      </c>
      <c r="AB4" s="1"/>
      <c r="AC4" s="1"/>
      <c r="AD4" s="1"/>
      <c r="AE4" s="5" t="s">
        <v>65</v>
      </c>
      <c r="AF4" s="1"/>
      <c r="AG4" s="1"/>
      <c r="AH4" s="1"/>
      <c r="AI4" s="5" t="s">
        <v>66</v>
      </c>
      <c r="AJ4" s="1"/>
      <c r="AK4" s="1"/>
      <c r="AP4" s="231"/>
      <c r="AQ4" s="232"/>
      <c r="AR4" s="232"/>
      <c r="AS4" s="232"/>
      <c r="AT4" s="232"/>
      <c r="AU4" s="232"/>
      <c r="AV4" s="232"/>
      <c r="AW4" s="232"/>
      <c r="AX4" s="232"/>
      <c r="AY4" s="232"/>
      <c r="AZ4" s="233"/>
    </row>
    <row r="5" spans="1:52">
      <c r="A5" s="5"/>
      <c r="I5" s="1"/>
      <c r="O5" s="1"/>
      <c r="P5" s="1"/>
      <c r="Q5" s="1"/>
      <c r="R5" s="1"/>
      <c r="S5" s="1"/>
      <c r="T5" s="1"/>
      <c r="W5" s="1"/>
      <c r="X5" s="1"/>
      <c r="Y5" s="1"/>
      <c r="Z5" s="1"/>
      <c r="AA5" s="1"/>
      <c r="AB5" s="1"/>
      <c r="AC5" s="1"/>
      <c r="AD5" s="1"/>
      <c r="AE5" s="1"/>
      <c r="AF5" s="1"/>
      <c r="AG5" s="1"/>
      <c r="AH5" s="1"/>
      <c r="AI5" s="1"/>
      <c r="AJ5" s="1"/>
      <c r="AK5" s="1"/>
    </row>
    <row r="6" spans="1:52">
      <c r="A6" s="5"/>
      <c r="I6" s="1"/>
      <c r="O6" s="5"/>
      <c r="P6" s="1"/>
      <c r="Q6" s="1"/>
      <c r="R6" s="1"/>
      <c r="S6" s="1"/>
      <c r="T6" s="1"/>
      <c r="W6" s="1"/>
      <c r="X6" s="1"/>
      <c r="Y6" s="1"/>
      <c r="Z6" s="1"/>
      <c r="AA6" s="1"/>
      <c r="AB6" s="1"/>
      <c r="AC6" s="1"/>
      <c r="AD6" s="1"/>
      <c r="AE6" s="1"/>
      <c r="AF6" s="1"/>
      <c r="AG6" s="1"/>
      <c r="AH6" s="1"/>
      <c r="AI6" s="1"/>
      <c r="AJ6" s="1"/>
      <c r="AK6" s="1"/>
      <c r="AP6" s="4"/>
      <c r="AQ6" s="4"/>
      <c r="AV6" s="196" t="s">
        <v>68</v>
      </c>
      <c r="AW6" s="196"/>
      <c r="AX6" s="196"/>
    </row>
    <row r="7" spans="1:52" ht="30">
      <c r="B7" s="214" t="s">
        <v>190</v>
      </c>
      <c r="C7" s="214"/>
      <c r="D7" s="214" t="s">
        <v>73</v>
      </c>
      <c r="E7" s="214"/>
      <c r="F7" s="214" t="s">
        <v>191</v>
      </c>
      <c r="G7" s="214"/>
      <c r="I7" s="27" t="s">
        <v>72</v>
      </c>
      <c r="J7" s="27" t="s">
        <v>21</v>
      </c>
      <c r="K7" s="27" t="s">
        <v>73</v>
      </c>
      <c r="O7" s="27" t="s">
        <v>74</v>
      </c>
      <c r="P7" s="27" t="s">
        <v>75</v>
      </c>
      <c r="Q7" s="121" t="s">
        <v>192</v>
      </c>
      <c r="R7" s="121" t="s">
        <v>77</v>
      </c>
      <c r="S7" s="121" t="s">
        <v>78</v>
      </c>
      <c r="T7" s="121" t="s">
        <v>79</v>
      </c>
      <c r="W7" s="5" t="s">
        <v>80</v>
      </c>
      <c r="X7" s="5" t="s">
        <v>81</v>
      </c>
      <c r="Y7" s="5" t="s">
        <v>82</v>
      </c>
      <c r="Z7" s="5"/>
      <c r="AA7" s="5" t="s">
        <v>80</v>
      </c>
      <c r="AB7" s="5" t="s">
        <v>81</v>
      </c>
      <c r="AC7" s="5" t="s">
        <v>82</v>
      </c>
      <c r="AD7" s="5"/>
      <c r="AE7" s="5" t="s">
        <v>80</v>
      </c>
      <c r="AF7" s="5" t="s">
        <v>81</v>
      </c>
      <c r="AG7" s="5" t="s">
        <v>82</v>
      </c>
      <c r="AH7" s="5"/>
      <c r="AI7" s="5" t="s">
        <v>80</v>
      </c>
      <c r="AJ7" s="5" t="s">
        <v>83</v>
      </c>
      <c r="AK7" s="5" t="s">
        <v>84</v>
      </c>
      <c r="AP7" s="70" t="s">
        <v>85</v>
      </c>
      <c r="AQ7" s="70" t="s">
        <v>86</v>
      </c>
      <c r="AR7" s="4"/>
      <c r="AS7" s="4"/>
      <c r="AT7" s="4"/>
      <c r="AU7" s="4"/>
      <c r="AV7" s="71" t="s">
        <v>87</v>
      </c>
      <c r="AW7" s="71" t="s">
        <v>88</v>
      </c>
      <c r="AX7" s="71" t="s">
        <v>89</v>
      </c>
      <c r="AY7" s="70" t="s">
        <v>90</v>
      </c>
      <c r="AZ7" s="4"/>
    </row>
    <row r="8" spans="1:52">
      <c r="A8" s="56" t="s">
        <v>75</v>
      </c>
      <c r="B8" s="56" t="s">
        <v>91</v>
      </c>
      <c r="C8" s="155" t="s">
        <v>82</v>
      </c>
      <c r="D8" s="57" t="s">
        <v>83</v>
      </c>
      <c r="E8" s="155" t="s">
        <v>179</v>
      </c>
      <c r="F8" s="57" t="s">
        <v>83</v>
      </c>
      <c r="G8" s="155" t="s">
        <v>179</v>
      </c>
      <c r="I8" s="28" t="s">
        <v>92</v>
      </c>
      <c r="J8" s="28">
        <f>_xlfn.STDEV.S(C9:C516)</f>
        <v>1.2157415501399095E-2</v>
      </c>
      <c r="K8" s="28">
        <f>_xlfn.STDEV.S(E9:E516)</f>
        <v>7.5730403029228991E-3</v>
      </c>
      <c r="L8" s="1"/>
      <c r="O8" s="28" t="s">
        <v>93</v>
      </c>
      <c r="P8" s="122">
        <v>45243</v>
      </c>
      <c r="Q8" s="154">
        <v>-5.4864902059727676E-3</v>
      </c>
      <c r="R8" s="154">
        <v>5.1999999999999998E-2</v>
      </c>
      <c r="S8" s="154">
        <v>-1.1999999999999999E-3</v>
      </c>
      <c r="T8" s="123">
        <f>Q8-S8</f>
        <v>-4.2864902059727679E-3</v>
      </c>
      <c r="W8" s="2">
        <v>45623</v>
      </c>
      <c r="X8" s="3">
        <f>B9</f>
        <v>1199.9000000000001</v>
      </c>
      <c r="Y8" s="1">
        <f>X8/X9-1</f>
        <v>-0.1984635938543754</v>
      </c>
      <c r="Z8" s="1"/>
      <c r="AA8" s="2">
        <v>45433</v>
      </c>
      <c r="AB8" s="3">
        <f>B139</f>
        <v>1155.96</v>
      </c>
      <c r="AC8" s="1">
        <f>AB8/AB9-1</f>
        <v>-5.4718149907081459E-3</v>
      </c>
      <c r="AD8" s="1"/>
      <c r="AE8" s="2">
        <v>45342</v>
      </c>
      <c r="AF8" s="3">
        <f>B198</f>
        <v>1269.83</v>
      </c>
      <c r="AG8" s="1">
        <f>AF8/AF9-1</f>
        <v>-4.2111041405270555E-3</v>
      </c>
      <c r="AH8" s="1"/>
      <c r="AI8" s="2">
        <v>45280</v>
      </c>
      <c r="AJ8" s="3">
        <f>B240</f>
        <v>1110.9000000000001</v>
      </c>
      <c r="AK8" s="1">
        <f>AJ8/AJ9-1</f>
        <v>-4.4182357527579041E-3</v>
      </c>
      <c r="AP8" s="154" t="s">
        <v>94</v>
      </c>
      <c r="AQ8" s="68">
        <v>27916.400000000001</v>
      </c>
      <c r="AV8" s="154" t="s">
        <v>95</v>
      </c>
      <c r="AW8" s="69">
        <v>0</v>
      </c>
      <c r="AX8" s="69">
        <v>0.3</v>
      </c>
      <c r="AY8" s="69">
        <v>1</v>
      </c>
    </row>
    <row r="9" spans="1:52" ht="21" customHeight="1">
      <c r="A9" s="50">
        <v>45623</v>
      </c>
      <c r="B9" s="51">
        <v>1199.9000000000001</v>
      </c>
      <c r="C9" s="52">
        <f>(B9-B10)/B10</f>
        <v>-7.239482066768708E-3</v>
      </c>
      <c r="D9" s="53">
        <v>24274.9</v>
      </c>
      <c r="E9" s="54">
        <f>(D9-D10)/D10</f>
        <v>3.3230692926078842E-3</v>
      </c>
      <c r="F9" s="55">
        <v>21828.6</v>
      </c>
      <c r="G9" s="54">
        <f>(F9-F10)/F10</f>
        <v>-6.0628137557344683E-3</v>
      </c>
      <c r="I9" s="28" t="s">
        <v>96</v>
      </c>
      <c r="J9" s="28">
        <f>J8*SQRT(252)</f>
        <v>0.19299298801190182</v>
      </c>
      <c r="K9" s="28">
        <f t="shared" ref="K9" si="0">K8*SQRT(252)</f>
        <v>0.12021828786121948</v>
      </c>
      <c r="L9" s="7"/>
      <c r="O9" s="28" t="s">
        <v>97</v>
      </c>
      <c r="P9" s="122">
        <v>45244</v>
      </c>
      <c r="Q9" s="154">
        <v>1.8450695129922239E-5</v>
      </c>
      <c r="R9" s="154">
        <v>-4.1999999999999997E-3</v>
      </c>
      <c r="S9" s="154">
        <v>1.1999999999999999E-3</v>
      </c>
      <c r="T9" s="123">
        <f t="shared" ref="T9:T17" si="1">Q9-S9</f>
        <v>-1.1815493048700776E-3</v>
      </c>
      <c r="W9" s="2">
        <v>45622</v>
      </c>
      <c r="X9" s="3">
        <v>1497</v>
      </c>
      <c r="Y9" s="1">
        <f>X9/X10-1</f>
        <v>-6.9322365584265633E-3</v>
      </c>
      <c r="Z9" s="1"/>
      <c r="AA9" s="2">
        <v>45430</v>
      </c>
      <c r="AB9" s="3">
        <f>B140</f>
        <v>1162.32</v>
      </c>
      <c r="AC9" s="1">
        <f>AB9/AB10-1</f>
        <v>2.0777474114370698E-3</v>
      </c>
      <c r="AD9" s="1"/>
      <c r="AE9" s="2">
        <v>45341</v>
      </c>
      <c r="AF9" s="3">
        <f>B199</f>
        <v>1275.2</v>
      </c>
      <c r="AG9" s="1">
        <f>AF9/AF10-1</f>
        <v>-6.4125039932056982E-3</v>
      </c>
      <c r="AH9" s="1"/>
      <c r="AI9" s="2">
        <v>45279</v>
      </c>
      <c r="AJ9" s="3">
        <f>B241</f>
        <v>1115.83</v>
      </c>
      <c r="AK9" s="1">
        <f>AJ9/AJ10-1</f>
        <v>-1.0341555135744085E-2</v>
      </c>
      <c r="AP9" s="154" t="s">
        <v>193</v>
      </c>
      <c r="AQ9" s="69">
        <v>0.35</v>
      </c>
      <c r="AV9" s="154" t="s">
        <v>99</v>
      </c>
      <c r="AW9" s="154">
        <v>0</v>
      </c>
      <c r="AX9" s="154">
        <v>73.28</v>
      </c>
      <c r="AY9" s="154">
        <v>244.27</v>
      </c>
    </row>
    <row r="10" spans="1:52" ht="18" customHeight="1">
      <c r="A10" s="50">
        <v>45622</v>
      </c>
      <c r="B10" s="51">
        <v>1208.6500000000001</v>
      </c>
      <c r="C10" s="52">
        <f t="shared" ref="C10:C73" si="2">(B10-B11)/B11</f>
        <v>-5.3750103365572113E-4</v>
      </c>
      <c r="D10" s="53">
        <v>24194.5</v>
      </c>
      <c r="E10" s="54">
        <f t="shared" ref="E10:E73" si="3">(D10-D11)/D11</f>
        <v>-1.1312077087264605E-3</v>
      </c>
      <c r="F10" s="55">
        <v>21961.75</v>
      </c>
      <c r="G10" s="54">
        <f t="shared" ref="G10:G73" si="4">(F10-F11)/F11</f>
        <v>-9.7082344135040171E-3</v>
      </c>
      <c r="I10" s="23"/>
      <c r="J10" s="23"/>
      <c r="K10" s="23"/>
      <c r="L10" s="7"/>
      <c r="O10" s="28" t="s">
        <v>100</v>
      </c>
      <c r="P10" s="122">
        <v>45245</v>
      </c>
      <c r="Q10" s="154">
        <v>2.2933790902130002E-2</v>
      </c>
      <c r="R10" s="154">
        <v>1.9E-3</v>
      </c>
      <c r="S10" s="154">
        <v>8.6999999999999994E-3</v>
      </c>
      <c r="T10" s="123">
        <f t="shared" si="1"/>
        <v>1.4233790902130002E-2</v>
      </c>
      <c r="W10" s="2">
        <v>45621</v>
      </c>
      <c r="X10" s="3">
        <v>1507.45</v>
      </c>
      <c r="Y10" s="1">
        <f t="shared" ref="Y10:Y72" si="5">X10/X11-1</f>
        <v>1.4946978623127549E-2</v>
      </c>
      <c r="Z10" s="1"/>
      <c r="AA10" s="2">
        <v>45429</v>
      </c>
      <c r="AB10" s="3">
        <f t="shared" ref="AB10:AB39" si="6">B141</f>
        <v>1159.9100000000001</v>
      </c>
      <c r="AC10" s="1">
        <f t="shared" ref="AC10:AC72" si="7">AB10/AB11-1</f>
        <v>-8.6917133871187158E-3</v>
      </c>
      <c r="AD10" s="1"/>
      <c r="AE10" s="2">
        <v>45338</v>
      </c>
      <c r="AF10" s="3">
        <f t="shared" ref="AF10:AF39" si="8">B200</f>
        <v>1283.43</v>
      </c>
      <c r="AG10" s="1">
        <f t="shared" ref="AG10:AG70" si="9">AF10/AF11-1</f>
        <v>1.5829923304021554E-2</v>
      </c>
      <c r="AH10" s="1"/>
      <c r="AI10" s="2">
        <v>45278</v>
      </c>
      <c r="AJ10" s="3">
        <f t="shared" ref="AJ10:AJ29" si="10">B242</f>
        <v>1127.49</v>
      </c>
      <c r="AK10" s="1">
        <f t="shared" ref="AK10:AK28" si="11">AJ10/AJ11-1</f>
        <v>8.2989778306399309E-3</v>
      </c>
      <c r="AP10" s="154" t="s">
        <v>101</v>
      </c>
      <c r="AQ10" s="68">
        <v>9770.74</v>
      </c>
      <c r="AV10" s="154" t="s">
        <v>102</v>
      </c>
      <c r="AW10" s="68">
        <v>7930</v>
      </c>
      <c r="AX10" s="68">
        <v>7856.72</v>
      </c>
      <c r="AY10" s="68">
        <v>7685.73</v>
      </c>
    </row>
    <row r="11" spans="1:52">
      <c r="A11" s="50">
        <v>45621</v>
      </c>
      <c r="B11" s="51">
        <v>1209.3</v>
      </c>
      <c r="C11" s="52">
        <f t="shared" si="2"/>
        <v>-4.2406027419820422E-3</v>
      </c>
      <c r="D11" s="53">
        <v>24221.9</v>
      </c>
      <c r="E11" s="54">
        <f t="shared" si="3"/>
        <v>1.316127952817666E-2</v>
      </c>
      <c r="F11" s="55">
        <v>22177.05</v>
      </c>
      <c r="G11" s="54">
        <f t="shared" si="4"/>
        <v>9.7896143574939497E-3</v>
      </c>
      <c r="J11" s="23"/>
      <c r="K11" s="23"/>
      <c r="L11" s="7"/>
      <c r="O11" s="28" t="s">
        <v>103</v>
      </c>
      <c r="P11" s="122">
        <v>45246</v>
      </c>
      <c r="Q11" s="154">
        <v>1.2138702259097297E-2</v>
      </c>
      <c r="R11" s="154">
        <v>4.5999999999999999E-3</v>
      </c>
      <c r="S11" s="154">
        <v>9.7999999999999997E-3</v>
      </c>
      <c r="T11" s="123">
        <f t="shared" si="1"/>
        <v>2.3387022590972972E-3</v>
      </c>
      <c r="W11" s="2">
        <v>45618</v>
      </c>
      <c r="X11" s="3">
        <v>1485.25</v>
      </c>
      <c r="Y11" s="1">
        <f t="shared" si="5"/>
        <v>1.6598220396988328E-2</v>
      </c>
      <c r="Z11" s="1"/>
      <c r="AA11" s="2">
        <v>45428</v>
      </c>
      <c r="AB11" s="3">
        <f t="shared" si="6"/>
        <v>1170.08</v>
      </c>
      <c r="AC11" s="1">
        <f t="shared" si="7"/>
        <v>-4.1872340425532784E-3</v>
      </c>
      <c r="AD11" s="1"/>
      <c r="AE11" s="2">
        <v>45337</v>
      </c>
      <c r="AF11" s="3">
        <f t="shared" si="8"/>
        <v>1263.43</v>
      </c>
      <c r="AG11" s="1">
        <f t="shared" si="9"/>
        <v>1.0315626174502102E-2</v>
      </c>
      <c r="AH11" s="1"/>
      <c r="AI11" s="2">
        <v>45275</v>
      </c>
      <c r="AJ11" s="3">
        <f t="shared" si="10"/>
        <v>1118.21</v>
      </c>
      <c r="AK11" s="1">
        <f t="shared" si="11"/>
        <v>2.8625356698785964E-4</v>
      </c>
      <c r="AP11" s="154" t="s">
        <v>104</v>
      </c>
      <c r="AQ11" s="130">
        <v>2.5000000000000001E-2</v>
      </c>
      <c r="AV11" s="154" t="s">
        <v>105</v>
      </c>
      <c r="AW11" s="67">
        <v>0.28410000000000002</v>
      </c>
      <c r="AX11" s="67">
        <v>0.28149999999999997</v>
      </c>
      <c r="AY11" s="67">
        <v>0.27529999999999999</v>
      </c>
    </row>
    <row r="12" spans="1:52" ht="30">
      <c r="A12" s="50">
        <v>45618</v>
      </c>
      <c r="B12" s="51">
        <v>1214.45</v>
      </c>
      <c r="C12" s="52">
        <f t="shared" si="2"/>
        <v>1.5978583678420661E-2</v>
      </c>
      <c r="D12" s="53">
        <v>23907.25</v>
      </c>
      <c r="E12" s="54">
        <f t="shared" si="3"/>
        <v>2.3869481239748285E-2</v>
      </c>
      <c r="F12" s="55">
        <v>21962.05</v>
      </c>
      <c r="G12" s="54">
        <f t="shared" si="4"/>
        <v>1.0209244667687856E-2</v>
      </c>
      <c r="I12" s="28" t="s">
        <v>194</v>
      </c>
      <c r="J12" s="28">
        <f>SLOPE(C9:C515,G9:G515)</f>
        <v>0.56491596350475293</v>
      </c>
      <c r="K12" s="23"/>
      <c r="L12" s="7"/>
      <c r="O12" s="28" t="s">
        <v>107</v>
      </c>
      <c r="P12" s="122">
        <v>45247</v>
      </c>
      <c r="Q12" s="154">
        <v>-1.3187087346633445E-3</v>
      </c>
      <c r="R12" s="154">
        <v>-1.6999999999999999E-3</v>
      </c>
      <c r="S12" s="154">
        <v>1E-4</v>
      </c>
      <c r="T12" s="123">
        <f t="shared" si="1"/>
        <v>-1.4187087346633446E-3</v>
      </c>
      <c r="W12" s="2">
        <v>45617</v>
      </c>
      <c r="X12" s="3">
        <v>1461</v>
      </c>
      <c r="Y12" s="1">
        <f t="shared" si="5"/>
        <v>-6.1224489795917991E-3</v>
      </c>
      <c r="Z12" s="1"/>
      <c r="AA12" s="2">
        <v>45427</v>
      </c>
      <c r="AB12" s="3">
        <f t="shared" si="6"/>
        <v>1175</v>
      </c>
      <c r="AC12" s="1">
        <f t="shared" si="7"/>
        <v>1.0564340239913594E-3</v>
      </c>
      <c r="AD12" s="1"/>
      <c r="AE12" s="2">
        <v>45336</v>
      </c>
      <c r="AF12" s="3">
        <f t="shared" si="8"/>
        <v>1250.53</v>
      </c>
      <c r="AG12" s="1">
        <f t="shared" si="9"/>
        <v>-9.107831936533417E-4</v>
      </c>
      <c r="AH12" s="1"/>
      <c r="AI12" s="2">
        <v>45274</v>
      </c>
      <c r="AJ12" s="3">
        <f t="shared" si="10"/>
        <v>1117.8900000000001</v>
      </c>
      <c r="AK12" s="1">
        <f t="shared" si="11"/>
        <v>2.888747342262743E-3</v>
      </c>
      <c r="AP12" s="154" t="s">
        <v>108</v>
      </c>
      <c r="AQ12" s="154">
        <v>244.27</v>
      </c>
      <c r="AV12" s="154" t="s">
        <v>109</v>
      </c>
      <c r="AW12" s="68">
        <v>5577.9</v>
      </c>
      <c r="AX12" s="68">
        <v>5522.94</v>
      </c>
      <c r="AY12" s="68">
        <v>5394.7</v>
      </c>
    </row>
    <row r="13" spans="1:52">
      <c r="A13" s="50">
        <v>45617</v>
      </c>
      <c r="B13" s="51">
        <v>1195.3499999999999</v>
      </c>
      <c r="C13" s="52">
        <f t="shared" si="2"/>
        <v>-1.4916148172565936E-2</v>
      </c>
      <c r="D13" s="53">
        <v>23349.9</v>
      </c>
      <c r="E13" s="54">
        <f t="shared" si="3"/>
        <v>-7.1688245423814677E-3</v>
      </c>
      <c r="F13" s="55">
        <v>21740.1</v>
      </c>
      <c r="G13" s="54">
        <f t="shared" si="4"/>
        <v>-1.3206944785783357E-3</v>
      </c>
      <c r="I13" s="154" t="s">
        <v>195</v>
      </c>
      <c r="J13" s="154">
        <f>SLOPE(C11:C518,E11:E518)</f>
        <v>0.25387565521852401</v>
      </c>
      <c r="K13" s="23"/>
      <c r="L13" s="7"/>
      <c r="O13" s="27" t="s">
        <v>111</v>
      </c>
      <c r="P13" s="124">
        <v>45250</v>
      </c>
      <c r="Q13" s="154">
        <v>7.5479778378523387E-3</v>
      </c>
      <c r="R13" s="154">
        <v>-1.9E-3</v>
      </c>
      <c r="S13" s="154">
        <v>1.03E-2</v>
      </c>
      <c r="T13" s="123">
        <f t="shared" si="1"/>
        <v>-2.7520221621476614E-3</v>
      </c>
      <c r="W13" s="2">
        <v>45615</v>
      </c>
      <c r="X13" s="3">
        <v>1470</v>
      </c>
      <c r="Y13" s="1">
        <f t="shared" si="5"/>
        <v>4.098360655737654E-3</v>
      </c>
      <c r="Z13" s="1"/>
      <c r="AA13" s="2">
        <v>45426</v>
      </c>
      <c r="AB13" s="3">
        <f t="shared" si="6"/>
        <v>1173.76</v>
      </c>
      <c r="AC13" s="1">
        <f t="shared" si="7"/>
        <v>-6.7275389054844981E-3</v>
      </c>
      <c r="AD13" s="1"/>
      <c r="AE13" s="2">
        <v>45335</v>
      </c>
      <c r="AF13" s="3">
        <f t="shared" si="8"/>
        <v>1251.67</v>
      </c>
      <c r="AG13" s="1">
        <f t="shared" si="9"/>
        <v>-1.2154024639522532E-2</v>
      </c>
      <c r="AH13" s="1"/>
      <c r="AI13" s="2">
        <v>45273</v>
      </c>
      <c r="AJ13" s="3">
        <f t="shared" si="10"/>
        <v>1114.67</v>
      </c>
      <c r="AK13" s="1">
        <f t="shared" si="11"/>
        <v>-4.5189465317531097E-3</v>
      </c>
      <c r="AP13" s="154" t="s">
        <v>112</v>
      </c>
      <c r="AQ13" s="68">
        <v>7930</v>
      </c>
      <c r="AV13" s="154" t="s">
        <v>113</v>
      </c>
      <c r="AW13" s="67">
        <v>0.19980000000000001</v>
      </c>
      <c r="AX13" s="67">
        <v>0.19980000000000001</v>
      </c>
      <c r="AY13" s="67">
        <v>0.1933</v>
      </c>
    </row>
    <row r="14" spans="1:52">
      <c r="A14" s="50">
        <v>45615</v>
      </c>
      <c r="B14" s="51">
        <v>1213.45</v>
      </c>
      <c r="C14" s="52">
        <f t="shared" si="2"/>
        <v>1.6672950441958941E-2</v>
      </c>
      <c r="D14" s="53">
        <v>23518.5</v>
      </c>
      <c r="E14" s="54">
        <f t="shared" si="3"/>
        <v>2.7586148086877491E-3</v>
      </c>
      <c r="F14" s="55">
        <v>21768.85</v>
      </c>
      <c r="G14" s="54">
        <f t="shared" si="4"/>
        <v>1.042974542973369E-2</v>
      </c>
      <c r="I14" s="154" t="s">
        <v>196</v>
      </c>
      <c r="J14" s="67">
        <f>INTERCEPT(C11:C518,E11:E518)</f>
        <v>4.8634447742818346E-4</v>
      </c>
      <c r="K14" s="6"/>
      <c r="L14" s="7"/>
      <c r="O14" s="28" t="s">
        <v>114</v>
      </c>
      <c r="P14" s="122">
        <v>45251</v>
      </c>
      <c r="Q14" s="154">
        <v>3.2055539321167443E-3</v>
      </c>
      <c r="R14" s="154">
        <v>4.4999999999999997E-3</v>
      </c>
      <c r="S14" s="154">
        <v>6.3E-3</v>
      </c>
      <c r="T14" s="123">
        <f t="shared" si="1"/>
        <v>-3.0944460678832557E-3</v>
      </c>
      <c r="W14" s="2">
        <v>45614</v>
      </c>
      <c r="X14" s="3">
        <v>1464</v>
      </c>
      <c r="Y14" s="1">
        <f t="shared" si="5"/>
        <v>-2.4845134217011844E-2</v>
      </c>
      <c r="Z14" s="1"/>
      <c r="AA14" s="2">
        <v>45425</v>
      </c>
      <c r="AB14" s="3">
        <f t="shared" si="6"/>
        <v>1181.71</v>
      </c>
      <c r="AC14" s="1">
        <f t="shared" si="7"/>
        <v>-2.102685357203149E-3</v>
      </c>
      <c r="AD14" s="1"/>
      <c r="AE14" s="2">
        <v>45334</v>
      </c>
      <c r="AF14" s="3">
        <f t="shared" si="8"/>
        <v>1267.07</v>
      </c>
      <c r="AG14" s="1">
        <f t="shared" si="9"/>
        <v>2.9209757637937983E-4</v>
      </c>
      <c r="AH14" s="1"/>
      <c r="AI14" s="2">
        <v>45272</v>
      </c>
      <c r="AJ14" s="3">
        <f t="shared" si="10"/>
        <v>1119.73</v>
      </c>
      <c r="AK14" s="1">
        <f t="shared" si="11"/>
        <v>1.0522800906080043E-2</v>
      </c>
      <c r="AP14" s="154" t="s">
        <v>115</v>
      </c>
      <c r="AQ14" s="68">
        <v>5577.9</v>
      </c>
      <c r="AV14" s="154" t="s">
        <v>116</v>
      </c>
      <c r="AW14" s="68">
        <v>4543.3</v>
      </c>
      <c r="AX14" s="68">
        <v>4470.0200000000004</v>
      </c>
      <c r="AY14" s="68">
        <v>4299.03</v>
      </c>
    </row>
    <row r="15" spans="1:52">
      <c r="A15" s="50">
        <v>45614</v>
      </c>
      <c r="B15" s="51">
        <v>1193.55</v>
      </c>
      <c r="C15" s="52">
        <f t="shared" si="2"/>
        <v>-2.7023722181462533E-2</v>
      </c>
      <c r="D15" s="53">
        <v>23453.8</v>
      </c>
      <c r="E15" s="54">
        <f t="shared" si="3"/>
        <v>-3.3527814487925929E-3</v>
      </c>
      <c r="F15" s="55">
        <v>21544.15</v>
      </c>
      <c r="G15" s="54">
        <f t="shared" si="4"/>
        <v>-9.5554431776387703E-3</v>
      </c>
      <c r="I15" s="154" t="s">
        <v>197</v>
      </c>
      <c r="J15" s="154">
        <f>RSQ(C11:C518,E11:E518)</f>
        <v>2.4974723438933914E-2</v>
      </c>
      <c r="K15" s="6"/>
      <c r="L15" s="7"/>
      <c r="O15" s="28" t="s">
        <v>117</v>
      </c>
      <c r="P15" s="122">
        <v>45252</v>
      </c>
      <c r="Q15" s="154">
        <v>-3.5130769434465383E-3</v>
      </c>
      <c r="R15" s="154">
        <v>1.4E-3</v>
      </c>
      <c r="S15" s="154">
        <v>-1.5699999999999999E-2</v>
      </c>
      <c r="T15" s="123">
        <f t="shared" si="1"/>
        <v>1.218692305655346E-2</v>
      </c>
      <c r="W15" s="2">
        <v>45610</v>
      </c>
      <c r="X15" s="3">
        <v>1501.3</v>
      </c>
      <c r="Y15" s="1">
        <f>X15/X16-1</f>
        <v>-2.9884446805684695E-3</v>
      </c>
      <c r="Z15" s="1"/>
      <c r="AA15" s="2">
        <v>45422</v>
      </c>
      <c r="AB15" s="3">
        <f t="shared" si="6"/>
        <v>1184.2</v>
      </c>
      <c r="AC15" s="1">
        <f>AB15/AB16-1</f>
        <v>7.4268165074395931E-3</v>
      </c>
      <c r="AD15" s="1"/>
      <c r="AE15" s="2">
        <v>45331</v>
      </c>
      <c r="AF15" s="3">
        <f t="shared" si="8"/>
        <v>1266.7</v>
      </c>
      <c r="AG15" s="1">
        <f>AF15/AF16-1</f>
        <v>2.8858727876735157E-2</v>
      </c>
      <c r="AH15" s="1"/>
      <c r="AI15" s="2">
        <v>45271</v>
      </c>
      <c r="AJ15" s="3">
        <f t="shared" si="10"/>
        <v>1108.07</v>
      </c>
      <c r="AK15" s="1">
        <f>AJ15/AJ16-1</f>
        <v>1.2213391796839224E-2</v>
      </c>
      <c r="AP15" s="154" t="s">
        <v>118</v>
      </c>
      <c r="AQ15" s="68">
        <v>4543.3</v>
      </c>
    </row>
    <row r="16" spans="1:52">
      <c r="A16" s="50">
        <v>45610</v>
      </c>
      <c r="B16" s="51">
        <v>1226.7</v>
      </c>
      <c r="C16" s="52">
        <f t="shared" si="2"/>
        <v>-1.4698795180722856E-2</v>
      </c>
      <c r="D16" s="53">
        <v>23532.7</v>
      </c>
      <c r="E16" s="54">
        <f t="shared" si="3"/>
        <v>-1.118466152073133E-3</v>
      </c>
      <c r="F16" s="55">
        <v>21752</v>
      </c>
      <c r="G16" s="54">
        <f t="shared" si="4"/>
        <v>-2.6273195379952255E-3</v>
      </c>
      <c r="I16" s="154" t="s">
        <v>178</v>
      </c>
      <c r="J16" s="67">
        <f>SUM(Q11:Q20)</f>
        <v>2.8577552680018093E-2</v>
      </c>
      <c r="K16" s="6"/>
      <c r="L16" s="7"/>
      <c r="O16" s="28" t="s">
        <v>119</v>
      </c>
      <c r="P16" s="122">
        <v>45253</v>
      </c>
      <c r="Q16" s="154">
        <v>2.6573835401659491E-4</v>
      </c>
      <c r="R16" s="154">
        <v>-5.0000000000000001E-4</v>
      </c>
      <c r="S16" s="154">
        <v>8.6999999999999994E-3</v>
      </c>
      <c r="T16" s="123">
        <f t="shared" si="1"/>
        <v>-8.4342616459834041E-3</v>
      </c>
      <c r="W16" s="2">
        <v>45609</v>
      </c>
      <c r="X16" s="3">
        <v>1505.8</v>
      </c>
      <c r="Y16" s="1">
        <f t="shared" si="5"/>
        <v>-1.2104313596850935E-2</v>
      </c>
      <c r="Z16" s="1"/>
      <c r="AA16" s="2">
        <v>45421</v>
      </c>
      <c r="AB16" s="3">
        <f t="shared" si="6"/>
        <v>1175.47</v>
      </c>
      <c r="AC16" s="1">
        <f t="shared" si="7"/>
        <v>-2.9555755529320438E-2</v>
      </c>
      <c r="AD16" s="1"/>
      <c r="AE16" s="2">
        <v>45330</v>
      </c>
      <c r="AF16" s="3">
        <f t="shared" si="8"/>
        <v>1231.17</v>
      </c>
      <c r="AG16" s="1">
        <f t="shared" si="9"/>
        <v>-6.8181264762456895E-4</v>
      </c>
      <c r="AH16" s="1"/>
      <c r="AI16" s="2">
        <v>45268</v>
      </c>
      <c r="AJ16" s="3">
        <f t="shared" si="10"/>
        <v>1094.7</v>
      </c>
      <c r="AK16" s="1">
        <f t="shared" si="11"/>
        <v>-5.0382553479414893E-2</v>
      </c>
      <c r="AP16" s="154" t="s">
        <v>120</v>
      </c>
      <c r="AQ16" s="69">
        <v>0.25</v>
      </c>
      <c r="AV16" s="4"/>
      <c r="AW16" s="4"/>
      <c r="AX16" s="4"/>
      <c r="AY16" s="4"/>
    </row>
    <row r="17" spans="1:51" ht="15" customHeight="1">
      <c r="A17" s="50">
        <v>45609</v>
      </c>
      <c r="B17" s="51">
        <v>1245</v>
      </c>
      <c r="C17" s="52">
        <f t="shared" si="2"/>
        <v>-1.4953714692618157E-2</v>
      </c>
      <c r="D17" s="53">
        <v>23559.05</v>
      </c>
      <c r="E17" s="54">
        <f t="shared" si="3"/>
        <v>-1.3582627300494754E-2</v>
      </c>
      <c r="F17" s="55">
        <v>21809.3</v>
      </c>
      <c r="G17" s="54">
        <f t="shared" si="4"/>
        <v>-1.5452608389461678E-2</v>
      </c>
      <c r="K17" s="6"/>
      <c r="L17" s="7"/>
      <c r="O17" s="28" t="s">
        <v>122</v>
      </c>
      <c r="P17" s="122">
        <v>45254</v>
      </c>
      <c r="Q17" s="154">
        <v>5.2513659750449988E-3</v>
      </c>
      <c r="R17" s="154">
        <v>-4.0000000000000002E-4</v>
      </c>
      <c r="S17" s="154">
        <v>-3.3999999999999998E-3</v>
      </c>
      <c r="T17" s="123">
        <f t="shared" si="1"/>
        <v>8.651365975044999E-3</v>
      </c>
      <c r="W17" s="2">
        <v>45608</v>
      </c>
      <c r="X17" s="3">
        <v>1524.25</v>
      </c>
      <c r="Y17" s="1">
        <f t="shared" si="5"/>
        <v>-1.6454266817228613E-2</v>
      </c>
      <c r="Z17" s="1"/>
      <c r="AA17" s="2">
        <v>45420</v>
      </c>
      <c r="AB17" s="3">
        <f t="shared" si="6"/>
        <v>1211.27</v>
      </c>
      <c r="AC17" s="1">
        <f t="shared" si="7"/>
        <v>-3.2160892354896498E-2</v>
      </c>
      <c r="AD17" s="1"/>
      <c r="AE17" s="2">
        <v>45329</v>
      </c>
      <c r="AF17" s="3">
        <f t="shared" si="8"/>
        <v>1232.01</v>
      </c>
      <c r="AG17" s="1">
        <f t="shared" si="9"/>
        <v>-3.1878312229459693E-3</v>
      </c>
      <c r="AH17" s="1"/>
      <c r="AI17" s="2">
        <v>45267</v>
      </c>
      <c r="AJ17" s="3">
        <f t="shared" si="10"/>
        <v>1152.78</v>
      </c>
      <c r="AK17" s="1">
        <f t="shared" si="11"/>
        <v>-3.6645866104302316E-3</v>
      </c>
      <c r="AV17" s="216" t="s">
        <v>198</v>
      </c>
      <c r="AW17" s="216"/>
      <c r="AX17" s="216"/>
      <c r="AY17" s="216"/>
    </row>
    <row r="18" spans="1:51">
      <c r="A18" s="50">
        <v>45608</v>
      </c>
      <c r="B18" s="51">
        <v>1263.9000000000001</v>
      </c>
      <c r="C18" s="52">
        <f t="shared" si="2"/>
        <v>-1.8634987188446306E-2</v>
      </c>
      <c r="D18" s="53">
        <v>23883.45</v>
      </c>
      <c r="E18" s="54">
        <f t="shared" si="3"/>
        <v>-1.0680866399075383E-2</v>
      </c>
      <c r="F18" s="55">
        <v>22151.599999999999</v>
      </c>
      <c r="G18" s="54">
        <f t="shared" si="4"/>
        <v>-8.6219049643644994E-3</v>
      </c>
      <c r="K18" s="6"/>
      <c r="L18" s="7"/>
      <c r="O18" s="28" t="s">
        <v>124</v>
      </c>
      <c r="P18" s="122">
        <v>45258</v>
      </c>
      <c r="Q18" s="154">
        <v>5.0000000000000001E-3</v>
      </c>
      <c r="R18" s="154">
        <v>-4.0000000000000002E-4</v>
      </c>
      <c r="S18" s="64">
        <v>-3.3999999999999998E-3</v>
      </c>
      <c r="T18" s="123">
        <f>Q18-S18</f>
        <v>8.3999999999999995E-3</v>
      </c>
      <c r="W18" s="2">
        <v>45607</v>
      </c>
      <c r="X18" s="3">
        <v>1549.75</v>
      </c>
      <c r="Y18" s="1">
        <f t="shared" si="5"/>
        <v>-2.5651504196661512E-2</v>
      </c>
      <c r="Z18" s="1"/>
      <c r="AA18" s="2">
        <v>45419</v>
      </c>
      <c r="AB18" s="3">
        <f t="shared" si="6"/>
        <v>1251.52</v>
      </c>
      <c r="AC18" s="1">
        <f t="shared" si="7"/>
        <v>-5.696398636677924E-3</v>
      </c>
      <c r="AD18" s="1"/>
      <c r="AE18" s="2">
        <v>45328</v>
      </c>
      <c r="AF18" s="3">
        <f t="shared" si="8"/>
        <v>1235.95</v>
      </c>
      <c r="AG18" s="1">
        <f t="shared" si="9"/>
        <v>2.1324554860053802E-3</v>
      </c>
      <c r="AH18" s="1"/>
      <c r="AI18" s="2">
        <v>45266</v>
      </c>
      <c r="AJ18" s="3">
        <f t="shared" si="10"/>
        <v>1157.02</v>
      </c>
      <c r="AK18" s="1">
        <f t="shared" si="11"/>
        <v>9.5543902204926479E-3</v>
      </c>
      <c r="AV18" s="216"/>
      <c r="AW18" s="216"/>
      <c r="AX18" s="216"/>
      <c r="AY18" s="216"/>
    </row>
    <row r="19" spans="1:51">
      <c r="A19" s="50">
        <v>45607</v>
      </c>
      <c r="B19" s="51">
        <v>1287.9000000000001</v>
      </c>
      <c r="C19" s="52">
        <f t="shared" si="2"/>
        <v>3.3108713434347368E-3</v>
      </c>
      <c r="D19" s="53">
        <v>24141.3</v>
      </c>
      <c r="E19" s="54">
        <f t="shared" si="3"/>
        <v>-2.8573558277641628E-4</v>
      </c>
      <c r="F19" s="55">
        <v>22344.25</v>
      </c>
      <c r="G19" s="54">
        <f t="shared" si="4"/>
        <v>-8.783506526633322E-3</v>
      </c>
      <c r="K19" s="6"/>
      <c r="L19" s="7"/>
      <c r="O19" s="23" t="s">
        <v>125</v>
      </c>
      <c r="P19" s="1"/>
      <c r="Q19" s="1"/>
      <c r="R19" s="1"/>
      <c r="S19" s="23"/>
      <c r="T19" s="38">
        <f>SUM(T8:T18)</f>
        <v>2.4643304071305244E-2</v>
      </c>
      <c r="W19" s="2">
        <v>45604</v>
      </c>
      <c r="X19" s="3">
        <v>1590.55</v>
      </c>
      <c r="Y19" s="1">
        <f t="shared" si="5"/>
        <v>4.9281314168376777E-3</v>
      </c>
      <c r="Z19" s="1"/>
      <c r="AA19" s="2">
        <v>45418</v>
      </c>
      <c r="AB19" s="3">
        <f t="shared" si="6"/>
        <v>1258.69</v>
      </c>
      <c r="AC19" s="1">
        <f t="shared" si="7"/>
        <v>-8.8352717909143674E-3</v>
      </c>
      <c r="AD19" s="1"/>
      <c r="AE19" s="2">
        <v>45327</v>
      </c>
      <c r="AF19" s="3">
        <f t="shared" si="8"/>
        <v>1233.32</v>
      </c>
      <c r="AG19" s="1">
        <f t="shared" si="9"/>
        <v>1.1838640074165685E-2</v>
      </c>
      <c r="AH19" s="1"/>
      <c r="AI19" s="2">
        <v>45265</v>
      </c>
      <c r="AJ19" s="3">
        <f t="shared" si="10"/>
        <v>1146.07</v>
      </c>
      <c r="AK19" s="1">
        <f t="shared" si="11"/>
        <v>-7.9806801755403223E-3</v>
      </c>
      <c r="AP19" s="155" t="s">
        <v>158</v>
      </c>
      <c r="AQ19" s="154">
        <f>AQ8*AQ9</f>
        <v>9770.74</v>
      </c>
      <c r="AV19" s="216"/>
      <c r="AW19" s="216"/>
      <c r="AX19" s="216"/>
      <c r="AY19" s="216"/>
    </row>
    <row r="20" spans="1:51" ht="15" customHeight="1">
      <c r="A20" s="50">
        <v>45604</v>
      </c>
      <c r="B20" s="51">
        <v>1283.6500000000001</v>
      </c>
      <c r="C20" s="52">
        <f t="shared" si="2"/>
        <v>-2.8741212568453166E-3</v>
      </c>
      <c r="D20" s="53">
        <v>24148.2</v>
      </c>
      <c r="E20" s="54">
        <f t="shared" si="3"/>
        <v>-2.1136931363858044E-3</v>
      </c>
      <c r="F20" s="55">
        <v>22542.25</v>
      </c>
      <c r="G20" s="54">
        <f t="shared" si="4"/>
        <v>6.7918648552064401E-4</v>
      </c>
      <c r="K20" s="6"/>
      <c r="L20" s="7"/>
      <c r="W20" s="2">
        <v>45603</v>
      </c>
      <c r="X20" s="3">
        <v>1582.75</v>
      </c>
      <c r="Y20" s="1">
        <f t="shared" si="5"/>
        <v>-8.3020050125313105E-3</v>
      </c>
      <c r="Z20" s="1"/>
      <c r="AA20" s="2">
        <v>45415</v>
      </c>
      <c r="AB20" s="3">
        <f t="shared" si="6"/>
        <v>1269.9100000000001</v>
      </c>
      <c r="AC20" s="1">
        <f t="shared" si="7"/>
        <v>9.8687872763421058E-3</v>
      </c>
      <c r="AD20" s="1"/>
      <c r="AE20" s="2">
        <v>45324</v>
      </c>
      <c r="AF20" s="3">
        <f t="shared" si="8"/>
        <v>1218.8900000000001</v>
      </c>
      <c r="AG20" s="1">
        <f t="shared" si="9"/>
        <v>9.0984353009355701E-3</v>
      </c>
      <c r="AH20" s="1"/>
      <c r="AI20" s="2">
        <v>45264</v>
      </c>
      <c r="AJ20" s="3">
        <f t="shared" si="10"/>
        <v>1155.29</v>
      </c>
      <c r="AK20" s="1">
        <f t="shared" si="11"/>
        <v>3.5528144544823004E-3</v>
      </c>
      <c r="AP20" s="155" t="s">
        <v>199</v>
      </c>
      <c r="AQ20" s="154">
        <f>AQ10*AQ11</f>
        <v>244.26850000000002</v>
      </c>
      <c r="AV20" s="216"/>
      <c r="AW20" s="216"/>
      <c r="AX20" s="216"/>
      <c r="AY20" s="216"/>
    </row>
    <row r="21" spans="1:51">
      <c r="A21" s="50">
        <v>45603</v>
      </c>
      <c r="B21" s="51">
        <v>1287.3499999999999</v>
      </c>
      <c r="C21" s="52">
        <f t="shared" si="2"/>
        <v>-1.1327855003455957E-2</v>
      </c>
      <c r="D21" s="53">
        <v>24199.35</v>
      </c>
      <c r="E21" s="54">
        <f t="shared" si="3"/>
        <v>-1.162797821438858E-2</v>
      </c>
      <c r="F21" s="55">
        <v>22526.95</v>
      </c>
      <c r="G21" s="54">
        <f t="shared" si="4"/>
        <v>-1.7163786765908802E-2</v>
      </c>
      <c r="K21" s="6"/>
      <c r="L21" s="7"/>
      <c r="W21" s="2">
        <v>45602</v>
      </c>
      <c r="X21" s="3">
        <v>1596</v>
      </c>
      <c r="Y21" s="1">
        <f t="shared" si="5"/>
        <v>-5.2356020942408987E-3</v>
      </c>
      <c r="Z21" s="1"/>
      <c r="AA21" s="2">
        <v>45414</v>
      </c>
      <c r="AB21" s="3">
        <f t="shared" si="6"/>
        <v>1257.5</v>
      </c>
      <c r="AC21" s="1">
        <f t="shared" si="7"/>
        <v>1.341005431716713E-2</v>
      </c>
      <c r="AD21" s="1"/>
      <c r="AE21" s="2">
        <v>45323</v>
      </c>
      <c r="AF21" s="3">
        <f t="shared" si="8"/>
        <v>1207.9000000000001</v>
      </c>
      <c r="AG21" s="1">
        <f t="shared" si="9"/>
        <v>7.7338294552948827E-3</v>
      </c>
      <c r="AH21" s="1"/>
      <c r="AI21" s="2">
        <v>45261</v>
      </c>
      <c r="AJ21" s="3">
        <f t="shared" si="10"/>
        <v>1151.2</v>
      </c>
      <c r="AK21" s="1">
        <f t="shared" si="11"/>
        <v>1.1479458726126879E-3</v>
      </c>
      <c r="AV21" s="216"/>
      <c r="AW21" s="216"/>
      <c r="AX21" s="216"/>
      <c r="AY21" s="216"/>
    </row>
    <row r="22" spans="1:51">
      <c r="A22" s="50">
        <v>45602</v>
      </c>
      <c r="B22" s="51">
        <v>1302.0999999999999</v>
      </c>
      <c r="C22" s="52">
        <f t="shared" si="2"/>
        <v>2.3502593931771627E-2</v>
      </c>
      <c r="D22" s="53">
        <v>24484.05</v>
      </c>
      <c r="E22" s="54">
        <f t="shared" si="3"/>
        <v>1.1181871120417292E-2</v>
      </c>
      <c r="F22" s="55">
        <v>22920.35</v>
      </c>
      <c r="G22" s="54">
        <f t="shared" si="4"/>
        <v>1.1433614650559813E-2</v>
      </c>
      <c r="K22" s="6"/>
      <c r="L22" s="7"/>
      <c r="W22" s="2">
        <v>45601</v>
      </c>
      <c r="X22" s="3">
        <v>1604.4</v>
      </c>
      <c r="Y22" s="1">
        <f t="shared" si="5"/>
        <v>1.2878787878787934E-2</v>
      </c>
      <c r="Z22" s="1"/>
      <c r="AA22" s="2">
        <v>45412</v>
      </c>
      <c r="AB22" s="3">
        <f t="shared" si="6"/>
        <v>1240.8599999999999</v>
      </c>
      <c r="AC22" s="1">
        <f t="shared" si="7"/>
        <v>-1.4736942402058251E-2</v>
      </c>
      <c r="AD22" s="1"/>
      <c r="AE22" s="2">
        <v>45322</v>
      </c>
      <c r="AF22" s="3">
        <f t="shared" si="8"/>
        <v>1198.6300000000001</v>
      </c>
      <c r="AG22" s="1">
        <f t="shared" si="9"/>
        <v>-2.09111033057513E-2</v>
      </c>
      <c r="AH22" s="1"/>
      <c r="AI22" s="2">
        <v>45260</v>
      </c>
      <c r="AJ22" s="3">
        <f t="shared" si="10"/>
        <v>1149.8800000000001</v>
      </c>
      <c r="AK22" s="1">
        <f t="shared" si="11"/>
        <v>-6.6947124728972129E-3</v>
      </c>
      <c r="AV22" s="127"/>
      <c r="AW22" s="127"/>
      <c r="AX22" s="127"/>
      <c r="AY22" s="127"/>
    </row>
    <row r="23" spans="1:51">
      <c r="A23" s="50">
        <v>45601</v>
      </c>
      <c r="B23" s="51">
        <v>1272.2</v>
      </c>
      <c r="C23" s="52">
        <f t="shared" si="2"/>
        <v>3.0749822597178041E-3</v>
      </c>
      <c r="D23" s="53">
        <v>24213.3</v>
      </c>
      <c r="E23" s="54">
        <f t="shared" si="3"/>
        <v>9.0830098331552041E-3</v>
      </c>
      <c r="F23" s="55">
        <v>22661.25</v>
      </c>
      <c r="G23" s="54">
        <f t="shared" si="4"/>
        <v>1.0137687017135E-3</v>
      </c>
      <c r="K23" s="6"/>
      <c r="L23" s="7"/>
      <c r="W23" s="2">
        <v>45600</v>
      </c>
      <c r="X23" s="3">
        <v>1584</v>
      </c>
      <c r="Y23" s="1">
        <f t="shared" si="5"/>
        <v>1.538461538461533E-2</v>
      </c>
      <c r="Z23" s="1"/>
      <c r="AA23" s="2">
        <v>45411</v>
      </c>
      <c r="AB23" s="3">
        <f t="shared" si="6"/>
        <v>1259.42</v>
      </c>
      <c r="AC23" s="1">
        <f t="shared" si="7"/>
        <v>7.1975816125782188E-3</v>
      </c>
      <c r="AD23" s="1"/>
      <c r="AE23" s="2">
        <v>45321</v>
      </c>
      <c r="AF23" s="3">
        <f t="shared" si="8"/>
        <v>1224.23</v>
      </c>
      <c r="AG23" s="1">
        <f t="shared" si="9"/>
        <v>4.7971648447598492E-2</v>
      </c>
      <c r="AH23" s="1"/>
      <c r="AI23" s="2">
        <v>45259</v>
      </c>
      <c r="AJ23" s="3">
        <f t="shared" si="10"/>
        <v>1157.6300000000001</v>
      </c>
      <c r="AK23" s="1">
        <f t="shared" si="11"/>
        <v>1.2737627616856484E-2</v>
      </c>
      <c r="AV23" s="127"/>
      <c r="AW23" s="127"/>
      <c r="AX23" s="127"/>
      <c r="AY23" s="127"/>
    </row>
    <row r="24" spans="1:51">
      <c r="A24" s="50">
        <v>45600</v>
      </c>
      <c r="B24" s="51">
        <v>1268.3</v>
      </c>
      <c r="C24" s="52">
        <f t="shared" si="2"/>
        <v>6.9069545887583727E-3</v>
      </c>
      <c r="D24" s="53">
        <v>23995.35</v>
      </c>
      <c r="E24" s="54">
        <f t="shared" si="3"/>
        <v>-1.2713773460306488E-2</v>
      </c>
      <c r="F24" s="55">
        <v>22638.3</v>
      </c>
      <c r="G24" s="54">
        <f t="shared" si="4"/>
        <v>-7.4033800803696287E-3</v>
      </c>
      <c r="I24" s="128"/>
      <c r="J24" s="127"/>
      <c r="K24" s="127"/>
      <c r="L24" s="127"/>
      <c r="M24" s="127"/>
      <c r="N24" s="127"/>
      <c r="O24" s="127"/>
      <c r="P24" s="127"/>
      <c r="Q24" s="127"/>
      <c r="R24" s="127"/>
      <c r="S24" s="127"/>
      <c r="T24" s="127"/>
      <c r="W24" s="2">
        <v>45597</v>
      </c>
      <c r="X24" s="3">
        <v>1560</v>
      </c>
      <c r="Y24" s="1">
        <f t="shared" si="5"/>
        <v>4.5074050225371032E-3</v>
      </c>
      <c r="Z24" s="1"/>
      <c r="AA24" s="2">
        <v>45408</v>
      </c>
      <c r="AB24" s="3">
        <f t="shared" si="6"/>
        <v>1250.42</v>
      </c>
      <c r="AC24" s="1">
        <f t="shared" si="7"/>
        <v>5.3628140703518845E-3</v>
      </c>
      <c r="AD24" s="1"/>
      <c r="AE24" s="2">
        <v>45320</v>
      </c>
      <c r="AF24" s="3">
        <f t="shared" si="8"/>
        <v>1168.19</v>
      </c>
      <c r="AG24" s="1">
        <f t="shared" si="9"/>
        <v>-4.7059226175194535E-4</v>
      </c>
      <c r="AH24" s="1"/>
      <c r="AI24" s="2">
        <v>45258</v>
      </c>
      <c r="AJ24" s="3">
        <f t="shared" si="10"/>
        <v>1143.07</v>
      </c>
      <c r="AK24" s="1">
        <f t="shared" si="11"/>
        <v>6.9681806969941196E-3</v>
      </c>
    </row>
    <row r="25" spans="1:51" ht="15" customHeight="1">
      <c r="A25" s="50">
        <v>45597</v>
      </c>
      <c r="B25" s="51">
        <v>1259.5999999999999</v>
      </c>
      <c r="C25" s="52">
        <f t="shared" si="2"/>
        <v>-1.145816983205159E-2</v>
      </c>
      <c r="D25" s="53">
        <v>24304.35</v>
      </c>
      <c r="E25" s="54">
        <f t="shared" si="3"/>
        <v>4.0900048956119209E-3</v>
      </c>
      <c r="F25" s="55">
        <v>22807.15</v>
      </c>
      <c r="G25" s="54">
        <f t="shared" si="4"/>
        <v>3.1492530420421843E-3</v>
      </c>
      <c r="I25" s="127"/>
      <c r="J25" s="226" t="s">
        <v>129</v>
      </c>
      <c r="K25" s="227"/>
      <c r="L25" s="227"/>
      <c r="M25" s="129"/>
      <c r="N25" s="127"/>
      <c r="O25" s="127"/>
      <c r="P25" s="127"/>
      <c r="Q25" s="127"/>
      <c r="R25" s="127"/>
      <c r="S25" s="127"/>
      <c r="T25" s="127"/>
      <c r="W25" s="2">
        <v>45596</v>
      </c>
      <c r="X25" s="3">
        <v>1553</v>
      </c>
      <c r="Y25" s="1">
        <f t="shared" si="5"/>
        <v>9.5204513399153701E-2</v>
      </c>
      <c r="Z25" s="1"/>
      <c r="AA25" s="2">
        <v>45407</v>
      </c>
      <c r="AB25" s="3">
        <f t="shared" si="6"/>
        <v>1243.75</v>
      </c>
      <c r="AC25" s="1">
        <f t="shared" si="7"/>
        <v>4.5027559319755328E-2</v>
      </c>
      <c r="AD25" s="1"/>
      <c r="AE25" s="2">
        <v>45316</v>
      </c>
      <c r="AF25" s="3">
        <f t="shared" si="8"/>
        <v>1168.74</v>
      </c>
      <c r="AG25" s="1">
        <f t="shared" si="9"/>
        <v>-2.0151993851933447E-3</v>
      </c>
      <c r="AH25" s="1"/>
      <c r="AI25" s="2">
        <v>45254</v>
      </c>
      <c r="AJ25" s="3">
        <f t="shared" si="10"/>
        <v>1135.1600000000001</v>
      </c>
      <c r="AK25" s="1">
        <f t="shared" si="11"/>
        <v>5.2513659750450525E-3</v>
      </c>
    </row>
    <row r="26" spans="1:51">
      <c r="A26" s="50">
        <v>45596</v>
      </c>
      <c r="B26" s="51">
        <v>1274.2</v>
      </c>
      <c r="C26" s="52">
        <f t="shared" si="2"/>
        <v>1.9482337880545778E-2</v>
      </c>
      <c r="D26" s="53">
        <v>24205.35</v>
      </c>
      <c r="E26" s="54">
        <f t="shared" si="3"/>
        <v>-5.5667735514577351E-3</v>
      </c>
      <c r="F26" s="55">
        <v>22735.55</v>
      </c>
      <c r="G26" s="54">
        <f t="shared" si="4"/>
        <v>1.6116237131256095E-2</v>
      </c>
      <c r="I26" s="127"/>
      <c r="J26" s="98" t="s">
        <v>130</v>
      </c>
      <c r="K26" s="98" t="s">
        <v>91</v>
      </c>
      <c r="L26" s="98" t="s">
        <v>131</v>
      </c>
      <c r="N26" s="127"/>
      <c r="O26" s="127"/>
      <c r="P26" s="127"/>
      <c r="Q26" s="127"/>
      <c r="R26" s="127"/>
      <c r="S26" s="127"/>
      <c r="T26" s="127"/>
      <c r="W26" s="2">
        <v>45595</v>
      </c>
      <c r="X26" s="3">
        <v>1418</v>
      </c>
      <c r="Y26" s="1">
        <f t="shared" si="5"/>
        <v>-4.1244083840432766E-2</v>
      </c>
      <c r="Z26" s="1"/>
      <c r="AA26" s="2">
        <v>45406</v>
      </c>
      <c r="AB26" s="3">
        <f t="shared" si="6"/>
        <v>1190.1600000000001</v>
      </c>
      <c r="AC26" s="1">
        <f t="shared" si="7"/>
        <v>-2.1841030896652125E-4</v>
      </c>
      <c r="AD26" s="1"/>
      <c r="AE26" s="2">
        <v>45315</v>
      </c>
      <c r="AF26" s="3">
        <f t="shared" si="8"/>
        <v>1171.0999999999999</v>
      </c>
      <c r="AG26" s="1">
        <f t="shared" si="9"/>
        <v>-7.8954948238764144E-3</v>
      </c>
      <c r="AH26" s="1"/>
      <c r="AI26" s="2">
        <v>45253</v>
      </c>
      <c r="AJ26" s="3">
        <f t="shared" si="10"/>
        <v>1129.23</v>
      </c>
      <c r="AK26" s="1">
        <f t="shared" si="11"/>
        <v>2.6573835401655366E-4</v>
      </c>
    </row>
    <row r="27" spans="1:51">
      <c r="A27" s="50">
        <v>45595</v>
      </c>
      <c r="B27" s="51">
        <v>1249.8499999999999</v>
      </c>
      <c r="C27" s="52">
        <f t="shared" si="2"/>
        <v>-1.949478308621647E-2</v>
      </c>
      <c r="D27" s="53">
        <v>24340.85</v>
      </c>
      <c r="E27" s="54">
        <f t="shared" si="3"/>
        <v>-5.1498251716097501E-3</v>
      </c>
      <c r="F27" s="55">
        <v>22374.95</v>
      </c>
      <c r="G27" s="54">
        <f t="shared" si="4"/>
        <v>-1.001929084039045E-2</v>
      </c>
      <c r="I27" s="127"/>
      <c r="J27" s="97" t="s">
        <v>132</v>
      </c>
      <c r="K27" s="100">
        <f>B262</f>
        <v>1120.83</v>
      </c>
      <c r="L27" s="97" t="s">
        <v>133</v>
      </c>
      <c r="N27" s="127"/>
      <c r="O27" s="127"/>
      <c r="P27" s="127"/>
      <c r="Q27" s="127"/>
      <c r="R27" s="127"/>
      <c r="S27" s="127"/>
      <c r="T27" s="127"/>
      <c r="W27" s="2">
        <v>45594</v>
      </c>
      <c r="X27" s="3">
        <v>1479</v>
      </c>
      <c r="Y27" s="1">
        <f t="shared" si="5"/>
        <v>-1.8645079954880184E-2</v>
      </c>
      <c r="Z27" s="1"/>
      <c r="AA27" s="2">
        <v>45405</v>
      </c>
      <c r="AB27" s="3">
        <f t="shared" si="6"/>
        <v>1190.42</v>
      </c>
      <c r="AC27" s="1">
        <f t="shared" si="7"/>
        <v>-1.0638121041870896E-2</v>
      </c>
      <c r="AD27" s="1"/>
      <c r="AE27" s="2">
        <v>45314</v>
      </c>
      <c r="AF27" s="3">
        <f t="shared" si="8"/>
        <v>1180.42</v>
      </c>
      <c r="AG27" s="1">
        <f t="shared" si="9"/>
        <v>4.0127590582264228E-2</v>
      </c>
      <c r="AH27" s="1"/>
      <c r="AI27" s="2">
        <v>45252</v>
      </c>
      <c r="AJ27" s="3">
        <f t="shared" si="10"/>
        <v>1128.93</v>
      </c>
      <c r="AK27" s="1">
        <f t="shared" si="11"/>
        <v>-3.5130769434464915E-3</v>
      </c>
    </row>
    <row r="28" spans="1:51">
      <c r="A28" s="50">
        <v>45594</v>
      </c>
      <c r="B28" s="51">
        <v>1274.7</v>
      </c>
      <c r="C28" s="52">
        <f t="shared" si="2"/>
        <v>-2.8059473884864624E-2</v>
      </c>
      <c r="D28" s="53">
        <v>24466.85</v>
      </c>
      <c r="E28" s="54">
        <f t="shared" si="3"/>
        <v>5.2466910307055539E-3</v>
      </c>
      <c r="F28" s="55">
        <v>22601.4</v>
      </c>
      <c r="G28" s="54">
        <f t="shared" si="4"/>
        <v>-1.1193385031007603E-2</v>
      </c>
      <c r="I28" s="127"/>
      <c r="J28" s="97" t="s">
        <v>134</v>
      </c>
      <c r="K28" s="100">
        <f>B261</f>
        <v>1129.29</v>
      </c>
      <c r="L28" s="97" t="s">
        <v>133</v>
      </c>
      <c r="N28" s="127"/>
      <c r="O28" s="127"/>
      <c r="P28" s="127"/>
      <c r="Q28" s="127"/>
      <c r="R28" s="127"/>
      <c r="S28" s="127"/>
      <c r="T28" s="127"/>
      <c r="W28" s="2">
        <v>45593</v>
      </c>
      <c r="X28" s="3">
        <v>1507.1</v>
      </c>
      <c r="Y28" s="1">
        <f t="shared" si="5"/>
        <v>1.3755759593717221E-2</v>
      </c>
      <c r="Z28" s="1"/>
      <c r="AA28" s="2">
        <v>45404</v>
      </c>
      <c r="AB28" s="3">
        <f t="shared" si="6"/>
        <v>1203.22</v>
      </c>
      <c r="AC28" s="1">
        <f t="shared" si="7"/>
        <v>1.2325735968432783E-2</v>
      </c>
      <c r="AD28" s="1"/>
      <c r="AE28" s="2">
        <v>45311</v>
      </c>
      <c r="AF28" s="3">
        <f t="shared" si="8"/>
        <v>1134.8800000000001</v>
      </c>
      <c r="AG28" s="1">
        <f t="shared" si="9"/>
        <v>6.9205380274692807E-3</v>
      </c>
      <c r="AH28" s="1"/>
      <c r="AI28" s="2">
        <v>45251</v>
      </c>
      <c r="AJ28" s="3">
        <f t="shared" si="10"/>
        <v>1132.9100000000001</v>
      </c>
      <c r="AK28" s="1">
        <f t="shared" si="11"/>
        <v>3.2055539321167448E-3</v>
      </c>
    </row>
    <row r="29" spans="1:51">
      <c r="A29" s="50">
        <v>45593</v>
      </c>
      <c r="B29" s="51">
        <v>1311.5</v>
      </c>
      <c r="C29" s="52">
        <f t="shared" si="2"/>
        <v>6.5697576250632762E-3</v>
      </c>
      <c r="D29" s="53">
        <v>24339.15</v>
      </c>
      <c r="E29" s="54">
        <f t="shared" si="3"/>
        <v>6.5485840005294364E-3</v>
      </c>
      <c r="F29" s="55">
        <v>22857.25</v>
      </c>
      <c r="G29" s="54">
        <f t="shared" si="4"/>
        <v>1.252295173104229E-2</v>
      </c>
      <c r="I29" s="127"/>
      <c r="J29" s="97" t="s">
        <v>135</v>
      </c>
      <c r="K29" s="97">
        <f>AJ8</f>
        <v>1110.9000000000001</v>
      </c>
      <c r="L29" s="97">
        <f>K29/$B$261-1</f>
        <v>-1.6284568180006787E-2</v>
      </c>
      <c r="N29" s="127"/>
      <c r="O29" s="127"/>
      <c r="P29" s="127"/>
      <c r="Q29" s="127"/>
      <c r="R29" s="127"/>
      <c r="S29" s="127"/>
      <c r="T29" s="127"/>
      <c r="W29" s="2">
        <v>45590</v>
      </c>
      <c r="X29" s="3">
        <v>1486.65</v>
      </c>
      <c r="Y29" s="1">
        <f t="shared" si="5"/>
        <v>-5.5520251513427876E-3</v>
      </c>
      <c r="Z29" s="1"/>
      <c r="AA29" s="2">
        <v>45401</v>
      </c>
      <c r="AB29" s="3">
        <f t="shared" si="6"/>
        <v>1188.57</v>
      </c>
      <c r="AC29" s="1">
        <f t="shared" si="7"/>
        <v>-2.4004767380375602E-3</v>
      </c>
      <c r="AD29" s="1"/>
      <c r="AE29" s="2">
        <v>45310</v>
      </c>
      <c r="AF29" s="3">
        <f t="shared" si="8"/>
        <v>1127.08</v>
      </c>
      <c r="AG29" s="1">
        <f t="shared" si="9"/>
        <v>-5.7866694894324056E-3</v>
      </c>
      <c r="AH29" s="1"/>
      <c r="AI29" s="2">
        <v>45250</v>
      </c>
      <c r="AJ29" s="3">
        <f t="shared" si="10"/>
        <v>1129.29</v>
      </c>
      <c r="AK29" s="1"/>
    </row>
    <row r="30" spans="1:51">
      <c r="A30" s="50">
        <v>45590</v>
      </c>
      <c r="B30" s="51">
        <v>1302.94</v>
      </c>
      <c r="C30" s="52">
        <f t="shared" si="2"/>
        <v>-1.0330107706564107E-2</v>
      </c>
      <c r="D30" s="53">
        <v>24180.799999999999</v>
      </c>
      <c r="E30" s="54">
        <f t="shared" si="3"/>
        <v>-8.9592367025419541E-3</v>
      </c>
      <c r="F30" s="55">
        <v>22574.55</v>
      </c>
      <c r="G30" s="54">
        <f t="shared" si="4"/>
        <v>1.6614386729757032E-4</v>
      </c>
      <c r="I30" s="127"/>
      <c r="J30" s="97" t="s">
        <v>136</v>
      </c>
      <c r="K30" s="97">
        <f>AF8</f>
        <v>1269.83</v>
      </c>
      <c r="L30" s="97">
        <f>K30/$B$261-1</f>
        <v>0.12444987558554477</v>
      </c>
      <c r="N30" s="127"/>
      <c r="O30" s="127"/>
      <c r="P30" s="127"/>
      <c r="Q30" s="127"/>
      <c r="R30" s="127"/>
      <c r="S30" s="127"/>
      <c r="T30" s="127"/>
      <c r="W30" s="2">
        <v>45589</v>
      </c>
      <c r="X30" s="3">
        <v>1494.95</v>
      </c>
      <c r="Y30" s="1">
        <f t="shared" si="5"/>
        <v>5.0421862919762805E-3</v>
      </c>
      <c r="Z30" s="1"/>
      <c r="AA30" s="2">
        <v>45400</v>
      </c>
      <c r="AB30" s="3">
        <f t="shared" si="6"/>
        <v>1191.43</v>
      </c>
      <c r="AC30" s="1">
        <f t="shared" si="7"/>
        <v>-1.540406753328305E-2</v>
      </c>
      <c r="AD30" s="1"/>
      <c r="AE30" s="2">
        <v>45309</v>
      </c>
      <c r="AF30" s="3">
        <f t="shared" si="8"/>
        <v>1133.6400000000001</v>
      </c>
      <c r="AG30" s="1">
        <f t="shared" si="9"/>
        <v>3.2301170806821045E-3</v>
      </c>
      <c r="AH30" s="1"/>
      <c r="AI30" s="1"/>
      <c r="AJ30" s="1"/>
      <c r="AK30" s="1">
        <f>SUM(AK8:AK29)</f>
        <v>-1.4620558536557859E-2</v>
      </c>
    </row>
    <row r="31" spans="1:51">
      <c r="A31" s="50">
        <v>45589</v>
      </c>
      <c r="B31" s="51">
        <v>1316.54</v>
      </c>
      <c r="C31" s="52">
        <f t="shared" si="2"/>
        <v>-3.8136170341560587E-3</v>
      </c>
      <c r="D31" s="53">
        <v>24399.4</v>
      </c>
      <c r="E31" s="54">
        <f t="shared" si="3"/>
        <v>-1.4773587608192403E-3</v>
      </c>
      <c r="F31" s="55">
        <v>22570.799999999999</v>
      </c>
      <c r="G31" s="54">
        <f t="shared" si="4"/>
        <v>4.414460919560723E-3</v>
      </c>
      <c r="I31" s="127"/>
      <c r="J31" s="97" t="s">
        <v>137</v>
      </c>
      <c r="K31" s="97">
        <f>AB8</f>
        <v>1155.96</v>
      </c>
      <c r="L31" s="97">
        <f>K31/$B$261-1</f>
        <v>2.3616608665621763E-2</v>
      </c>
      <c r="N31" s="127"/>
      <c r="O31" s="127"/>
      <c r="P31" s="127"/>
      <c r="Q31" s="127"/>
      <c r="R31" s="127"/>
      <c r="S31" s="127"/>
      <c r="T31" s="127"/>
      <c r="W31" s="2">
        <v>45588</v>
      </c>
      <c r="X31" s="3">
        <v>1487.45</v>
      </c>
      <c r="Y31" s="1">
        <f t="shared" si="5"/>
        <v>-1.5487970347817348E-2</v>
      </c>
      <c r="Z31" s="1"/>
      <c r="AA31" s="2">
        <v>45398</v>
      </c>
      <c r="AB31" s="3">
        <f t="shared" si="6"/>
        <v>1210.07</v>
      </c>
      <c r="AC31" s="1">
        <f t="shared" si="7"/>
        <v>6.571449961319864E-3</v>
      </c>
      <c r="AD31" s="1"/>
      <c r="AE31" s="2">
        <v>45308</v>
      </c>
      <c r="AF31" s="3">
        <f t="shared" si="8"/>
        <v>1129.99</v>
      </c>
      <c r="AG31" s="1">
        <f t="shared" si="9"/>
        <v>0</v>
      </c>
      <c r="AH31" s="1"/>
      <c r="AI31" s="1"/>
      <c r="AJ31" s="1"/>
      <c r="AK31" s="1"/>
    </row>
    <row r="32" spans="1:51">
      <c r="A32" s="50">
        <v>45588</v>
      </c>
      <c r="B32" s="51">
        <v>1321.58</v>
      </c>
      <c r="C32" s="52">
        <f t="shared" si="2"/>
        <v>-8.1802353506244679E-3</v>
      </c>
      <c r="D32" s="53">
        <v>24435.5</v>
      </c>
      <c r="E32" s="54">
        <f t="shared" si="3"/>
        <v>-1.4955806816741737E-3</v>
      </c>
      <c r="F32" s="55">
        <v>22471.599999999999</v>
      </c>
      <c r="G32" s="54">
        <f t="shared" si="4"/>
        <v>-1.5621030129401449E-2</v>
      </c>
      <c r="I32" s="127"/>
      <c r="J32" s="97" t="s">
        <v>138</v>
      </c>
      <c r="K32" s="97">
        <f>X8</f>
        <v>1199.9000000000001</v>
      </c>
      <c r="L32" s="97">
        <f>K32/$B$261-1</f>
        <v>6.2526011918993429E-2</v>
      </c>
      <c r="N32" s="127"/>
      <c r="O32" s="127"/>
      <c r="P32" s="127"/>
      <c r="Q32" s="127"/>
      <c r="R32" s="127"/>
      <c r="S32" s="127"/>
      <c r="T32" s="127"/>
      <c r="W32" s="2">
        <v>45587</v>
      </c>
      <c r="X32" s="3">
        <v>1510.85</v>
      </c>
      <c r="Y32" s="1">
        <f t="shared" si="5"/>
        <v>-5.2343955754543536E-3</v>
      </c>
      <c r="Z32" s="1"/>
      <c r="AA32" s="2">
        <v>45397</v>
      </c>
      <c r="AB32" s="3">
        <f t="shared" si="6"/>
        <v>1202.17</v>
      </c>
      <c r="AC32" s="1">
        <f t="shared" si="7"/>
        <v>-1.1998980908470736E-2</v>
      </c>
      <c r="AD32" s="1"/>
      <c r="AE32" s="2">
        <v>45307</v>
      </c>
      <c r="AF32" s="3">
        <f t="shared" si="8"/>
        <v>1129.99</v>
      </c>
      <c r="AG32" s="1">
        <f t="shared" si="9"/>
        <v>-1.8790757448138851E-2</v>
      </c>
      <c r="AH32" s="1"/>
      <c r="AI32" s="1"/>
      <c r="AJ32" s="1"/>
      <c r="AK32" s="1"/>
    </row>
    <row r="33" spans="1:37">
      <c r="A33" s="50">
        <v>45587</v>
      </c>
      <c r="B33" s="51">
        <v>1332.48</v>
      </c>
      <c r="C33" s="52">
        <f t="shared" si="2"/>
        <v>-5.2259085615313401E-3</v>
      </c>
      <c r="D33" s="53">
        <v>24472.1</v>
      </c>
      <c r="E33" s="54">
        <f t="shared" si="3"/>
        <v>-1.2469180141317376E-2</v>
      </c>
      <c r="F33" s="55">
        <v>22828.2</v>
      </c>
      <c r="G33" s="54">
        <f t="shared" si="4"/>
        <v>-1.273640189078265E-2</v>
      </c>
      <c r="I33" s="127"/>
      <c r="J33" s="127"/>
      <c r="K33" s="127"/>
      <c r="L33" s="127"/>
      <c r="M33" s="127"/>
      <c r="N33" s="127"/>
      <c r="O33" s="127"/>
      <c r="P33" s="127"/>
      <c r="Q33" s="127"/>
      <c r="R33" s="127"/>
      <c r="S33" s="127"/>
      <c r="T33" s="127"/>
      <c r="W33" s="2">
        <v>45586</v>
      </c>
      <c r="X33" s="3">
        <v>1518.8</v>
      </c>
      <c r="Y33" s="1">
        <f t="shared" si="5"/>
        <v>-2.1391752577319623E-2</v>
      </c>
      <c r="Z33" s="1"/>
      <c r="AA33" s="2">
        <v>45394</v>
      </c>
      <c r="AB33" s="3">
        <f t="shared" si="6"/>
        <v>1216.77</v>
      </c>
      <c r="AC33" s="1">
        <f t="shared" si="7"/>
        <v>-1.2025203397261985E-2</v>
      </c>
      <c r="AD33" s="1"/>
      <c r="AE33" s="2">
        <v>45306</v>
      </c>
      <c r="AF33" s="3">
        <f t="shared" si="8"/>
        <v>1151.6300000000001</v>
      </c>
      <c r="AG33" s="1">
        <f t="shared" si="9"/>
        <v>-4.340120174642248E-3</v>
      </c>
      <c r="AH33" s="1"/>
      <c r="AI33" s="1"/>
      <c r="AJ33" s="1"/>
      <c r="AK33" s="1"/>
    </row>
    <row r="34" spans="1:37">
      <c r="A34" s="50">
        <v>45586</v>
      </c>
      <c r="B34" s="51">
        <v>1339.48</v>
      </c>
      <c r="C34" s="52">
        <f t="shared" si="2"/>
        <v>-6.4826215306107377E-3</v>
      </c>
      <c r="D34" s="53">
        <v>24781.1</v>
      </c>
      <c r="E34" s="54">
        <f t="shared" si="3"/>
        <v>-2.9351353199981787E-3</v>
      </c>
      <c r="F34" s="55">
        <v>23122.7</v>
      </c>
      <c r="G34" s="54">
        <f t="shared" si="4"/>
        <v>-9.9973454585934353E-3</v>
      </c>
      <c r="I34" s="127"/>
      <c r="J34" s="127"/>
      <c r="K34" s="127"/>
      <c r="L34" s="127"/>
      <c r="M34" s="127"/>
      <c r="N34" s="127"/>
      <c r="O34" s="127"/>
      <c r="P34" s="127"/>
      <c r="Q34" s="127"/>
      <c r="R34" s="127"/>
      <c r="S34" s="127"/>
      <c r="T34" s="127"/>
      <c r="W34" s="2">
        <v>45583</v>
      </c>
      <c r="X34" s="3">
        <v>1552</v>
      </c>
      <c r="Y34" s="1">
        <f t="shared" si="5"/>
        <v>-2.8911018310311398E-3</v>
      </c>
      <c r="Z34" s="1"/>
      <c r="AA34" s="2">
        <v>45392</v>
      </c>
      <c r="AB34" s="3">
        <f t="shared" si="6"/>
        <v>1231.58</v>
      </c>
      <c r="AC34" s="1">
        <f t="shared" si="7"/>
        <v>-1.621297362149221E-3</v>
      </c>
      <c r="AD34" s="1"/>
      <c r="AE34" s="2">
        <v>45303</v>
      </c>
      <c r="AF34" s="3">
        <f t="shared" si="8"/>
        <v>1156.6500000000001</v>
      </c>
      <c r="AG34" s="1">
        <f t="shared" si="9"/>
        <v>1.6593863434613443E-2</v>
      </c>
      <c r="AH34" s="1"/>
      <c r="AI34" s="1"/>
      <c r="AJ34" s="1"/>
      <c r="AK34" s="1"/>
    </row>
    <row r="35" spans="1:37">
      <c r="A35" s="50">
        <v>45583</v>
      </c>
      <c r="B35" s="51">
        <v>1348.22</v>
      </c>
      <c r="C35" s="52">
        <f t="shared" si="2"/>
        <v>5.5265100946443437E-3</v>
      </c>
      <c r="D35" s="53">
        <v>24854.05</v>
      </c>
      <c r="E35" s="54">
        <f t="shared" si="3"/>
        <v>4.2101265260193789E-3</v>
      </c>
      <c r="F35" s="55">
        <v>23356.2</v>
      </c>
      <c r="G35" s="54">
        <f t="shared" si="4"/>
        <v>4.3949428055388637E-3</v>
      </c>
      <c r="I35" s="217" t="s">
        <v>200</v>
      </c>
      <c r="J35" s="218"/>
      <c r="K35" s="218"/>
      <c r="L35" s="218"/>
      <c r="M35" s="218"/>
      <c r="N35" s="218"/>
      <c r="O35" s="218"/>
      <c r="P35" s="218"/>
      <c r="Q35" s="218"/>
      <c r="R35" s="218"/>
      <c r="S35" s="218"/>
      <c r="T35" s="218"/>
      <c r="U35" s="219"/>
      <c r="W35" s="2">
        <v>45582</v>
      </c>
      <c r="X35" s="3">
        <v>1556.5</v>
      </c>
      <c r="Y35" s="1">
        <f t="shared" si="5"/>
        <v>-4.1905249352227614E-3</v>
      </c>
      <c r="Z35" s="1"/>
      <c r="AA35" s="2">
        <v>45391</v>
      </c>
      <c r="AB35" s="3">
        <f t="shared" si="6"/>
        <v>1233.58</v>
      </c>
      <c r="AC35" s="1">
        <f t="shared" si="7"/>
        <v>-1.0770015628670526E-3</v>
      </c>
      <c r="AD35" s="1"/>
      <c r="AE35" s="2">
        <v>45302</v>
      </c>
      <c r="AF35" s="3">
        <f t="shared" si="8"/>
        <v>1137.77</v>
      </c>
      <c r="AG35" s="1">
        <f t="shared" si="9"/>
        <v>-6.3241662201685145E-4</v>
      </c>
      <c r="AH35" s="1"/>
      <c r="AI35" s="1"/>
      <c r="AJ35" s="1"/>
      <c r="AK35" s="1"/>
    </row>
    <row r="36" spans="1:37">
      <c r="A36" s="50">
        <v>45582</v>
      </c>
      <c r="B36" s="51">
        <v>1340.81</v>
      </c>
      <c r="C36" s="52">
        <f t="shared" si="2"/>
        <v>-1.0207274732153052E-3</v>
      </c>
      <c r="D36" s="53">
        <v>24749.85</v>
      </c>
      <c r="E36" s="54">
        <f t="shared" si="3"/>
        <v>-8.8681806714108087E-3</v>
      </c>
      <c r="F36" s="55">
        <v>23254</v>
      </c>
      <c r="G36" s="54">
        <f t="shared" si="4"/>
        <v>-9.0913545841349169E-3</v>
      </c>
      <c r="I36" s="220"/>
      <c r="J36" s="221"/>
      <c r="K36" s="221"/>
      <c r="L36" s="221"/>
      <c r="M36" s="221"/>
      <c r="N36" s="221"/>
      <c r="O36" s="221"/>
      <c r="P36" s="221"/>
      <c r="Q36" s="221"/>
      <c r="R36" s="221"/>
      <c r="S36" s="221"/>
      <c r="T36" s="221"/>
      <c r="U36" s="222"/>
      <c r="W36" s="2">
        <v>45581</v>
      </c>
      <c r="X36" s="3">
        <v>1563.05</v>
      </c>
      <c r="Y36" s="1">
        <f t="shared" si="5"/>
        <v>-4.2999108166645872E-3</v>
      </c>
      <c r="Z36" s="1"/>
      <c r="AA36" s="2">
        <v>45390</v>
      </c>
      <c r="AB36" s="3">
        <f t="shared" si="6"/>
        <v>1234.9100000000001</v>
      </c>
      <c r="AC36" s="1">
        <f t="shared" si="7"/>
        <v>-7.6869548330704696E-4</v>
      </c>
      <c r="AD36" s="1"/>
      <c r="AE36" s="2">
        <v>45301</v>
      </c>
      <c r="AF36" s="3">
        <f t="shared" si="8"/>
        <v>1138.49</v>
      </c>
      <c r="AG36" s="1">
        <f t="shared" si="9"/>
        <v>-1.6372338954935062E-2</v>
      </c>
      <c r="AH36" s="1"/>
      <c r="AI36" s="1"/>
      <c r="AJ36" s="1"/>
      <c r="AK36" s="1"/>
    </row>
    <row r="37" spans="1:37">
      <c r="A37" s="50">
        <v>45581</v>
      </c>
      <c r="B37" s="51">
        <v>1342.18</v>
      </c>
      <c r="C37" s="52">
        <f t="shared" si="2"/>
        <v>1.5011381425211662E-2</v>
      </c>
      <c r="D37" s="53">
        <v>24971.3</v>
      </c>
      <c r="E37" s="54">
        <f t="shared" si="3"/>
        <v>-3.4341221238478642E-3</v>
      </c>
      <c r="F37" s="55">
        <v>23467.35</v>
      </c>
      <c r="G37" s="54">
        <f t="shared" si="4"/>
        <v>-3.7506845476891868E-3</v>
      </c>
      <c r="I37" s="220"/>
      <c r="J37" s="221"/>
      <c r="K37" s="221"/>
      <c r="L37" s="221"/>
      <c r="M37" s="221"/>
      <c r="N37" s="221"/>
      <c r="O37" s="221"/>
      <c r="P37" s="221"/>
      <c r="Q37" s="221"/>
      <c r="R37" s="221"/>
      <c r="S37" s="221"/>
      <c r="T37" s="221"/>
      <c r="U37" s="222"/>
      <c r="W37" s="2">
        <v>45580</v>
      </c>
      <c r="X37" s="3">
        <v>1569.8</v>
      </c>
      <c r="Y37" s="1">
        <f t="shared" si="5"/>
        <v>-1.9487820112429777E-2</v>
      </c>
      <c r="Z37" s="1"/>
      <c r="AA37" s="2">
        <v>45387</v>
      </c>
      <c r="AB37" s="3">
        <f t="shared" si="6"/>
        <v>1235.8599999999999</v>
      </c>
      <c r="AC37" s="1">
        <f t="shared" si="7"/>
        <v>5.9910459910459402E-3</v>
      </c>
      <c r="AD37" s="1"/>
      <c r="AE37" s="2">
        <v>45300</v>
      </c>
      <c r="AF37" s="3">
        <f t="shared" si="8"/>
        <v>1157.44</v>
      </c>
      <c r="AG37" s="1">
        <f t="shared" si="9"/>
        <v>6.5045740721416667E-3</v>
      </c>
      <c r="AH37" s="1"/>
      <c r="AI37" s="1"/>
      <c r="AJ37" s="1"/>
      <c r="AK37" s="1"/>
    </row>
    <row r="38" spans="1:37">
      <c r="A38" s="50">
        <v>45580</v>
      </c>
      <c r="B38" s="51">
        <v>1322.33</v>
      </c>
      <c r="C38" s="52">
        <f t="shared" si="2"/>
        <v>-7.2448535263292925E-3</v>
      </c>
      <c r="D38" s="53">
        <v>25057.35</v>
      </c>
      <c r="E38" s="54">
        <f t="shared" si="3"/>
        <v>-2.8096203629823435E-3</v>
      </c>
      <c r="F38" s="55">
        <v>23555.7</v>
      </c>
      <c r="G38" s="54">
        <f t="shared" si="4"/>
        <v>-5.2491554054053743E-3</v>
      </c>
      <c r="I38" s="220"/>
      <c r="J38" s="221"/>
      <c r="K38" s="221"/>
      <c r="L38" s="221"/>
      <c r="M38" s="221"/>
      <c r="N38" s="221"/>
      <c r="O38" s="221"/>
      <c r="P38" s="221"/>
      <c r="Q38" s="221"/>
      <c r="R38" s="221"/>
      <c r="S38" s="221"/>
      <c r="T38" s="221"/>
      <c r="U38" s="222"/>
      <c r="W38" s="2">
        <v>45579</v>
      </c>
      <c r="X38" s="3">
        <v>1601</v>
      </c>
      <c r="Y38" s="1">
        <f t="shared" si="5"/>
        <v>4.2024713040205164E-3</v>
      </c>
      <c r="Z38" s="1"/>
      <c r="AA38" s="2">
        <v>45386</v>
      </c>
      <c r="AB38" s="3">
        <f t="shared" si="6"/>
        <v>1228.5</v>
      </c>
      <c r="AC38" s="1">
        <f t="shared" si="7"/>
        <v>2.9553915485598381E-3</v>
      </c>
      <c r="AD38" s="1"/>
      <c r="AE38" s="2">
        <v>45299</v>
      </c>
      <c r="AF38" s="3">
        <f t="shared" si="8"/>
        <v>1149.96</v>
      </c>
      <c r="AG38" s="1">
        <f t="shared" si="9"/>
        <v>-2.004738472753731E-3</v>
      </c>
      <c r="AH38" s="1"/>
      <c r="AI38" s="1"/>
      <c r="AJ38" s="1"/>
      <c r="AK38" s="1"/>
    </row>
    <row r="39" spans="1:37">
      <c r="A39" s="50">
        <v>45579</v>
      </c>
      <c r="B39" s="51">
        <v>1331.98</v>
      </c>
      <c r="C39" s="52">
        <f t="shared" si="2"/>
        <v>9.1980846163172061E-3</v>
      </c>
      <c r="D39" s="53">
        <v>25127.95</v>
      </c>
      <c r="E39" s="54">
        <f t="shared" si="3"/>
        <v>6.5573770491803574E-3</v>
      </c>
      <c r="F39" s="55">
        <v>23680</v>
      </c>
      <c r="G39" s="54">
        <f t="shared" si="4"/>
        <v>4.1450667345143064E-3</v>
      </c>
      <c r="I39" s="220"/>
      <c r="J39" s="221"/>
      <c r="K39" s="221"/>
      <c r="L39" s="221"/>
      <c r="M39" s="221"/>
      <c r="N39" s="221"/>
      <c r="O39" s="221"/>
      <c r="P39" s="221"/>
      <c r="Q39" s="221"/>
      <c r="R39" s="221"/>
      <c r="S39" s="221"/>
      <c r="T39" s="221"/>
      <c r="U39" s="222"/>
      <c r="W39" s="2">
        <v>45576</v>
      </c>
      <c r="X39" s="3">
        <v>1594.3</v>
      </c>
      <c r="Y39" s="1">
        <f t="shared" si="5"/>
        <v>-1.8227723381981753E-2</v>
      </c>
      <c r="Z39" s="1"/>
      <c r="AA39" s="2">
        <v>45385</v>
      </c>
      <c r="AB39" s="3">
        <f t="shared" si="6"/>
        <v>1224.8800000000001</v>
      </c>
      <c r="AC39" s="1">
        <f t="shared" si="7"/>
        <v>-1.8140135149217196E-2</v>
      </c>
      <c r="AD39" s="1"/>
      <c r="AE39" s="2">
        <v>45296</v>
      </c>
      <c r="AF39" s="3">
        <f t="shared" si="8"/>
        <v>1152.27</v>
      </c>
      <c r="AG39" s="1">
        <f t="shared" si="9"/>
        <v>-1.2732086399972697E-2</v>
      </c>
      <c r="AH39" s="1"/>
      <c r="AI39" s="1"/>
      <c r="AJ39" s="1"/>
      <c r="AK39" s="1"/>
    </row>
    <row r="40" spans="1:37">
      <c r="A40" s="50">
        <v>45576</v>
      </c>
      <c r="B40" s="51">
        <v>1319.84</v>
      </c>
      <c r="C40" s="52">
        <f t="shared" si="2"/>
        <v>2.4456563017423612E-3</v>
      </c>
      <c r="D40" s="53">
        <v>24964.25</v>
      </c>
      <c r="E40" s="54">
        <f t="shared" si="3"/>
        <v>-1.368084821258947E-3</v>
      </c>
      <c r="F40" s="55">
        <v>23582.25</v>
      </c>
      <c r="G40" s="54">
        <f t="shared" si="4"/>
        <v>1.1890075798696791E-2</v>
      </c>
      <c r="I40" s="220"/>
      <c r="J40" s="221"/>
      <c r="K40" s="221"/>
      <c r="L40" s="221"/>
      <c r="M40" s="221"/>
      <c r="N40" s="221"/>
      <c r="O40" s="221"/>
      <c r="P40" s="221"/>
      <c r="Q40" s="221"/>
      <c r="R40" s="221"/>
      <c r="S40" s="221"/>
      <c r="T40" s="221"/>
      <c r="U40" s="222"/>
      <c r="W40" s="2">
        <v>45575</v>
      </c>
      <c r="X40" s="3">
        <v>1623.9</v>
      </c>
      <c r="Y40" s="1">
        <f t="shared" si="5"/>
        <v>-3.5115864527629159E-2</v>
      </c>
      <c r="Z40" s="1"/>
      <c r="AA40" s="2">
        <v>45384</v>
      </c>
      <c r="AB40" s="3">
        <f t="shared" ref="AB40:AB71" si="12">B171</f>
        <v>1247.51</v>
      </c>
      <c r="AC40" s="1">
        <f t="shared" si="7"/>
        <v>-2.047885318422149E-3</v>
      </c>
      <c r="AD40" s="1"/>
      <c r="AE40" s="2">
        <v>45295</v>
      </c>
      <c r="AF40" s="3">
        <f t="shared" ref="AF40:AF71" si="13">B230</f>
        <v>1167.1300000000001</v>
      </c>
      <c r="AG40" s="1">
        <f t="shared" si="9"/>
        <v>-1.1211529903117912E-3</v>
      </c>
      <c r="AH40" s="1"/>
      <c r="AI40" s="1"/>
      <c r="AJ40" s="1"/>
      <c r="AK40" s="1"/>
    </row>
    <row r="41" spans="1:37">
      <c r="A41" s="50">
        <v>45575</v>
      </c>
      <c r="B41" s="51">
        <v>1316.62</v>
      </c>
      <c r="C41" s="52">
        <f t="shared" si="2"/>
        <v>-1.2265842442065565E-2</v>
      </c>
      <c r="D41" s="53">
        <v>24998.45</v>
      </c>
      <c r="E41" s="54">
        <f t="shared" si="3"/>
        <v>6.604768642960217E-4</v>
      </c>
      <c r="F41" s="55">
        <v>23305.15</v>
      </c>
      <c r="G41" s="54">
        <f t="shared" si="4"/>
        <v>-2.0125043096561435E-2</v>
      </c>
      <c r="I41" s="220"/>
      <c r="J41" s="221"/>
      <c r="K41" s="221"/>
      <c r="L41" s="221"/>
      <c r="M41" s="221"/>
      <c r="N41" s="221"/>
      <c r="O41" s="221"/>
      <c r="P41" s="221"/>
      <c r="Q41" s="221"/>
      <c r="R41" s="221"/>
      <c r="S41" s="221"/>
      <c r="T41" s="221"/>
      <c r="U41" s="222"/>
      <c r="W41" s="2">
        <v>45574</v>
      </c>
      <c r="X41" s="3">
        <v>1683</v>
      </c>
      <c r="Y41" s="1">
        <f t="shared" si="5"/>
        <v>2.6282090371364086E-2</v>
      </c>
      <c r="Z41" s="1"/>
      <c r="AA41" s="2">
        <v>45383</v>
      </c>
      <c r="AB41" s="3">
        <f t="shared" si="12"/>
        <v>1250.07</v>
      </c>
      <c r="AC41" s="1">
        <f t="shared" si="7"/>
        <v>1.5013235031423156E-2</v>
      </c>
      <c r="AD41" s="1"/>
      <c r="AE41" s="2">
        <v>45294</v>
      </c>
      <c r="AF41" s="3">
        <f t="shared" si="13"/>
        <v>1168.44</v>
      </c>
      <c r="AG41" s="1">
        <f t="shared" si="9"/>
        <v>-1.5121630506245931E-2</v>
      </c>
      <c r="AH41" s="1"/>
      <c r="AI41" s="1"/>
      <c r="AJ41" s="1"/>
      <c r="AK41" s="1"/>
    </row>
    <row r="42" spans="1:37">
      <c r="A42" s="50">
        <v>45574</v>
      </c>
      <c r="B42" s="51">
        <v>1332.97</v>
      </c>
      <c r="C42" s="52">
        <f t="shared" si="2"/>
        <v>1.3221054529337902E-3</v>
      </c>
      <c r="D42" s="53">
        <v>24981.95</v>
      </c>
      <c r="E42" s="54">
        <f t="shared" si="3"/>
        <v>-1.2473438971101491E-3</v>
      </c>
      <c r="F42" s="55">
        <v>23783.8</v>
      </c>
      <c r="G42" s="54">
        <f t="shared" si="4"/>
        <v>2.0415780881630454E-2</v>
      </c>
      <c r="I42" s="220"/>
      <c r="J42" s="221"/>
      <c r="K42" s="221"/>
      <c r="L42" s="221"/>
      <c r="M42" s="221"/>
      <c r="N42" s="221"/>
      <c r="O42" s="221"/>
      <c r="P42" s="221"/>
      <c r="Q42" s="221"/>
      <c r="R42" s="221"/>
      <c r="S42" s="221"/>
      <c r="T42" s="221"/>
      <c r="U42" s="222"/>
      <c r="W42" s="2">
        <v>45573</v>
      </c>
      <c r="X42" s="3">
        <v>1639.9</v>
      </c>
      <c r="Y42" s="1">
        <f t="shared" si="5"/>
        <v>9.7906403940888342E-3</v>
      </c>
      <c r="Z42" s="1"/>
      <c r="AA42" s="2">
        <v>45379</v>
      </c>
      <c r="AB42" s="3">
        <f t="shared" si="12"/>
        <v>1231.58</v>
      </c>
      <c r="AC42" s="1">
        <f t="shared" si="7"/>
        <v>1.8828278817359045E-2</v>
      </c>
      <c r="AD42" s="1"/>
      <c r="AE42" s="2">
        <v>45293</v>
      </c>
      <c r="AF42" s="3">
        <f t="shared" si="13"/>
        <v>1186.3800000000001</v>
      </c>
      <c r="AG42" s="1">
        <f t="shared" si="9"/>
        <v>8.6049807653387766E-4</v>
      </c>
      <c r="AH42" s="1"/>
      <c r="AI42" s="1"/>
      <c r="AJ42" s="1"/>
      <c r="AK42" s="1"/>
    </row>
    <row r="43" spans="1:37">
      <c r="A43" s="50">
        <v>45573</v>
      </c>
      <c r="B43" s="51">
        <v>1331.21</v>
      </c>
      <c r="C43" s="52">
        <f t="shared" si="2"/>
        <v>6.9819513154510794E-3</v>
      </c>
      <c r="D43" s="53">
        <v>25013.15</v>
      </c>
      <c r="E43" s="54">
        <f t="shared" si="3"/>
        <v>8.7676315497616109E-3</v>
      </c>
      <c r="F43" s="55">
        <v>23307.95</v>
      </c>
      <c r="G43" s="54">
        <f t="shared" si="4"/>
        <v>1.4368216278320878E-2</v>
      </c>
      <c r="I43" s="220"/>
      <c r="J43" s="221"/>
      <c r="K43" s="221"/>
      <c r="L43" s="221"/>
      <c r="M43" s="221"/>
      <c r="N43" s="221"/>
      <c r="O43" s="221"/>
      <c r="P43" s="221"/>
      <c r="Q43" s="221"/>
      <c r="R43" s="221"/>
      <c r="S43" s="221"/>
      <c r="T43" s="221"/>
      <c r="U43" s="222"/>
      <c r="W43" s="2">
        <v>45572</v>
      </c>
      <c r="X43" s="3">
        <v>1624</v>
      </c>
      <c r="Y43" s="1">
        <f t="shared" si="5"/>
        <v>-6.1538461538457323E-4</v>
      </c>
      <c r="Z43" s="1"/>
      <c r="AA43" s="2">
        <v>45378</v>
      </c>
      <c r="AB43" s="3">
        <f t="shared" si="12"/>
        <v>1208.82</v>
      </c>
      <c r="AC43" s="1">
        <f t="shared" si="7"/>
        <v>-1.4792537714858667E-2</v>
      </c>
      <c r="AD43" s="1"/>
      <c r="AE43" s="2">
        <v>45292</v>
      </c>
      <c r="AF43" s="3">
        <f t="shared" si="13"/>
        <v>1185.3599999999999</v>
      </c>
      <c r="AG43" s="1">
        <f t="shared" si="9"/>
        <v>1.8061889670454301E-2</v>
      </c>
      <c r="AH43" s="1"/>
      <c r="AI43" s="1"/>
      <c r="AJ43" s="1"/>
      <c r="AK43" s="1"/>
    </row>
    <row r="44" spans="1:37">
      <c r="A44" s="50">
        <v>45572</v>
      </c>
      <c r="B44" s="51">
        <v>1321.98</v>
      </c>
      <c r="C44" s="52">
        <f t="shared" si="2"/>
        <v>-3.5201447254363037E-3</v>
      </c>
      <c r="D44" s="53">
        <v>24795.75</v>
      </c>
      <c r="E44" s="54">
        <f t="shared" si="3"/>
        <v>-8.7488906478615912E-3</v>
      </c>
      <c r="F44" s="55">
        <v>22977.8</v>
      </c>
      <c r="G44" s="54">
        <f t="shared" si="4"/>
        <v>-5.0617674184986793E-3</v>
      </c>
      <c r="I44" s="220"/>
      <c r="J44" s="221"/>
      <c r="K44" s="221"/>
      <c r="L44" s="221"/>
      <c r="M44" s="221"/>
      <c r="N44" s="221"/>
      <c r="O44" s="221"/>
      <c r="P44" s="221"/>
      <c r="Q44" s="221"/>
      <c r="R44" s="221"/>
      <c r="S44" s="221"/>
      <c r="T44" s="221"/>
      <c r="U44" s="222"/>
      <c r="W44" s="2">
        <v>45569</v>
      </c>
      <c r="X44" s="3">
        <v>1625</v>
      </c>
      <c r="Y44" s="1">
        <f t="shared" si="5"/>
        <v>-1.9903498190591118E-2</v>
      </c>
      <c r="Z44" s="1"/>
      <c r="AA44" s="2">
        <v>45377</v>
      </c>
      <c r="AB44" s="3">
        <f t="shared" si="12"/>
        <v>1226.97</v>
      </c>
      <c r="AC44" s="1">
        <f t="shared" si="7"/>
        <v>-1.1018506577250564E-2</v>
      </c>
      <c r="AD44" s="1"/>
      <c r="AE44" s="2">
        <v>45289</v>
      </c>
      <c r="AF44" s="3">
        <f t="shared" si="13"/>
        <v>1164.33</v>
      </c>
      <c r="AG44" s="1">
        <f t="shared" si="9"/>
        <v>4.0963107331966064E-3</v>
      </c>
      <c r="AH44" s="1"/>
      <c r="AI44" s="1"/>
      <c r="AJ44" s="1"/>
      <c r="AK44" s="1"/>
    </row>
    <row r="45" spans="1:37">
      <c r="A45" s="50">
        <v>45569</v>
      </c>
      <c r="B45" s="51">
        <v>1326.65</v>
      </c>
      <c r="C45" s="52">
        <f t="shared" si="2"/>
        <v>-1.5202690163532857E-2</v>
      </c>
      <c r="D45" s="53">
        <v>25014.6</v>
      </c>
      <c r="E45" s="54">
        <f t="shared" si="3"/>
        <v>-9.3266957358584725E-3</v>
      </c>
      <c r="F45" s="55">
        <v>23094.7</v>
      </c>
      <c r="G45" s="54">
        <f t="shared" si="4"/>
        <v>-3.6261662082726323E-3</v>
      </c>
      <c r="I45" s="220"/>
      <c r="J45" s="221"/>
      <c r="K45" s="221"/>
      <c r="L45" s="221"/>
      <c r="M45" s="221"/>
      <c r="N45" s="221"/>
      <c r="O45" s="221"/>
      <c r="P45" s="221"/>
      <c r="Q45" s="221"/>
      <c r="R45" s="221"/>
      <c r="S45" s="221"/>
      <c r="T45" s="221"/>
      <c r="U45" s="222"/>
      <c r="W45" s="2">
        <v>45568</v>
      </c>
      <c r="X45" s="3">
        <v>1658</v>
      </c>
      <c r="Y45" s="1">
        <f t="shared" si="5"/>
        <v>-3.5758286006190021E-3</v>
      </c>
      <c r="Z45" s="1"/>
      <c r="AA45" s="2">
        <v>45373</v>
      </c>
      <c r="AB45" s="3">
        <f t="shared" si="12"/>
        <v>1240.6400000000001</v>
      </c>
      <c r="AC45" s="1">
        <f t="shared" si="7"/>
        <v>1.223850396527526E-2</v>
      </c>
      <c r="AD45" s="1"/>
      <c r="AE45" s="2">
        <v>45288</v>
      </c>
      <c r="AF45" s="3">
        <f t="shared" si="13"/>
        <v>1159.58</v>
      </c>
      <c r="AG45" s="1">
        <f t="shared" si="9"/>
        <v>-1.0352390949979196E-2</v>
      </c>
      <c r="AH45" s="1"/>
      <c r="AI45" s="1"/>
      <c r="AJ45" s="1"/>
      <c r="AK45" s="1"/>
    </row>
    <row r="46" spans="1:37">
      <c r="A46" s="50">
        <v>45568</v>
      </c>
      <c r="B46" s="51">
        <v>1347.13</v>
      </c>
      <c r="C46" s="52">
        <f t="shared" si="2"/>
        <v>-1.9928583070334023E-3</v>
      </c>
      <c r="D46" s="53">
        <v>25250.1</v>
      </c>
      <c r="E46" s="54">
        <f t="shared" si="3"/>
        <v>-2.1196345297303278E-2</v>
      </c>
      <c r="F46" s="55">
        <v>23178.75</v>
      </c>
      <c r="G46" s="54">
        <f t="shared" si="4"/>
        <v>-5.0565427069673092E-3</v>
      </c>
      <c r="I46" s="220"/>
      <c r="J46" s="221"/>
      <c r="K46" s="221"/>
      <c r="L46" s="221"/>
      <c r="M46" s="221"/>
      <c r="N46" s="221"/>
      <c r="O46" s="221"/>
      <c r="P46" s="221"/>
      <c r="Q46" s="221"/>
      <c r="R46" s="221"/>
      <c r="S46" s="221"/>
      <c r="T46" s="221"/>
      <c r="U46" s="222"/>
      <c r="W46" s="2">
        <v>45566</v>
      </c>
      <c r="X46" s="3">
        <v>1663.95</v>
      </c>
      <c r="Y46" s="1">
        <f t="shared" si="5"/>
        <v>5.407854984894378E-3</v>
      </c>
      <c r="Z46" s="1"/>
      <c r="AA46" s="2">
        <v>45372</v>
      </c>
      <c r="AB46" s="3">
        <f t="shared" si="12"/>
        <v>1225.6400000000001</v>
      </c>
      <c r="AC46" s="1">
        <f t="shared" si="7"/>
        <v>4.0797601297659636E-3</v>
      </c>
      <c r="AD46" s="1"/>
      <c r="AE46" s="2">
        <v>45287</v>
      </c>
      <c r="AF46" s="3">
        <f t="shared" si="13"/>
        <v>1171.71</v>
      </c>
      <c r="AG46" s="1">
        <f t="shared" si="9"/>
        <v>2.5207804707323422E-2</v>
      </c>
      <c r="AH46" s="1"/>
      <c r="AI46" s="1"/>
      <c r="AJ46" s="1"/>
      <c r="AK46" s="1"/>
    </row>
    <row r="47" spans="1:37">
      <c r="A47" s="50">
        <v>45566</v>
      </c>
      <c r="B47" s="51">
        <v>1349.82</v>
      </c>
      <c r="C47" s="52">
        <f t="shared" si="2"/>
        <v>-3.7028259968007588E-4</v>
      </c>
      <c r="D47" s="53">
        <v>25796.9</v>
      </c>
      <c r="E47" s="54">
        <f t="shared" si="3"/>
        <v>-5.4047038357888603E-4</v>
      </c>
      <c r="F47" s="55">
        <v>23296.55</v>
      </c>
      <c r="G47" s="54">
        <f t="shared" si="4"/>
        <v>6.5933027507166918E-4</v>
      </c>
      <c r="I47" s="220"/>
      <c r="J47" s="221"/>
      <c r="K47" s="221"/>
      <c r="L47" s="221"/>
      <c r="M47" s="221"/>
      <c r="N47" s="221"/>
      <c r="O47" s="221"/>
      <c r="P47" s="221"/>
      <c r="Q47" s="221"/>
      <c r="R47" s="221"/>
      <c r="S47" s="221"/>
      <c r="T47" s="221"/>
      <c r="U47" s="222"/>
      <c r="W47" s="2">
        <v>45565</v>
      </c>
      <c r="X47" s="3">
        <v>1655</v>
      </c>
      <c r="Y47" s="1">
        <f t="shared" si="5"/>
        <v>-1.1645267243953428E-2</v>
      </c>
      <c r="Z47" s="1"/>
      <c r="AA47" s="2">
        <v>45371</v>
      </c>
      <c r="AB47" s="3">
        <f t="shared" si="12"/>
        <v>1220.6600000000001</v>
      </c>
      <c r="AC47" s="1">
        <f t="shared" si="7"/>
        <v>-5.1508582046976281E-3</v>
      </c>
      <c r="AD47" s="1"/>
      <c r="AE47" s="2">
        <v>45286</v>
      </c>
      <c r="AF47" s="3">
        <f t="shared" si="13"/>
        <v>1142.9000000000001</v>
      </c>
      <c r="AG47" s="1">
        <f t="shared" si="9"/>
        <v>1.4621414557495882E-2</v>
      </c>
      <c r="AH47" s="1"/>
      <c r="AI47" s="1"/>
      <c r="AJ47" s="1"/>
      <c r="AK47" s="1"/>
    </row>
    <row r="48" spans="1:37">
      <c r="A48" s="50">
        <v>45565</v>
      </c>
      <c r="B48" s="51">
        <v>1350.32</v>
      </c>
      <c r="C48" s="52">
        <f t="shared" si="2"/>
        <v>2.5185558304561411E-4</v>
      </c>
      <c r="D48" s="53">
        <v>25810.85</v>
      </c>
      <c r="E48" s="54">
        <f t="shared" si="3"/>
        <v>-1.4060915353748036E-2</v>
      </c>
      <c r="F48" s="55">
        <v>23281.200000000001</v>
      </c>
      <c r="G48" s="54">
        <f t="shared" si="4"/>
        <v>-1.0115182978940429E-2</v>
      </c>
      <c r="I48" s="220"/>
      <c r="J48" s="221"/>
      <c r="K48" s="221"/>
      <c r="L48" s="221"/>
      <c r="M48" s="221"/>
      <c r="N48" s="221"/>
      <c r="O48" s="221"/>
      <c r="P48" s="221"/>
      <c r="Q48" s="221"/>
      <c r="R48" s="221"/>
      <c r="S48" s="221"/>
      <c r="T48" s="221"/>
      <c r="U48" s="222"/>
      <c r="W48" s="2">
        <v>45562</v>
      </c>
      <c r="X48" s="3">
        <v>1674.5</v>
      </c>
      <c r="Y48" s="1">
        <f t="shared" si="5"/>
        <v>3.4280420012353208E-2</v>
      </c>
      <c r="Z48" s="1"/>
      <c r="AA48" s="2">
        <v>45370</v>
      </c>
      <c r="AB48" s="3">
        <f t="shared" si="12"/>
        <v>1226.98</v>
      </c>
      <c r="AC48" s="1">
        <f t="shared" si="7"/>
        <v>-3.2510388658029798E-2</v>
      </c>
      <c r="AD48" s="1"/>
      <c r="AE48" s="2">
        <v>45282</v>
      </c>
      <c r="AF48" s="3">
        <f t="shared" si="13"/>
        <v>1126.43</v>
      </c>
      <c r="AG48" s="1">
        <f t="shared" si="9"/>
        <v>7.9073155996245426E-4</v>
      </c>
      <c r="AH48" s="1"/>
      <c r="AI48" s="1"/>
      <c r="AJ48" s="1"/>
      <c r="AK48" s="1"/>
    </row>
    <row r="49" spans="1:37">
      <c r="A49" s="50">
        <v>45562</v>
      </c>
      <c r="B49" s="51">
        <v>1349.98</v>
      </c>
      <c r="C49" s="52">
        <f t="shared" si="2"/>
        <v>8.1549137061851982E-4</v>
      </c>
      <c r="D49" s="53">
        <v>26178.95</v>
      </c>
      <c r="E49" s="54">
        <f t="shared" si="3"/>
        <v>-1.4151636116042862E-3</v>
      </c>
      <c r="F49" s="55">
        <v>23519.1</v>
      </c>
      <c r="G49" s="54">
        <f t="shared" si="4"/>
        <v>1.1535037353392646E-2</v>
      </c>
      <c r="I49" s="220"/>
      <c r="J49" s="221"/>
      <c r="K49" s="221"/>
      <c r="L49" s="221"/>
      <c r="M49" s="221"/>
      <c r="N49" s="221"/>
      <c r="O49" s="221"/>
      <c r="P49" s="221"/>
      <c r="Q49" s="221"/>
      <c r="R49" s="221"/>
      <c r="S49" s="221"/>
      <c r="T49" s="221"/>
      <c r="U49" s="222"/>
      <c r="W49" s="2">
        <v>45561</v>
      </c>
      <c r="X49" s="3">
        <v>1619</v>
      </c>
      <c r="Y49" s="1">
        <f t="shared" si="5"/>
        <v>-1.7597087378640741E-2</v>
      </c>
      <c r="Z49" s="1"/>
      <c r="AA49" s="2">
        <v>45369</v>
      </c>
      <c r="AB49" s="3">
        <f t="shared" si="12"/>
        <v>1268.21</v>
      </c>
      <c r="AC49" s="1">
        <f t="shared" si="7"/>
        <v>8.9341119190440299E-3</v>
      </c>
      <c r="AD49" s="1"/>
      <c r="AE49" s="2">
        <v>45281</v>
      </c>
      <c r="AF49" s="3">
        <f t="shared" si="13"/>
        <v>1125.54</v>
      </c>
      <c r="AG49" s="1">
        <f t="shared" si="9"/>
        <v>1.3178503915743933E-2</v>
      </c>
      <c r="AH49" s="1"/>
      <c r="AI49" s="1"/>
      <c r="AJ49" s="1"/>
      <c r="AK49" s="1"/>
    </row>
    <row r="50" spans="1:37">
      <c r="A50" s="50">
        <v>45561</v>
      </c>
      <c r="B50" s="51">
        <v>1348.88</v>
      </c>
      <c r="C50" s="52">
        <f t="shared" si="2"/>
        <v>7.9130831135255774E-3</v>
      </c>
      <c r="D50" s="53">
        <v>26216.05</v>
      </c>
      <c r="E50" s="54">
        <f t="shared" si="3"/>
        <v>8.1486993422202926E-3</v>
      </c>
      <c r="F50" s="55">
        <v>23250.9</v>
      </c>
      <c r="G50" s="54">
        <f t="shared" si="4"/>
        <v>8.172394511598156E-5</v>
      </c>
      <c r="I50" s="220"/>
      <c r="J50" s="221"/>
      <c r="K50" s="221"/>
      <c r="L50" s="221"/>
      <c r="M50" s="221"/>
      <c r="N50" s="221"/>
      <c r="O50" s="221"/>
      <c r="P50" s="221"/>
      <c r="Q50" s="221"/>
      <c r="R50" s="221"/>
      <c r="S50" s="221"/>
      <c r="T50" s="221"/>
      <c r="U50" s="222"/>
      <c r="W50" s="2">
        <v>45560</v>
      </c>
      <c r="X50" s="3">
        <v>1648</v>
      </c>
      <c r="Y50" s="1">
        <f t="shared" si="5"/>
        <v>5.5218279996338548E-3</v>
      </c>
      <c r="Z50" s="1"/>
      <c r="AA50" s="2">
        <v>45366</v>
      </c>
      <c r="AB50" s="3">
        <f t="shared" si="12"/>
        <v>1256.98</v>
      </c>
      <c r="AC50" s="1">
        <f t="shared" si="7"/>
        <v>-1.5410033997395045E-3</v>
      </c>
      <c r="AD50" s="1"/>
      <c r="AE50" s="2">
        <v>45280</v>
      </c>
      <c r="AF50" s="3">
        <f t="shared" si="13"/>
        <v>1110.9000000000001</v>
      </c>
      <c r="AG50" s="1">
        <f t="shared" si="9"/>
        <v>-4.4182357527579041E-3</v>
      </c>
      <c r="AH50" s="1"/>
      <c r="AI50" s="1"/>
      <c r="AJ50" s="1"/>
      <c r="AK50" s="1"/>
    </row>
    <row r="51" spans="1:37">
      <c r="A51" s="50">
        <v>45560</v>
      </c>
      <c r="B51" s="51">
        <v>1338.29</v>
      </c>
      <c r="C51" s="52">
        <f t="shared" si="2"/>
        <v>6.1801258580375679E-3</v>
      </c>
      <c r="D51" s="53">
        <v>26004.15</v>
      </c>
      <c r="E51" s="54">
        <f t="shared" si="3"/>
        <v>2.4575565527131422E-3</v>
      </c>
      <c r="F51" s="55">
        <v>23249</v>
      </c>
      <c r="G51" s="54">
        <f t="shared" si="4"/>
        <v>2.6133756533438506E-3</v>
      </c>
      <c r="I51" s="220"/>
      <c r="J51" s="221"/>
      <c r="K51" s="221"/>
      <c r="L51" s="221"/>
      <c r="M51" s="221"/>
      <c r="N51" s="221"/>
      <c r="O51" s="221"/>
      <c r="P51" s="221"/>
      <c r="Q51" s="221"/>
      <c r="R51" s="221"/>
      <c r="S51" s="221"/>
      <c r="T51" s="221"/>
      <c r="U51" s="222"/>
      <c r="W51" s="2">
        <v>45559</v>
      </c>
      <c r="X51" s="3">
        <v>1638.95</v>
      </c>
      <c r="Y51" s="1">
        <f t="shared" si="5"/>
        <v>-1.1817551475686527E-2</v>
      </c>
      <c r="Z51" s="1"/>
      <c r="AA51" s="2">
        <v>45365</v>
      </c>
      <c r="AB51" s="3">
        <f t="shared" si="12"/>
        <v>1258.92</v>
      </c>
      <c r="AC51" s="1">
        <f t="shared" si="7"/>
        <v>-1.4594371648846138E-3</v>
      </c>
      <c r="AD51" s="1"/>
      <c r="AE51" s="2">
        <v>45279</v>
      </c>
      <c r="AF51" s="3">
        <f t="shared" si="13"/>
        <v>1115.83</v>
      </c>
      <c r="AG51" s="1">
        <f t="shared" si="9"/>
        <v>-1.0341555135744085E-2</v>
      </c>
      <c r="AH51" s="1"/>
      <c r="AI51" s="1"/>
      <c r="AJ51" s="1"/>
      <c r="AK51" s="1"/>
    </row>
    <row r="52" spans="1:37">
      <c r="A52" s="50">
        <v>45559</v>
      </c>
      <c r="B52" s="51">
        <v>1330.07</v>
      </c>
      <c r="C52" s="52">
        <f t="shared" si="2"/>
        <v>-6.1612905649615192E-4</v>
      </c>
      <c r="D52" s="53">
        <v>25940.400000000001</v>
      </c>
      <c r="E52" s="54">
        <f t="shared" si="3"/>
        <v>5.2045082607195824E-5</v>
      </c>
      <c r="F52" s="55">
        <v>23188.400000000001</v>
      </c>
      <c r="G52" s="54">
        <f t="shared" si="4"/>
        <v>2.3406853474826914E-3</v>
      </c>
      <c r="I52" s="220"/>
      <c r="J52" s="221"/>
      <c r="K52" s="221"/>
      <c r="L52" s="221"/>
      <c r="M52" s="221"/>
      <c r="N52" s="221"/>
      <c r="O52" s="221"/>
      <c r="P52" s="221"/>
      <c r="Q52" s="221"/>
      <c r="R52" s="221"/>
      <c r="S52" s="221"/>
      <c r="T52" s="221"/>
      <c r="U52" s="222"/>
      <c r="W52" s="2">
        <v>45558</v>
      </c>
      <c r="X52" s="3">
        <v>1658.55</v>
      </c>
      <c r="Y52" s="1">
        <f t="shared" si="5"/>
        <v>8.8196830996625231E-3</v>
      </c>
      <c r="Z52" s="1"/>
      <c r="AA52" s="2">
        <v>45364</v>
      </c>
      <c r="AB52" s="3">
        <f t="shared" si="12"/>
        <v>1260.76</v>
      </c>
      <c r="AC52" s="1">
        <f t="shared" si="7"/>
        <v>2.6181541220049453E-4</v>
      </c>
      <c r="AD52" s="1"/>
      <c r="AE52" s="2">
        <v>45278</v>
      </c>
      <c r="AF52" s="3">
        <f t="shared" si="13"/>
        <v>1127.49</v>
      </c>
      <c r="AG52" s="1">
        <f t="shared" si="9"/>
        <v>8.2989778306399309E-3</v>
      </c>
      <c r="AH52" s="1"/>
      <c r="AI52" s="1"/>
      <c r="AJ52" s="1"/>
      <c r="AK52" s="1"/>
    </row>
    <row r="53" spans="1:37">
      <c r="A53" s="50">
        <v>45558</v>
      </c>
      <c r="B53" s="51">
        <v>1330.89</v>
      </c>
      <c r="C53" s="52">
        <f t="shared" si="2"/>
        <v>1.576822389962074E-2</v>
      </c>
      <c r="D53" s="53">
        <v>25939.05</v>
      </c>
      <c r="E53" s="54">
        <f t="shared" si="3"/>
        <v>5.7423243424534007E-3</v>
      </c>
      <c r="F53" s="55">
        <v>23134.25</v>
      </c>
      <c r="G53" s="54">
        <f t="shared" si="4"/>
        <v>5.6074156985905389E-3</v>
      </c>
      <c r="I53" s="220"/>
      <c r="J53" s="221"/>
      <c r="K53" s="221"/>
      <c r="L53" s="221"/>
      <c r="M53" s="221"/>
      <c r="N53" s="221"/>
      <c r="O53" s="221"/>
      <c r="P53" s="221"/>
      <c r="Q53" s="221"/>
      <c r="R53" s="221"/>
      <c r="S53" s="221"/>
      <c r="T53" s="221"/>
      <c r="U53" s="222"/>
      <c r="W53" s="2">
        <v>45555</v>
      </c>
      <c r="X53" s="3">
        <v>1644.05</v>
      </c>
      <c r="Y53" s="1">
        <f t="shared" si="5"/>
        <v>1.2484774665042497E-3</v>
      </c>
      <c r="Z53" s="1"/>
      <c r="AA53" s="2">
        <v>45363</v>
      </c>
      <c r="AB53" s="3">
        <f t="shared" si="12"/>
        <v>1260.43</v>
      </c>
      <c r="AC53" s="1">
        <f t="shared" si="7"/>
        <v>-1.3354311971130794E-2</v>
      </c>
      <c r="AD53" s="1"/>
      <c r="AE53" s="2">
        <v>45275</v>
      </c>
      <c r="AF53" s="3">
        <f t="shared" si="13"/>
        <v>1118.21</v>
      </c>
      <c r="AG53" s="1">
        <f t="shared" si="9"/>
        <v>2.8625356698785964E-4</v>
      </c>
      <c r="AH53" s="1"/>
      <c r="AI53" s="1"/>
      <c r="AJ53" s="1"/>
      <c r="AK53" s="1"/>
    </row>
    <row r="54" spans="1:37">
      <c r="A54" s="50">
        <v>45555</v>
      </c>
      <c r="B54" s="51">
        <v>1310.23</v>
      </c>
      <c r="C54" s="52">
        <f t="shared" si="2"/>
        <v>7.473990972772241E-3</v>
      </c>
      <c r="D54" s="53">
        <v>25790.95</v>
      </c>
      <c r="E54" s="54">
        <f t="shared" si="3"/>
        <v>1.4760503308965348E-2</v>
      </c>
      <c r="F54" s="55">
        <v>23005.25</v>
      </c>
      <c r="G54" s="54">
        <f t="shared" si="4"/>
        <v>3.2751639217361659E-3</v>
      </c>
      <c r="I54" s="220"/>
      <c r="J54" s="221"/>
      <c r="K54" s="221"/>
      <c r="L54" s="221"/>
      <c r="M54" s="221"/>
      <c r="N54" s="221"/>
      <c r="O54" s="221"/>
      <c r="P54" s="221"/>
      <c r="Q54" s="221"/>
      <c r="R54" s="221"/>
      <c r="S54" s="221"/>
      <c r="T54" s="221"/>
      <c r="U54" s="222"/>
      <c r="W54" s="2">
        <v>45554</v>
      </c>
      <c r="X54" s="3">
        <v>1642</v>
      </c>
      <c r="Y54" s="1">
        <f t="shared" si="5"/>
        <v>-6.3540090771557756E-3</v>
      </c>
      <c r="Z54" s="1"/>
      <c r="AA54" s="2">
        <v>45362</v>
      </c>
      <c r="AB54" s="3">
        <f t="shared" si="12"/>
        <v>1277.49</v>
      </c>
      <c r="AC54" s="1">
        <f t="shared" si="7"/>
        <v>1.0009250254975122E-2</v>
      </c>
      <c r="AD54" s="1"/>
      <c r="AE54" s="2">
        <v>45274</v>
      </c>
      <c r="AF54" s="3">
        <f t="shared" si="13"/>
        <v>1117.8900000000001</v>
      </c>
      <c r="AG54" s="1">
        <f t="shared" si="9"/>
        <v>2.888747342262743E-3</v>
      </c>
      <c r="AH54" s="1"/>
      <c r="AI54" s="1"/>
      <c r="AJ54" s="1"/>
      <c r="AK54" s="1"/>
    </row>
    <row r="55" spans="1:37">
      <c r="A55" s="50">
        <v>45554</v>
      </c>
      <c r="B55" s="51">
        <v>1300.51</v>
      </c>
      <c r="C55" s="52">
        <f t="shared" si="2"/>
        <v>-9.9348335820213431E-3</v>
      </c>
      <c r="D55" s="53">
        <v>25415.8</v>
      </c>
      <c r="E55" s="54">
        <f t="shared" si="3"/>
        <v>1.5072376963103215E-3</v>
      </c>
      <c r="F55" s="55">
        <v>22930.15</v>
      </c>
      <c r="G55" s="54">
        <f t="shared" si="4"/>
        <v>-4.1280857495265737E-3</v>
      </c>
      <c r="I55" s="220"/>
      <c r="J55" s="221"/>
      <c r="K55" s="221"/>
      <c r="L55" s="221"/>
      <c r="M55" s="221"/>
      <c r="N55" s="221"/>
      <c r="O55" s="221"/>
      <c r="P55" s="221"/>
      <c r="Q55" s="221"/>
      <c r="R55" s="221"/>
      <c r="S55" s="221"/>
      <c r="T55" s="221"/>
      <c r="U55" s="222"/>
      <c r="W55" s="2">
        <v>45553</v>
      </c>
      <c r="X55" s="3">
        <v>1652.5</v>
      </c>
      <c r="Y55" s="1">
        <f t="shared" si="5"/>
        <v>-1.2253436939629436E-2</v>
      </c>
      <c r="Z55" s="1"/>
      <c r="AA55" s="2">
        <v>45358</v>
      </c>
      <c r="AB55" s="3">
        <f t="shared" si="12"/>
        <v>1264.83</v>
      </c>
      <c r="AC55" s="1">
        <f t="shared" si="7"/>
        <v>1.5044380923723288E-3</v>
      </c>
      <c r="AD55" s="1"/>
      <c r="AE55" s="2">
        <v>45273</v>
      </c>
      <c r="AF55" s="3">
        <f t="shared" si="13"/>
        <v>1114.67</v>
      </c>
      <c r="AG55" s="1">
        <f t="shared" si="9"/>
        <v>-4.5189465317531097E-3</v>
      </c>
      <c r="AH55" s="1"/>
      <c r="AI55" s="1"/>
      <c r="AJ55" s="1"/>
      <c r="AK55" s="1"/>
    </row>
    <row r="56" spans="1:37">
      <c r="A56" s="50">
        <v>45553</v>
      </c>
      <c r="B56" s="51">
        <v>1313.56</v>
      </c>
      <c r="C56" s="52">
        <f t="shared" si="2"/>
        <v>-9.6280714452662477E-3</v>
      </c>
      <c r="D56" s="53">
        <v>25377.55</v>
      </c>
      <c r="E56" s="54">
        <f t="shared" si="3"/>
        <v>-1.612995233795791E-3</v>
      </c>
      <c r="F56" s="55">
        <v>23025.200000000001</v>
      </c>
      <c r="G56" s="54">
        <f t="shared" si="4"/>
        <v>-1.5329086776444255E-2</v>
      </c>
      <c r="I56" s="220"/>
      <c r="J56" s="221"/>
      <c r="K56" s="221"/>
      <c r="L56" s="221"/>
      <c r="M56" s="221"/>
      <c r="N56" s="221"/>
      <c r="O56" s="221"/>
      <c r="P56" s="221"/>
      <c r="Q56" s="221"/>
      <c r="R56" s="221"/>
      <c r="S56" s="221"/>
      <c r="T56" s="221"/>
      <c r="U56" s="222"/>
      <c r="W56" s="2">
        <v>45552</v>
      </c>
      <c r="X56" s="3">
        <v>1673</v>
      </c>
      <c r="Y56" s="1">
        <f t="shared" si="5"/>
        <v>7.224563515954241E-3</v>
      </c>
      <c r="Z56" s="1"/>
      <c r="AA56" s="2">
        <v>45357</v>
      </c>
      <c r="AB56" s="3">
        <f t="shared" si="12"/>
        <v>1262.93</v>
      </c>
      <c r="AC56" s="1">
        <f t="shared" si="7"/>
        <v>1.8006441070550494E-3</v>
      </c>
      <c r="AD56" s="1"/>
      <c r="AE56" s="2">
        <v>45272</v>
      </c>
      <c r="AF56" s="3">
        <f t="shared" si="13"/>
        <v>1119.73</v>
      </c>
      <c r="AG56" s="1">
        <f t="shared" si="9"/>
        <v>1.0522800906080043E-2</v>
      </c>
      <c r="AH56" s="1"/>
      <c r="AI56" s="1"/>
      <c r="AJ56" s="1"/>
      <c r="AK56" s="1"/>
    </row>
    <row r="57" spans="1:37">
      <c r="A57" s="50">
        <v>45552</v>
      </c>
      <c r="B57" s="51">
        <v>1326.33</v>
      </c>
      <c r="C57" s="52">
        <f t="shared" si="2"/>
        <v>-2.3243218847317968E-3</v>
      </c>
      <c r="D57" s="53">
        <v>25418.55</v>
      </c>
      <c r="E57" s="54">
        <f t="shared" si="3"/>
        <v>1.3709558280395637E-3</v>
      </c>
      <c r="F57" s="55">
        <v>23383.65</v>
      </c>
      <c r="G57" s="54">
        <f t="shared" si="4"/>
        <v>-2.776267391651945E-3</v>
      </c>
      <c r="I57" s="220"/>
      <c r="J57" s="221"/>
      <c r="K57" s="221"/>
      <c r="L57" s="221"/>
      <c r="M57" s="221"/>
      <c r="N57" s="221"/>
      <c r="O57" s="221"/>
      <c r="P57" s="221"/>
      <c r="Q57" s="221"/>
      <c r="R57" s="221"/>
      <c r="S57" s="221"/>
      <c r="T57" s="221"/>
      <c r="U57" s="222"/>
      <c r="W57" s="2">
        <v>45551</v>
      </c>
      <c r="X57" s="3">
        <v>1661</v>
      </c>
      <c r="Y57" s="1">
        <f t="shared" si="5"/>
        <v>6.0240963855417995E-4</v>
      </c>
      <c r="Z57" s="1"/>
      <c r="AA57" s="2">
        <v>45356</v>
      </c>
      <c r="AB57" s="3">
        <f t="shared" si="12"/>
        <v>1260.6600000000001</v>
      </c>
      <c r="AC57" s="1">
        <f t="shared" si="7"/>
        <v>-5.0196524127479325E-3</v>
      </c>
      <c r="AD57" s="1"/>
      <c r="AE57" s="2">
        <v>45271</v>
      </c>
      <c r="AF57" s="3">
        <f t="shared" si="13"/>
        <v>1108.07</v>
      </c>
      <c r="AG57" s="1">
        <f t="shared" si="9"/>
        <v>1.2213391796839224E-2</v>
      </c>
      <c r="AH57" s="1"/>
      <c r="AI57" s="1"/>
      <c r="AJ57" s="1"/>
      <c r="AK57" s="1"/>
    </row>
    <row r="58" spans="1:37" ht="15" customHeight="1">
      <c r="A58" s="50">
        <v>45551</v>
      </c>
      <c r="B58" s="51">
        <v>1329.42</v>
      </c>
      <c r="C58" s="52">
        <f t="shared" si="2"/>
        <v>-2.0418274355548417E-3</v>
      </c>
      <c r="D58" s="53">
        <v>25383.75</v>
      </c>
      <c r="E58" s="54">
        <f t="shared" si="3"/>
        <v>1.0746751326089958E-3</v>
      </c>
      <c r="F58" s="55">
        <v>23448.75</v>
      </c>
      <c r="G58" s="54">
        <f t="shared" si="4"/>
        <v>-3.7940714436448045E-4</v>
      </c>
      <c r="I58" s="220"/>
      <c r="J58" s="221"/>
      <c r="K58" s="221"/>
      <c r="L58" s="221"/>
      <c r="M58" s="221"/>
      <c r="N58" s="221"/>
      <c r="O58" s="221"/>
      <c r="P58" s="221"/>
      <c r="Q58" s="221"/>
      <c r="R58" s="221"/>
      <c r="S58" s="221"/>
      <c r="T58" s="221"/>
      <c r="U58" s="222"/>
      <c r="W58" s="2">
        <v>45548</v>
      </c>
      <c r="X58" s="3">
        <v>1660</v>
      </c>
      <c r="Y58" s="1">
        <f t="shared" si="5"/>
        <v>4.8426150121065881E-3</v>
      </c>
      <c r="Z58" s="1"/>
      <c r="AA58" s="2">
        <v>45355</v>
      </c>
      <c r="AB58" s="3">
        <f t="shared" si="12"/>
        <v>1267.02</v>
      </c>
      <c r="AC58" s="1">
        <f t="shared" si="7"/>
        <v>1.5419384827453531E-2</v>
      </c>
      <c r="AD58" s="1"/>
      <c r="AE58" s="2">
        <v>45268</v>
      </c>
      <c r="AF58" s="3">
        <f t="shared" si="13"/>
        <v>1094.7</v>
      </c>
      <c r="AG58" s="1">
        <f t="shared" si="9"/>
        <v>-5.0382553479414893E-2</v>
      </c>
      <c r="AH58" s="1"/>
      <c r="AI58" s="1"/>
      <c r="AJ58" s="1"/>
      <c r="AK58" s="1"/>
    </row>
    <row r="59" spans="1:37">
      <c r="A59" s="50">
        <v>45548</v>
      </c>
      <c r="B59" s="51">
        <v>1332.14</v>
      </c>
      <c r="C59" s="52">
        <f t="shared" si="2"/>
        <v>-3.4635726415164028E-3</v>
      </c>
      <c r="D59" s="53">
        <v>25356.5</v>
      </c>
      <c r="E59" s="54">
        <f t="shared" si="3"/>
        <v>-1.2761482380095812E-3</v>
      </c>
      <c r="F59" s="55">
        <v>23457.65</v>
      </c>
      <c r="G59" s="54">
        <f t="shared" si="4"/>
        <v>1.1972035374057991E-3</v>
      </c>
      <c r="I59" s="220"/>
      <c r="J59" s="221"/>
      <c r="K59" s="221"/>
      <c r="L59" s="221"/>
      <c r="M59" s="221"/>
      <c r="N59" s="221"/>
      <c r="O59" s="221"/>
      <c r="P59" s="221"/>
      <c r="Q59" s="221"/>
      <c r="R59" s="221"/>
      <c r="S59" s="221"/>
      <c r="T59" s="221"/>
      <c r="U59" s="222"/>
      <c r="W59" s="2">
        <v>45547</v>
      </c>
      <c r="X59" s="3">
        <v>1652</v>
      </c>
      <c r="Y59" s="1">
        <f t="shared" si="5"/>
        <v>1.039755351681948E-2</v>
      </c>
      <c r="Z59" s="1"/>
      <c r="AA59" s="2">
        <v>45352</v>
      </c>
      <c r="AB59" s="3">
        <f t="shared" si="12"/>
        <v>1247.78</v>
      </c>
      <c r="AC59" s="1">
        <f t="shared" si="7"/>
        <v>7.3221335098609952E-3</v>
      </c>
      <c r="AD59" s="1"/>
      <c r="AE59" s="2">
        <v>45267</v>
      </c>
      <c r="AF59" s="3">
        <f t="shared" si="13"/>
        <v>1152.78</v>
      </c>
      <c r="AG59" s="1">
        <f t="shared" si="9"/>
        <v>-3.6645866104302316E-3</v>
      </c>
      <c r="AH59" s="1"/>
      <c r="AI59" s="1"/>
      <c r="AJ59" s="1"/>
      <c r="AK59" s="1"/>
    </row>
    <row r="60" spans="1:37">
      <c r="A60" s="50">
        <v>45547</v>
      </c>
      <c r="B60" s="51">
        <v>1336.77</v>
      </c>
      <c r="C60" s="52">
        <f t="shared" si="2"/>
        <v>1.0790170132325128E-2</v>
      </c>
      <c r="D60" s="53">
        <v>25388.9</v>
      </c>
      <c r="E60" s="54">
        <f t="shared" si="3"/>
        <v>1.8879585206945083E-2</v>
      </c>
      <c r="F60" s="55">
        <v>23429.599999999999</v>
      </c>
      <c r="G60" s="54">
        <f t="shared" si="4"/>
        <v>9.0093193915693568E-3</v>
      </c>
      <c r="I60" s="220"/>
      <c r="J60" s="221"/>
      <c r="K60" s="221"/>
      <c r="L60" s="221"/>
      <c r="M60" s="221"/>
      <c r="N60" s="221"/>
      <c r="O60" s="221"/>
      <c r="P60" s="221"/>
      <c r="Q60" s="221"/>
      <c r="R60" s="221"/>
      <c r="S60" s="221"/>
      <c r="T60" s="221"/>
      <c r="U60" s="222"/>
      <c r="W60" s="2">
        <v>45546</v>
      </c>
      <c r="X60" s="3">
        <v>1635</v>
      </c>
      <c r="Y60" s="1">
        <f t="shared" si="5"/>
        <v>2.6369043968847983E-3</v>
      </c>
      <c r="Z60" s="1"/>
      <c r="AA60" s="2">
        <v>45351</v>
      </c>
      <c r="AB60" s="3">
        <f t="shared" si="12"/>
        <v>1238.71</v>
      </c>
      <c r="AC60" s="1">
        <f t="shared" si="7"/>
        <v>-3.5910806708954301E-2</v>
      </c>
      <c r="AD60" s="1"/>
      <c r="AE60" s="2">
        <v>45266</v>
      </c>
      <c r="AF60" s="3">
        <f t="shared" si="13"/>
        <v>1157.02</v>
      </c>
      <c r="AG60" s="1">
        <f t="shared" si="9"/>
        <v>9.5543902204926479E-3</v>
      </c>
      <c r="AH60" s="1"/>
      <c r="AI60" s="1"/>
      <c r="AJ60" s="1"/>
      <c r="AK60" s="1"/>
    </row>
    <row r="61" spans="1:37">
      <c r="A61" s="50">
        <v>45546</v>
      </c>
      <c r="B61" s="51">
        <v>1322.5</v>
      </c>
      <c r="C61" s="52">
        <f t="shared" si="2"/>
        <v>-5.698905329002712E-3</v>
      </c>
      <c r="D61" s="53">
        <v>24918.45</v>
      </c>
      <c r="E61" s="54">
        <f t="shared" si="3"/>
        <v>-4.8979477738596879E-3</v>
      </c>
      <c r="F61" s="55">
        <v>23220.400000000001</v>
      </c>
      <c r="G61" s="54">
        <f t="shared" si="4"/>
        <v>-1.5672801776679599E-3</v>
      </c>
      <c r="I61" s="223"/>
      <c r="J61" s="224"/>
      <c r="K61" s="224"/>
      <c r="L61" s="224"/>
      <c r="M61" s="224"/>
      <c r="N61" s="224"/>
      <c r="O61" s="224"/>
      <c r="P61" s="224"/>
      <c r="Q61" s="224"/>
      <c r="R61" s="224"/>
      <c r="S61" s="224"/>
      <c r="T61" s="224"/>
      <c r="U61" s="225"/>
      <c r="W61" s="2">
        <v>45545</v>
      </c>
      <c r="X61" s="3">
        <v>1630.7</v>
      </c>
      <c r="Y61" s="1">
        <f t="shared" si="5"/>
        <v>6.1701733818719795E-3</v>
      </c>
      <c r="Z61" s="1"/>
      <c r="AA61" s="2">
        <v>45350</v>
      </c>
      <c r="AB61" s="3">
        <f t="shared" si="12"/>
        <v>1284.8499999999999</v>
      </c>
      <c r="AC61" s="1">
        <f t="shared" si="7"/>
        <v>-5.9115906067941371E-4</v>
      </c>
      <c r="AD61" s="1"/>
      <c r="AE61" s="2">
        <v>45265</v>
      </c>
      <c r="AF61" s="3">
        <f t="shared" si="13"/>
        <v>1146.07</v>
      </c>
      <c r="AG61" s="1">
        <f t="shared" si="9"/>
        <v>-7.9806801755403223E-3</v>
      </c>
      <c r="AH61" s="1"/>
      <c r="AI61" s="1"/>
      <c r="AJ61" s="1"/>
      <c r="AK61" s="1"/>
    </row>
    <row r="62" spans="1:37">
      <c r="A62" s="50">
        <v>45545</v>
      </c>
      <c r="B62" s="51">
        <v>1330.08</v>
      </c>
      <c r="C62" s="52">
        <f t="shared" si="2"/>
        <v>-8.263345302664826E-4</v>
      </c>
      <c r="D62" s="53">
        <v>25041.1</v>
      </c>
      <c r="E62" s="54">
        <f t="shared" si="3"/>
        <v>4.1986814455974835E-3</v>
      </c>
      <c r="F62" s="55">
        <v>23256.85</v>
      </c>
      <c r="G62" s="54">
        <f t="shared" si="4"/>
        <v>1.0754300416351451E-2</v>
      </c>
      <c r="K62" s="6"/>
      <c r="L62" s="7"/>
      <c r="W62" s="2">
        <v>45544</v>
      </c>
      <c r="X62" s="3">
        <v>1620.7</v>
      </c>
      <c r="Y62" s="1">
        <f t="shared" si="5"/>
        <v>4.4000991571642167E-3</v>
      </c>
      <c r="Z62" s="1"/>
      <c r="AA62" s="2">
        <v>45349</v>
      </c>
      <c r="AB62" s="3">
        <f t="shared" si="12"/>
        <v>1285.6099999999999</v>
      </c>
      <c r="AC62" s="1">
        <f t="shared" si="7"/>
        <v>-3.3412924832548763E-3</v>
      </c>
      <c r="AD62" s="1"/>
      <c r="AE62" s="2">
        <v>45264</v>
      </c>
      <c r="AF62" s="3">
        <f t="shared" si="13"/>
        <v>1155.29</v>
      </c>
      <c r="AG62" s="1">
        <f t="shared" si="9"/>
        <v>3.5528144544823004E-3</v>
      </c>
      <c r="AH62" s="1"/>
      <c r="AI62" s="1"/>
      <c r="AJ62" s="1"/>
      <c r="AK62" s="1"/>
    </row>
    <row r="63" spans="1:37">
      <c r="A63" s="50">
        <v>45544</v>
      </c>
      <c r="B63" s="51">
        <v>1331.18</v>
      </c>
      <c r="C63" s="52">
        <f t="shared" si="2"/>
        <v>-1.6873776651192788E-3</v>
      </c>
      <c r="D63" s="53">
        <v>24936.400000000001</v>
      </c>
      <c r="E63" s="54">
        <f t="shared" si="3"/>
        <v>3.3900487482974306E-3</v>
      </c>
      <c r="F63" s="55">
        <v>23009.4</v>
      </c>
      <c r="G63" s="54">
        <f t="shared" si="4"/>
        <v>-1.475476709166182E-3</v>
      </c>
      <c r="I63" s="82" t="s">
        <v>201</v>
      </c>
      <c r="K63" s="6"/>
      <c r="L63" s="7"/>
      <c r="W63" s="2">
        <v>45541</v>
      </c>
      <c r="X63" s="3">
        <v>1613.6</v>
      </c>
      <c r="Y63" s="1">
        <f t="shared" si="5"/>
        <v>-8.6625299502366415E-3</v>
      </c>
      <c r="Z63" s="1"/>
      <c r="AA63" s="2">
        <v>45348</v>
      </c>
      <c r="AB63" s="3">
        <f t="shared" si="12"/>
        <v>1289.92</v>
      </c>
      <c r="AC63" s="1">
        <f t="shared" si="7"/>
        <v>1.3740635795520539E-3</v>
      </c>
      <c r="AD63" s="1"/>
      <c r="AE63" s="2">
        <v>45261</v>
      </c>
      <c r="AF63" s="3">
        <f t="shared" si="13"/>
        <v>1151.2</v>
      </c>
      <c r="AG63" s="1">
        <f t="shared" si="9"/>
        <v>1.1479458726126879E-3</v>
      </c>
      <c r="AH63" s="1"/>
      <c r="AI63" s="1"/>
      <c r="AJ63" s="1"/>
      <c r="AK63" s="1"/>
    </row>
    <row r="64" spans="1:37">
      <c r="A64" s="50">
        <v>45541</v>
      </c>
      <c r="B64" s="51">
        <v>1333.43</v>
      </c>
      <c r="C64" s="52">
        <f t="shared" si="2"/>
        <v>-4.2713661651047506E-3</v>
      </c>
      <c r="D64" s="53">
        <v>24852.15</v>
      </c>
      <c r="E64" s="54">
        <f t="shared" si="3"/>
        <v>-1.1650381187587128E-2</v>
      </c>
      <c r="F64" s="55">
        <v>23043.4</v>
      </c>
      <c r="G64" s="54">
        <f t="shared" si="4"/>
        <v>-4.8927524215453527E-3</v>
      </c>
      <c r="K64" s="6"/>
      <c r="L64" s="7"/>
      <c r="W64" s="2">
        <v>45540</v>
      </c>
      <c r="X64" s="3">
        <v>1627.7</v>
      </c>
      <c r="Y64" s="1">
        <f t="shared" si="5"/>
        <v>-1.5900846432889915E-2</v>
      </c>
      <c r="Z64" s="1"/>
      <c r="AA64" s="2">
        <v>45345</v>
      </c>
      <c r="AB64" s="3">
        <f t="shared" si="12"/>
        <v>1288.1500000000001</v>
      </c>
      <c r="AC64" s="1">
        <f t="shared" si="7"/>
        <v>-2.1731875227992692E-4</v>
      </c>
      <c r="AD64" s="1"/>
      <c r="AE64" s="2">
        <v>45260</v>
      </c>
      <c r="AF64" s="3">
        <f t="shared" si="13"/>
        <v>1149.8800000000001</v>
      </c>
      <c r="AG64" s="1">
        <f t="shared" si="9"/>
        <v>-6.6947124728972129E-3</v>
      </c>
      <c r="AH64" s="1"/>
      <c r="AI64" s="1"/>
      <c r="AJ64" s="1"/>
      <c r="AK64" s="1"/>
    </row>
    <row r="65" spans="1:37" ht="18">
      <c r="A65" s="50">
        <v>45540</v>
      </c>
      <c r="B65" s="51">
        <v>1339.15</v>
      </c>
      <c r="C65" s="52">
        <f t="shared" si="2"/>
        <v>-1.3473892032060321E-2</v>
      </c>
      <c r="D65" s="53">
        <v>25145.1</v>
      </c>
      <c r="E65" s="54">
        <f t="shared" si="3"/>
        <v>-2.1270938580165715E-3</v>
      </c>
      <c r="F65" s="55">
        <v>23156.7</v>
      </c>
      <c r="G65" s="54">
        <f t="shared" si="4"/>
        <v>-1.1947688963268718E-3</v>
      </c>
      <c r="I65" s="78" t="s">
        <v>202</v>
      </c>
      <c r="K65" s="6"/>
      <c r="L65" s="7"/>
      <c r="W65" s="2">
        <v>45539</v>
      </c>
      <c r="X65" s="3">
        <v>1654</v>
      </c>
      <c r="Y65" s="1">
        <f t="shared" si="5"/>
        <v>2.4242424242424399E-3</v>
      </c>
      <c r="Z65" s="1"/>
      <c r="AA65" s="2">
        <v>45344</v>
      </c>
      <c r="AB65" s="3">
        <f t="shared" si="12"/>
        <v>1288.43</v>
      </c>
      <c r="AC65" s="1">
        <f t="shared" si="7"/>
        <v>1.2287965807399548E-2</v>
      </c>
      <c r="AD65" s="1"/>
      <c r="AE65" s="2">
        <v>45259</v>
      </c>
      <c r="AF65" s="3">
        <f t="shared" si="13"/>
        <v>1157.6300000000001</v>
      </c>
      <c r="AG65" s="1">
        <f t="shared" si="9"/>
        <v>1.2737627616856484E-2</v>
      </c>
      <c r="AH65" s="1"/>
      <c r="AI65" s="1"/>
      <c r="AJ65" s="1"/>
      <c r="AK65" s="1"/>
    </row>
    <row r="66" spans="1:37">
      <c r="A66" s="50">
        <v>45539</v>
      </c>
      <c r="B66" s="51">
        <v>1357.44</v>
      </c>
      <c r="C66" s="52">
        <f t="shared" si="2"/>
        <v>-9.7244614340844405E-3</v>
      </c>
      <c r="D66" s="53">
        <v>25198.7</v>
      </c>
      <c r="E66" s="54">
        <f t="shared" si="3"/>
        <v>-3.2100665154262318E-3</v>
      </c>
      <c r="F66" s="55">
        <v>23184.400000000001</v>
      </c>
      <c r="G66" s="54">
        <f t="shared" si="4"/>
        <v>7.3910568646451203E-3</v>
      </c>
      <c r="I66" s="80" t="s">
        <v>203</v>
      </c>
      <c r="K66" s="6"/>
      <c r="L66" s="7"/>
      <c r="W66" s="2">
        <v>45538</v>
      </c>
      <c r="X66" s="3">
        <v>1650</v>
      </c>
      <c r="Y66" s="1">
        <f t="shared" si="5"/>
        <v>3.6496350364962904E-3</v>
      </c>
      <c r="Z66" s="1"/>
      <c r="AA66" s="2">
        <v>45343</v>
      </c>
      <c r="AB66" s="3">
        <f t="shared" si="12"/>
        <v>1272.79</v>
      </c>
      <c r="AC66" s="1">
        <f t="shared" si="7"/>
        <v>2.3310206878086603E-3</v>
      </c>
      <c r="AD66" s="1"/>
      <c r="AE66" s="2">
        <v>45258</v>
      </c>
      <c r="AF66" s="3">
        <f t="shared" si="13"/>
        <v>1143.07</v>
      </c>
      <c r="AG66" s="1">
        <f t="shared" si="9"/>
        <v>6.9681806969941196E-3</v>
      </c>
      <c r="AH66" s="1"/>
      <c r="AI66" s="1"/>
      <c r="AJ66" s="1"/>
      <c r="AK66" s="1"/>
    </row>
    <row r="67" spans="1:37">
      <c r="A67" s="50">
        <v>45538</v>
      </c>
      <c r="B67" s="51">
        <v>1370.77</v>
      </c>
      <c r="C67" s="52">
        <f t="shared" si="2"/>
        <v>-2.6629220840639987E-3</v>
      </c>
      <c r="D67" s="53">
        <v>25279.85</v>
      </c>
      <c r="E67" s="54">
        <f t="shared" si="3"/>
        <v>4.5492845755431141E-5</v>
      </c>
      <c r="F67" s="55">
        <v>23014.3</v>
      </c>
      <c r="G67" s="54">
        <f t="shared" si="4"/>
        <v>1.1680286417153074E-3</v>
      </c>
      <c r="I67" s="79" t="s">
        <v>204</v>
      </c>
      <c r="K67" s="6"/>
      <c r="L67" s="7"/>
      <c r="W67" s="2">
        <v>45537</v>
      </c>
      <c r="X67" s="3">
        <v>1644</v>
      </c>
      <c r="Y67" s="1">
        <f t="shared" si="5"/>
        <v>-6.4063822071799281E-3</v>
      </c>
      <c r="Z67" s="1"/>
      <c r="AA67" s="2">
        <v>45342</v>
      </c>
      <c r="AB67" s="3">
        <f t="shared" si="12"/>
        <v>1269.83</v>
      </c>
      <c r="AC67" s="1">
        <f t="shared" si="7"/>
        <v>-4.2111041405270555E-3</v>
      </c>
      <c r="AD67" s="1"/>
      <c r="AE67" s="2">
        <v>45254</v>
      </c>
      <c r="AF67" s="3">
        <f t="shared" si="13"/>
        <v>1135.1600000000001</v>
      </c>
      <c r="AG67" s="1">
        <f t="shared" si="9"/>
        <v>5.2513659750450525E-3</v>
      </c>
      <c r="AH67" s="1"/>
      <c r="AI67" s="1"/>
      <c r="AJ67" s="1"/>
      <c r="AK67" s="1"/>
    </row>
    <row r="68" spans="1:37">
      <c r="A68" s="50">
        <v>45537</v>
      </c>
      <c r="B68" s="51">
        <v>1374.43</v>
      </c>
      <c r="C68" s="52">
        <f t="shared" si="2"/>
        <v>-2.2641455765962382E-2</v>
      </c>
      <c r="D68" s="53">
        <v>25278.7</v>
      </c>
      <c r="E68" s="54">
        <f t="shared" si="3"/>
        <v>1.6959965763059478E-3</v>
      </c>
      <c r="F68" s="55">
        <v>22987.45</v>
      </c>
      <c r="G68" s="54">
        <f t="shared" si="4"/>
        <v>-9.9127386120872879E-3</v>
      </c>
      <c r="I68" s="215" t="s">
        <v>205</v>
      </c>
      <c r="J68" s="215"/>
      <c r="K68" s="215"/>
      <c r="L68" s="215"/>
      <c r="M68" s="215"/>
      <c r="N68" s="215"/>
      <c r="O68" s="215"/>
      <c r="P68" s="215"/>
      <c r="Q68" s="215"/>
      <c r="R68" s="215"/>
      <c r="S68" s="215"/>
      <c r="T68" s="215"/>
      <c r="U68" s="215"/>
      <c r="W68" s="2">
        <v>45534</v>
      </c>
      <c r="X68" s="3">
        <v>1654.6</v>
      </c>
      <c r="Y68" s="1">
        <f t="shared" si="5"/>
        <v>2.3886138613861352E-2</v>
      </c>
      <c r="Z68" s="1"/>
      <c r="AA68" s="2">
        <v>45341</v>
      </c>
      <c r="AB68" s="3">
        <f t="shared" si="12"/>
        <v>1275.2</v>
      </c>
      <c r="AC68" s="1">
        <f t="shared" si="7"/>
        <v>-6.4125039932056982E-3</v>
      </c>
      <c r="AD68" s="1"/>
      <c r="AE68" s="2">
        <v>45253</v>
      </c>
      <c r="AF68" s="3">
        <f t="shared" si="13"/>
        <v>1129.23</v>
      </c>
      <c r="AG68" s="1">
        <f t="shared" si="9"/>
        <v>2.6573835401655366E-4</v>
      </c>
      <c r="AH68" s="1"/>
      <c r="AI68" s="1"/>
      <c r="AJ68" s="1"/>
      <c r="AK68" s="1"/>
    </row>
    <row r="69" spans="1:37">
      <c r="A69" s="50">
        <v>45534</v>
      </c>
      <c r="B69" s="51">
        <v>1406.27</v>
      </c>
      <c r="C69" s="52">
        <f t="shared" si="2"/>
        <v>1.4456475476652478E-2</v>
      </c>
      <c r="D69" s="53">
        <v>25235.9</v>
      </c>
      <c r="E69" s="54">
        <f t="shared" si="3"/>
        <v>3.3377133780880101E-3</v>
      </c>
      <c r="F69" s="55">
        <v>23217.599999999999</v>
      </c>
      <c r="G69" s="54">
        <f t="shared" si="4"/>
        <v>1.4841736948734674E-2</v>
      </c>
      <c r="I69" s="215"/>
      <c r="J69" s="215"/>
      <c r="K69" s="215"/>
      <c r="L69" s="215"/>
      <c r="M69" s="215"/>
      <c r="N69" s="215"/>
      <c r="O69" s="215"/>
      <c r="P69" s="215"/>
      <c r="Q69" s="215"/>
      <c r="R69" s="215"/>
      <c r="S69" s="215"/>
      <c r="T69" s="215"/>
      <c r="U69" s="215"/>
      <c r="W69" s="2">
        <v>45533</v>
      </c>
      <c r="X69" s="3">
        <v>1616</v>
      </c>
      <c r="Y69" s="1">
        <f t="shared" si="5"/>
        <v>1.5472690700923941E-4</v>
      </c>
      <c r="Z69" s="1"/>
      <c r="AA69" s="2">
        <v>45338</v>
      </c>
      <c r="AB69" s="3">
        <f t="shared" si="12"/>
        <v>1283.43</v>
      </c>
      <c r="AC69" s="1">
        <f t="shared" si="7"/>
        <v>1.5829923304021554E-2</v>
      </c>
      <c r="AD69" s="1"/>
      <c r="AE69" s="2">
        <v>45252</v>
      </c>
      <c r="AF69" s="3">
        <f t="shared" si="13"/>
        <v>1128.93</v>
      </c>
      <c r="AG69" s="1">
        <f t="shared" si="9"/>
        <v>-3.5130769434464915E-3</v>
      </c>
      <c r="AH69" s="1"/>
      <c r="AI69" s="1"/>
      <c r="AJ69" s="1"/>
      <c r="AK69" s="1"/>
    </row>
    <row r="70" spans="1:37">
      <c r="A70" s="50">
        <v>45533</v>
      </c>
      <c r="B70" s="51">
        <v>1386.23</v>
      </c>
      <c r="C70" s="52">
        <f t="shared" si="2"/>
        <v>-9.7366879545096527E-3</v>
      </c>
      <c r="D70" s="53">
        <v>25151.95</v>
      </c>
      <c r="E70" s="54">
        <f t="shared" si="3"/>
        <v>3.9756749366826744E-3</v>
      </c>
      <c r="F70" s="55">
        <v>22878.05</v>
      </c>
      <c r="G70" s="54">
        <f t="shared" si="4"/>
        <v>-4.8305501302791012E-3</v>
      </c>
      <c r="I70" s="215"/>
      <c r="J70" s="215"/>
      <c r="K70" s="215"/>
      <c r="L70" s="215"/>
      <c r="M70" s="215"/>
      <c r="N70" s="215"/>
      <c r="O70" s="215"/>
      <c r="P70" s="215"/>
      <c r="Q70" s="215"/>
      <c r="R70" s="215"/>
      <c r="S70" s="215"/>
      <c r="T70" s="215"/>
      <c r="U70" s="215"/>
      <c r="W70" s="2">
        <v>45532</v>
      </c>
      <c r="X70" s="3">
        <v>1615.75</v>
      </c>
      <c r="Y70" s="1">
        <f t="shared" si="5"/>
        <v>1.3644918444165599E-2</v>
      </c>
      <c r="Z70" s="1"/>
      <c r="AA70" s="2">
        <v>45337</v>
      </c>
      <c r="AB70" s="3">
        <f t="shared" si="12"/>
        <v>1263.43</v>
      </c>
      <c r="AC70" s="1">
        <f t="shared" si="7"/>
        <v>1.0315626174502102E-2</v>
      </c>
      <c r="AD70" s="1"/>
      <c r="AE70" s="2">
        <v>45251</v>
      </c>
      <c r="AF70" s="3">
        <f t="shared" si="13"/>
        <v>1132.9100000000001</v>
      </c>
      <c r="AG70" s="1">
        <f t="shared" si="9"/>
        <v>3.2055539321167448E-3</v>
      </c>
      <c r="AH70" s="1"/>
      <c r="AI70" s="1"/>
      <c r="AJ70" s="1"/>
      <c r="AK70" s="1"/>
    </row>
    <row r="71" spans="1:37">
      <c r="A71" s="50">
        <v>45532</v>
      </c>
      <c r="B71" s="51">
        <v>1399.86</v>
      </c>
      <c r="C71" s="52">
        <f t="shared" si="2"/>
        <v>5.2204884423986833E-3</v>
      </c>
      <c r="D71" s="53">
        <v>25052.35</v>
      </c>
      <c r="E71" s="54">
        <f t="shared" si="3"/>
        <v>1.3830180571793446E-3</v>
      </c>
      <c r="F71" s="55">
        <v>22989.1</v>
      </c>
      <c r="G71" s="54">
        <f t="shared" si="4"/>
        <v>1.1443530291697767E-2</v>
      </c>
      <c r="I71" s="215"/>
      <c r="J71" s="215"/>
      <c r="K71" s="215"/>
      <c r="L71" s="215"/>
      <c r="M71" s="215"/>
      <c r="N71" s="215"/>
      <c r="O71" s="215"/>
      <c r="P71" s="215"/>
      <c r="Q71" s="215"/>
      <c r="R71" s="215"/>
      <c r="S71" s="215"/>
      <c r="T71" s="215"/>
      <c r="U71" s="215"/>
      <c r="W71" s="2">
        <v>45531</v>
      </c>
      <c r="X71" s="3">
        <v>1594</v>
      </c>
      <c r="Y71" s="1">
        <f t="shared" si="5"/>
        <v>1.2548625925457024E-4</v>
      </c>
      <c r="Z71" s="1"/>
      <c r="AA71" s="2">
        <v>45336</v>
      </c>
      <c r="AB71" s="3">
        <f t="shared" si="12"/>
        <v>1250.53</v>
      </c>
      <c r="AC71" s="1">
        <f t="shared" si="7"/>
        <v>-9.107831936533417E-4</v>
      </c>
      <c r="AD71" s="1"/>
      <c r="AE71" s="2">
        <v>45250</v>
      </c>
      <c r="AF71" s="3">
        <f t="shared" si="13"/>
        <v>1129.29</v>
      </c>
      <c r="AG71" s="1"/>
      <c r="AH71" s="1"/>
      <c r="AI71" s="1"/>
      <c r="AJ71" s="1"/>
      <c r="AK71" s="1"/>
    </row>
    <row r="72" spans="1:37">
      <c r="A72" s="50">
        <v>45531</v>
      </c>
      <c r="B72" s="51">
        <v>1392.59</v>
      </c>
      <c r="C72" s="52">
        <f t="shared" si="2"/>
        <v>2.8300663949417685E-3</v>
      </c>
      <c r="D72" s="53">
        <v>25017.75</v>
      </c>
      <c r="E72" s="54">
        <f t="shared" si="3"/>
        <v>2.8587878739420311E-4</v>
      </c>
      <c r="F72" s="55">
        <v>22729</v>
      </c>
      <c r="G72" s="54">
        <f t="shared" si="4"/>
        <v>7.7167096358005342E-3</v>
      </c>
      <c r="I72" s="215"/>
      <c r="J72" s="215"/>
      <c r="K72" s="215"/>
      <c r="L72" s="215"/>
      <c r="M72" s="215"/>
      <c r="N72" s="215"/>
      <c r="O72" s="215"/>
      <c r="P72" s="215"/>
      <c r="Q72" s="215"/>
      <c r="R72" s="215"/>
      <c r="S72" s="215"/>
      <c r="T72" s="215"/>
      <c r="U72" s="215"/>
      <c r="W72" s="2">
        <v>45530</v>
      </c>
      <c r="X72" s="3">
        <v>1593.8</v>
      </c>
      <c r="Y72" s="1">
        <f t="shared" si="5"/>
        <v>1.1069876613696294E-2</v>
      </c>
      <c r="Z72" s="1"/>
      <c r="AA72" s="2">
        <v>45335</v>
      </c>
      <c r="AB72" s="3">
        <f t="shared" ref="AB72:AB103" si="14">B203</f>
        <v>1251.67</v>
      </c>
      <c r="AC72" s="1">
        <f t="shared" si="7"/>
        <v>-1.2154024639522532E-2</v>
      </c>
      <c r="AD72" s="1"/>
      <c r="AE72" s="1"/>
      <c r="AF72" s="1"/>
      <c r="AG72" s="1"/>
      <c r="AH72" s="1"/>
      <c r="AI72" s="1"/>
      <c r="AJ72" s="1"/>
      <c r="AK72" s="1"/>
    </row>
    <row r="73" spans="1:37">
      <c r="A73" s="50">
        <v>45530</v>
      </c>
      <c r="B73" s="51">
        <v>1388.66</v>
      </c>
      <c r="C73" s="52">
        <f t="shared" si="2"/>
        <v>-1.6104680422747925E-3</v>
      </c>
      <c r="D73" s="53">
        <v>25010.6</v>
      </c>
      <c r="E73" s="54">
        <f t="shared" si="3"/>
        <v>7.5514187361393325E-3</v>
      </c>
      <c r="F73" s="55">
        <v>22554.95</v>
      </c>
      <c r="G73" s="54">
        <f t="shared" si="4"/>
        <v>1.2029554529172639E-3</v>
      </c>
      <c r="I73" s="215"/>
      <c r="J73" s="215"/>
      <c r="K73" s="215"/>
      <c r="L73" s="215"/>
      <c r="M73" s="215"/>
      <c r="N73" s="215"/>
      <c r="O73" s="215"/>
      <c r="P73" s="215"/>
      <c r="Q73" s="215"/>
      <c r="R73" s="215"/>
      <c r="S73" s="215"/>
      <c r="T73" s="215"/>
      <c r="U73" s="215"/>
      <c r="W73" s="2">
        <v>45527</v>
      </c>
      <c r="X73" s="3">
        <v>1576.35</v>
      </c>
      <c r="Y73" s="1">
        <f t="shared" ref="Y73:Y136" si="15">X73/X74-1</f>
        <v>-3.9177277179236469E-3</v>
      </c>
      <c r="Z73" s="1"/>
      <c r="AA73" s="2">
        <v>45334</v>
      </c>
      <c r="AB73" s="3">
        <f t="shared" si="14"/>
        <v>1267.07</v>
      </c>
      <c r="AC73" s="1">
        <f t="shared" ref="AC73:AC129" si="16">AB73/AB74-1</f>
        <v>2.9209757637937983E-4</v>
      </c>
      <c r="AD73" s="1"/>
      <c r="AE73" s="1"/>
      <c r="AF73" s="1"/>
      <c r="AG73" s="1"/>
      <c r="AH73" s="1"/>
      <c r="AI73" s="1"/>
      <c r="AJ73" s="1"/>
      <c r="AK73" s="1"/>
    </row>
    <row r="74" spans="1:37">
      <c r="A74" s="50">
        <v>45527</v>
      </c>
      <c r="B74" s="51">
        <v>1390.9</v>
      </c>
      <c r="C74" s="52">
        <f t="shared" ref="C74:C137" si="17">(B74-B75)/B75</f>
        <v>-2.0878024981883145E-3</v>
      </c>
      <c r="D74" s="53">
        <v>24823.15</v>
      </c>
      <c r="E74" s="54">
        <f t="shared" ref="E74:E137" si="18">(D74-D75)/D75</f>
        <v>4.6954033411931789E-4</v>
      </c>
      <c r="F74" s="55">
        <v>22527.85</v>
      </c>
      <c r="G74" s="54">
        <f t="shared" ref="G74:G137" si="19">(F74-F75)/F75</f>
        <v>-8.0945263260608275E-4</v>
      </c>
      <c r="I74" s="215"/>
      <c r="J74" s="215"/>
      <c r="K74" s="215"/>
      <c r="L74" s="215"/>
      <c r="M74" s="215"/>
      <c r="N74" s="215"/>
      <c r="O74" s="215"/>
      <c r="P74" s="215"/>
      <c r="Q74" s="215"/>
      <c r="R74" s="215"/>
      <c r="S74" s="215"/>
      <c r="T74" s="215"/>
      <c r="U74" s="215"/>
      <c r="W74" s="2">
        <v>45526</v>
      </c>
      <c r="X74" s="3">
        <v>1582.55</v>
      </c>
      <c r="Y74" s="1">
        <f t="shared" si="15"/>
        <v>-7.1520436651087982E-3</v>
      </c>
      <c r="Z74" s="1"/>
      <c r="AA74" s="2">
        <v>45331</v>
      </c>
      <c r="AB74" s="3">
        <f t="shared" si="14"/>
        <v>1266.7</v>
      </c>
      <c r="AC74" s="1">
        <f t="shared" si="16"/>
        <v>2.8858727876735157E-2</v>
      </c>
      <c r="AD74" s="1"/>
      <c r="AE74" s="1"/>
      <c r="AF74" s="1"/>
      <c r="AG74" s="1"/>
      <c r="AH74" s="1"/>
      <c r="AI74" s="1"/>
      <c r="AJ74" s="1"/>
      <c r="AK74" s="1"/>
    </row>
    <row r="75" spans="1:37">
      <c r="A75" s="50">
        <v>45526</v>
      </c>
      <c r="B75" s="51">
        <v>1393.81</v>
      </c>
      <c r="C75" s="52">
        <f t="shared" si="17"/>
        <v>-1.3224872388477131E-2</v>
      </c>
      <c r="D75" s="53">
        <v>24811.5</v>
      </c>
      <c r="E75" s="54">
        <f t="shared" si="18"/>
        <v>1.6673260611540994E-3</v>
      </c>
      <c r="F75" s="55">
        <v>22546.1</v>
      </c>
      <c r="G75" s="54">
        <f t="shared" si="19"/>
        <v>-1.408456942408413E-3</v>
      </c>
      <c r="I75" s="4" t="s">
        <v>206</v>
      </c>
      <c r="K75" s="6"/>
      <c r="L75" s="7"/>
      <c r="W75" s="2">
        <v>45525</v>
      </c>
      <c r="X75" s="3">
        <v>1593.95</v>
      </c>
      <c r="Y75" s="1">
        <f t="shared" si="15"/>
        <v>1.9866914069998076E-2</v>
      </c>
      <c r="Z75" s="1"/>
      <c r="AA75" s="2">
        <v>45330</v>
      </c>
      <c r="AB75" s="3">
        <f t="shared" si="14"/>
        <v>1231.17</v>
      </c>
      <c r="AC75" s="1">
        <f t="shared" si="16"/>
        <v>-6.8181264762456895E-4</v>
      </c>
      <c r="AD75" s="1"/>
      <c r="AE75" s="1"/>
      <c r="AF75" s="1"/>
      <c r="AG75" s="1"/>
      <c r="AH75" s="1"/>
      <c r="AI75" s="1"/>
      <c r="AJ75" s="1"/>
      <c r="AK75" s="1"/>
    </row>
    <row r="76" spans="1:37">
      <c r="A76" s="50">
        <v>45525</v>
      </c>
      <c r="B76" s="51">
        <v>1412.49</v>
      </c>
      <c r="C76" s="52">
        <f t="shared" si="17"/>
        <v>1.3940433718334378E-2</v>
      </c>
      <c r="D76" s="53">
        <v>24770.2</v>
      </c>
      <c r="E76" s="54">
        <f t="shared" si="18"/>
        <v>2.8887984663254437E-3</v>
      </c>
      <c r="F76" s="55">
        <v>22577.9</v>
      </c>
      <c r="G76" s="54">
        <f t="shared" si="19"/>
        <v>9.1019810719913056E-3</v>
      </c>
      <c r="K76" s="6"/>
      <c r="L76" s="7"/>
      <c r="W76" s="2">
        <v>45524</v>
      </c>
      <c r="X76" s="3">
        <v>1562.9</v>
      </c>
      <c r="Y76" s="1">
        <f t="shared" si="15"/>
        <v>-4.5222929936304945E-3</v>
      </c>
      <c r="Z76" s="1"/>
      <c r="AA76" s="2">
        <v>45329</v>
      </c>
      <c r="AB76" s="3">
        <f t="shared" si="14"/>
        <v>1232.01</v>
      </c>
      <c r="AC76" s="1">
        <f t="shared" si="16"/>
        <v>-3.1878312229459693E-3</v>
      </c>
      <c r="AD76" s="1"/>
      <c r="AE76" s="1"/>
      <c r="AF76" s="1"/>
      <c r="AG76" s="1"/>
      <c r="AH76" s="1"/>
      <c r="AI76" s="1"/>
      <c r="AJ76" s="1"/>
      <c r="AK76" s="1"/>
    </row>
    <row r="77" spans="1:37">
      <c r="A77" s="50">
        <v>45524</v>
      </c>
      <c r="B77" s="51">
        <v>1393.07</v>
      </c>
      <c r="C77" s="52">
        <f t="shared" si="17"/>
        <v>7.8132347515318685E-3</v>
      </c>
      <c r="D77" s="53">
        <v>24698.85</v>
      </c>
      <c r="E77" s="54">
        <f t="shared" si="18"/>
        <v>5.135791215029599E-3</v>
      </c>
      <c r="F77" s="55">
        <v>22374.25</v>
      </c>
      <c r="G77" s="54">
        <f t="shared" si="19"/>
        <v>6.1336864849795038E-3</v>
      </c>
      <c r="K77" s="6"/>
      <c r="L77" s="7"/>
      <c r="W77" s="2">
        <v>45523</v>
      </c>
      <c r="X77" s="3">
        <v>1570</v>
      </c>
      <c r="Y77" s="1">
        <f t="shared" si="15"/>
        <v>-3.1746031746031633E-3</v>
      </c>
      <c r="Z77" s="1"/>
      <c r="AA77" s="2">
        <v>45328</v>
      </c>
      <c r="AB77" s="3">
        <f t="shared" si="14"/>
        <v>1235.95</v>
      </c>
      <c r="AC77" s="1">
        <f t="shared" si="16"/>
        <v>2.1324554860053802E-3</v>
      </c>
      <c r="AD77" s="1"/>
      <c r="AE77" s="1"/>
      <c r="AF77" s="1"/>
      <c r="AG77" s="1"/>
      <c r="AH77" s="1"/>
      <c r="AI77" s="1"/>
      <c r="AJ77" s="1"/>
      <c r="AK77" s="1"/>
    </row>
    <row r="78" spans="1:37">
      <c r="A78" s="50">
        <v>45523</v>
      </c>
      <c r="B78" s="51">
        <v>1382.27</v>
      </c>
      <c r="C78" s="52">
        <f t="shared" si="17"/>
        <v>1.7332489401789886E-2</v>
      </c>
      <c r="D78" s="53">
        <v>24572.65</v>
      </c>
      <c r="E78" s="54">
        <f t="shared" si="18"/>
        <v>1.2835584314508488E-3</v>
      </c>
      <c r="F78" s="55">
        <v>22237.85</v>
      </c>
      <c r="G78" s="54">
        <f t="shared" si="19"/>
        <v>5.9416913577453939E-3</v>
      </c>
      <c r="I78" s="208" t="s">
        <v>207</v>
      </c>
      <c r="J78" s="208"/>
      <c r="K78" s="6"/>
      <c r="L78" s="7"/>
      <c r="W78" s="2">
        <v>45520</v>
      </c>
      <c r="X78" s="3">
        <v>1575</v>
      </c>
      <c r="Y78" s="1">
        <f t="shared" si="15"/>
        <v>6.1647554859936005E-3</v>
      </c>
      <c r="Z78" s="1"/>
      <c r="AA78" s="2">
        <v>45327</v>
      </c>
      <c r="AB78" s="3">
        <f t="shared" si="14"/>
        <v>1233.32</v>
      </c>
      <c r="AC78" s="1">
        <f t="shared" si="16"/>
        <v>1.1838640074165685E-2</v>
      </c>
      <c r="AD78" s="1"/>
      <c r="AE78" s="1"/>
      <c r="AF78" s="1"/>
      <c r="AG78" s="1"/>
      <c r="AH78" s="1"/>
      <c r="AI78" s="1"/>
      <c r="AJ78" s="1"/>
      <c r="AK78" s="1"/>
    </row>
    <row r="79" spans="1:37">
      <c r="A79" s="50">
        <v>45520</v>
      </c>
      <c r="B79" s="51">
        <v>1358.72</v>
      </c>
      <c r="C79" s="52">
        <f t="shared" si="17"/>
        <v>-1.0954190896993914E-3</v>
      </c>
      <c r="D79" s="53">
        <v>24541.15</v>
      </c>
      <c r="E79" s="54">
        <f t="shared" si="18"/>
        <v>1.6459746311157191E-2</v>
      </c>
      <c r="F79" s="55">
        <v>22106.5</v>
      </c>
      <c r="G79" s="54">
        <f t="shared" si="19"/>
        <v>4.2611765026552518E-3</v>
      </c>
      <c r="I79" s="155" t="s">
        <v>208</v>
      </c>
      <c r="J79" s="212" t="s">
        <v>209</v>
      </c>
      <c r="K79" s="212"/>
      <c r="L79" s="212"/>
      <c r="M79" s="212"/>
      <c r="N79" s="212"/>
      <c r="O79" s="212"/>
      <c r="P79" s="212"/>
      <c r="W79" s="2">
        <v>45518</v>
      </c>
      <c r="X79" s="3">
        <v>1565.35</v>
      </c>
      <c r="Y79" s="1">
        <f t="shared" si="15"/>
        <v>-1.2397476340694102E-2</v>
      </c>
      <c r="Z79" s="1"/>
      <c r="AA79" s="2">
        <v>45324</v>
      </c>
      <c r="AB79" s="3">
        <f t="shared" si="14"/>
        <v>1218.8900000000001</v>
      </c>
      <c r="AC79" s="1">
        <f t="shared" si="16"/>
        <v>9.0984353009355701E-3</v>
      </c>
      <c r="AD79" s="1"/>
      <c r="AE79" s="1"/>
      <c r="AF79" s="1"/>
      <c r="AG79" s="1"/>
      <c r="AH79" s="1"/>
      <c r="AI79" s="1"/>
      <c r="AJ79" s="1"/>
      <c r="AK79" s="1"/>
    </row>
    <row r="80" spans="1:37">
      <c r="A80" s="50">
        <v>45518</v>
      </c>
      <c r="B80" s="51">
        <v>1360.21</v>
      </c>
      <c r="C80" s="52">
        <f t="shared" si="17"/>
        <v>-2.1206320879626983E-2</v>
      </c>
      <c r="D80" s="53">
        <v>24143.75</v>
      </c>
      <c r="E80" s="54">
        <f t="shared" si="18"/>
        <v>1.9677699987571978E-4</v>
      </c>
      <c r="F80" s="55">
        <v>22012.7</v>
      </c>
      <c r="G80" s="54">
        <f t="shared" si="19"/>
        <v>-8.0616088970600509E-3</v>
      </c>
      <c r="I80" s="154" t="s">
        <v>210</v>
      </c>
      <c r="J80" s="194" t="s">
        <v>211</v>
      </c>
      <c r="K80" s="194"/>
      <c r="L80" s="194"/>
      <c r="M80" s="194"/>
      <c r="N80" s="194"/>
      <c r="O80" s="194"/>
      <c r="P80" s="194"/>
      <c r="W80" s="2">
        <v>45517</v>
      </c>
      <c r="X80" s="3">
        <v>1585</v>
      </c>
      <c r="Y80" s="1">
        <f t="shared" si="15"/>
        <v>-6.3051702395966469E-4</v>
      </c>
      <c r="Z80" s="1"/>
      <c r="AA80" s="2">
        <v>45323</v>
      </c>
      <c r="AB80" s="3">
        <f t="shared" si="14"/>
        <v>1207.9000000000001</v>
      </c>
      <c r="AC80" s="1">
        <f t="shared" si="16"/>
        <v>7.7338294552948827E-3</v>
      </c>
      <c r="AD80" s="1"/>
      <c r="AE80" s="1"/>
      <c r="AF80" s="1"/>
      <c r="AG80" s="1"/>
      <c r="AH80" s="1"/>
      <c r="AI80" s="1"/>
      <c r="AJ80" s="1"/>
      <c r="AK80" s="1"/>
    </row>
    <row r="81" spans="1:37">
      <c r="A81" s="50">
        <v>45517</v>
      </c>
      <c r="B81" s="51">
        <v>1389.68</v>
      </c>
      <c r="C81" s="52">
        <f t="shared" si="17"/>
        <v>8.981275094205458E-3</v>
      </c>
      <c r="D81" s="53">
        <v>24139</v>
      </c>
      <c r="E81" s="54">
        <f t="shared" si="18"/>
        <v>-8.5431469996303452E-3</v>
      </c>
      <c r="F81" s="55">
        <v>22191.599999999999</v>
      </c>
      <c r="G81" s="54">
        <f t="shared" si="19"/>
        <v>-6.3047159275137811E-4</v>
      </c>
      <c r="I81" s="154" t="s">
        <v>212</v>
      </c>
      <c r="J81" s="194" t="s">
        <v>213</v>
      </c>
      <c r="K81" s="194"/>
      <c r="L81" s="194"/>
      <c r="M81" s="194"/>
      <c r="N81" s="194"/>
      <c r="O81" s="194"/>
      <c r="P81" s="194"/>
      <c r="W81" s="2">
        <v>45516</v>
      </c>
      <c r="X81" s="3">
        <v>1586</v>
      </c>
      <c r="Y81" s="1">
        <f t="shared" si="15"/>
        <v>8.9058524173029063E-3</v>
      </c>
      <c r="Z81" s="1"/>
      <c r="AA81" s="2">
        <v>45322</v>
      </c>
      <c r="AB81" s="3">
        <f t="shared" si="14"/>
        <v>1198.6300000000001</v>
      </c>
      <c r="AC81" s="1">
        <f t="shared" si="16"/>
        <v>-2.09111033057513E-2</v>
      </c>
      <c r="AD81" s="1"/>
      <c r="AE81" s="1"/>
      <c r="AF81" s="1"/>
      <c r="AG81" s="1"/>
      <c r="AH81" s="1"/>
      <c r="AI81" s="1"/>
      <c r="AJ81" s="1"/>
      <c r="AK81" s="1"/>
    </row>
    <row r="82" spans="1:37">
      <c r="A82" s="50">
        <v>45516</v>
      </c>
      <c r="B82" s="51">
        <v>1377.31</v>
      </c>
      <c r="C82" s="52">
        <f t="shared" si="17"/>
        <v>-1.8100805589220861E-2</v>
      </c>
      <c r="D82" s="53">
        <v>24347</v>
      </c>
      <c r="E82" s="54">
        <f t="shared" si="18"/>
        <v>-8.412844977941931E-4</v>
      </c>
      <c r="F82" s="55">
        <v>22205.599999999999</v>
      </c>
      <c r="G82" s="54">
        <f t="shared" si="19"/>
        <v>-1.7785141977215782E-4</v>
      </c>
      <c r="I82" s="154" t="s">
        <v>214</v>
      </c>
      <c r="J82" s="194" t="s">
        <v>215</v>
      </c>
      <c r="K82" s="194"/>
      <c r="L82" s="194"/>
      <c r="M82" s="194"/>
      <c r="N82" s="194"/>
      <c r="O82" s="194"/>
      <c r="P82" s="194"/>
      <c r="W82" s="2">
        <v>45513</v>
      </c>
      <c r="X82" s="3">
        <v>1572</v>
      </c>
      <c r="Y82" s="1">
        <f t="shared" si="15"/>
        <v>1.2738853503184711E-3</v>
      </c>
      <c r="Z82" s="1"/>
      <c r="AA82" s="2">
        <v>45321</v>
      </c>
      <c r="AB82" s="3">
        <f t="shared" si="14"/>
        <v>1224.23</v>
      </c>
      <c r="AC82" s="1">
        <f t="shared" si="16"/>
        <v>4.7971648447598492E-2</v>
      </c>
      <c r="AD82" s="1"/>
      <c r="AE82" s="1"/>
      <c r="AF82" s="1"/>
      <c r="AG82" s="1"/>
      <c r="AH82" s="1"/>
      <c r="AI82" s="1"/>
      <c r="AJ82" s="1"/>
      <c r="AK82" s="1"/>
    </row>
    <row r="83" spans="1:37">
      <c r="A83" s="50">
        <v>45513</v>
      </c>
      <c r="B83" s="51">
        <v>1402.7</v>
      </c>
      <c r="C83" s="52">
        <f t="shared" si="17"/>
        <v>1.0838389807301474E-2</v>
      </c>
      <c r="D83" s="53">
        <v>24367.5</v>
      </c>
      <c r="E83" s="54">
        <f t="shared" si="18"/>
        <v>1.0386864037815649E-2</v>
      </c>
      <c r="F83" s="55">
        <v>22209.55</v>
      </c>
      <c r="G83" s="54">
        <f t="shared" si="19"/>
        <v>4.3094384842352453E-3</v>
      </c>
      <c r="I83" s="154" t="s">
        <v>216</v>
      </c>
      <c r="J83" s="194" t="s">
        <v>217</v>
      </c>
      <c r="K83" s="194"/>
      <c r="L83" s="194"/>
      <c r="M83" s="194"/>
      <c r="N83" s="194"/>
      <c r="O83" s="194"/>
      <c r="P83" s="194"/>
      <c r="W83" s="2">
        <v>45512</v>
      </c>
      <c r="X83" s="3">
        <v>1570</v>
      </c>
      <c r="Y83" s="1">
        <f t="shared" si="15"/>
        <v>1.1597938144329856E-2</v>
      </c>
      <c r="Z83" s="1"/>
      <c r="AA83" s="2">
        <v>45320</v>
      </c>
      <c r="AB83" s="3">
        <f t="shared" si="14"/>
        <v>1168.19</v>
      </c>
      <c r="AC83" s="1">
        <f t="shared" si="16"/>
        <v>-4.7059226175194535E-4</v>
      </c>
      <c r="AD83" s="1"/>
      <c r="AE83" s="1"/>
      <c r="AF83" s="1"/>
      <c r="AG83" s="1"/>
      <c r="AH83" s="1"/>
      <c r="AI83" s="1"/>
      <c r="AJ83" s="1"/>
      <c r="AK83" s="1"/>
    </row>
    <row r="84" spans="1:37">
      <c r="A84" s="50">
        <v>45512</v>
      </c>
      <c r="B84" s="51">
        <v>1387.66</v>
      </c>
      <c r="C84" s="52">
        <f t="shared" si="17"/>
        <v>1.7252954297718858E-3</v>
      </c>
      <c r="D84" s="53">
        <v>24117</v>
      </c>
      <c r="E84" s="54">
        <f t="shared" si="18"/>
        <v>-7.428747813561066E-3</v>
      </c>
      <c r="F84" s="55">
        <v>22114.25</v>
      </c>
      <c r="G84" s="54">
        <f t="shared" si="19"/>
        <v>3.5077449465556383E-3</v>
      </c>
      <c r="I84" s="154" t="s">
        <v>218</v>
      </c>
      <c r="J84" s="194" t="s">
        <v>219</v>
      </c>
      <c r="K84" s="194"/>
      <c r="L84" s="194"/>
      <c r="M84" s="194"/>
      <c r="N84" s="194"/>
      <c r="O84" s="194"/>
      <c r="P84" s="194"/>
      <c r="W84" s="2">
        <v>45511</v>
      </c>
      <c r="X84" s="3">
        <v>1552</v>
      </c>
      <c r="Y84" s="1">
        <f t="shared" si="15"/>
        <v>1.2757349342555901E-2</v>
      </c>
      <c r="Z84" s="1"/>
      <c r="AA84" s="2">
        <v>45316</v>
      </c>
      <c r="AB84" s="3">
        <f t="shared" si="14"/>
        <v>1168.74</v>
      </c>
      <c r="AC84" s="1">
        <f t="shared" si="16"/>
        <v>-2.0151993851933447E-3</v>
      </c>
      <c r="AD84" s="1"/>
      <c r="AE84" s="1"/>
      <c r="AF84" s="1"/>
      <c r="AG84" s="1"/>
      <c r="AH84" s="1"/>
      <c r="AI84" s="1"/>
      <c r="AJ84" s="1"/>
      <c r="AK84" s="1"/>
    </row>
    <row r="85" spans="1:37">
      <c r="A85" s="50">
        <v>45511</v>
      </c>
      <c r="B85" s="51">
        <v>1385.27</v>
      </c>
      <c r="C85" s="52">
        <f t="shared" si="17"/>
        <v>1.7473631636160621E-2</v>
      </c>
      <c r="D85" s="53">
        <v>24297.5</v>
      </c>
      <c r="E85" s="54">
        <f t="shared" si="18"/>
        <v>1.2710195456506321E-2</v>
      </c>
      <c r="F85" s="55">
        <v>22036.95</v>
      </c>
      <c r="G85" s="54">
        <f t="shared" si="19"/>
        <v>2.2001108403226961E-2</v>
      </c>
      <c r="I85" s="154" t="s">
        <v>220</v>
      </c>
      <c r="J85" s="194" t="s">
        <v>221</v>
      </c>
      <c r="K85" s="194"/>
      <c r="L85" s="194"/>
      <c r="M85" s="194"/>
      <c r="N85" s="194"/>
      <c r="O85" s="194"/>
      <c r="P85" s="194"/>
      <c r="W85" s="2">
        <v>45510</v>
      </c>
      <c r="X85" s="3">
        <v>1532.45</v>
      </c>
      <c r="Y85" s="1">
        <f t="shared" si="15"/>
        <v>1.085092348284955E-2</v>
      </c>
      <c r="Z85" s="1"/>
      <c r="AA85" s="2">
        <v>45315</v>
      </c>
      <c r="AB85" s="3">
        <f t="shared" si="14"/>
        <v>1171.0999999999999</v>
      </c>
      <c r="AC85" s="1">
        <f t="shared" si="16"/>
        <v>-7.8954948238764144E-3</v>
      </c>
      <c r="AD85" s="1"/>
      <c r="AE85" s="1"/>
      <c r="AF85" s="1"/>
      <c r="AG85" s="1"/>
      <c r="AH85" s="1"/>
      <c r="AI85" s="1"/>
      <c r="AJ85" s="1"/>
      <c r="AK85" s="1"/>
    </row>
    <row r="86" spans="1:37">
      <c r="A86" s="50">
        <v>45510</v>
      </c>
      <c r="B86" s="51">
        <v>1361.48</v>
      </c>
      <c r="C86" s="52">
        <f t="shared" si="17"/>
        <v>-6.8261389743180367E-4</v>
      </c>
      <c r="D86" s="53">
        <v>23992.55</v>
      </c>
      <c r="E86" s="54">
        <f t="shared" si="18"/>
        <v>-2.6210113237665773E-3</v>
      </c>
      <c r="F86" s="55">
        <v>21562.55</v>
      </c>
      <c r="G86" s="54">
        <f t="shared" si="19"/>
        <v>-9.4981941847885267E-4</v>
      </c>
      <c r="I86" s="154" t="s">
        <v>222</v>
      </c>
      <c r="J86" s="194" t="s">
        <v>223</v>
      </c>
      <c r="K86" s="194"/>
      <c r="L86" s="194"/>
      <c r="M86" s="194"/>
      <c r="N86" s="194"/>
      <c r="O86" s="194"/>
      <c r="P86" s="194"/>
      <c r="W86" s="2">
        <v>45509</v>
      </c>
      <c r="X86" s="3">
        <v>1516</v>
      </c>
      <c r="Y86" s="1">
        <f t="shared" si="15"/>
        <v>-6.5530799475753687E-3</v>
      </c>
      <c r="Z86" s="1"/>
      <c r="AA86" s="2">
        <v>45314</v>
      </c>
      <c r="AB86" s="3">
        <f t="shared" si="14"/>
        <v>1180.42</v>
      </c>
      <c r="AC86" s="1">
        <f t="shared" si="16"/>
        <v>4.0127590582264228E-2</v>
      </c>
      <c r="AD86" s="1"/>
      <c r="AE86" s="1"/>
      <c r="AF86" s="1"/>
      <c r="AG86" s="1"/>
      <c r="AH86" s="1"/>
      <c r="AI86" s="1"/>
      <c r="AJ86" s="1"/>
      <c r="AK86" s="1"/>
    </row>
    <row r="87" spans="1:37">
      <c r="A87" s="50">
        <v>45509</v>
      </c>
      <c r="B87" s="51">
        <v>1362.41</v>
      </c>
      <c r="C87" s="52">
        <f t="shared" si="17"/>
        <v>-2.1840425608293794E-2</v>
      </c>
      <c r="D87" s="53">
        <v>24055.599999999999</v>
      </c>
      <c r="E87" s="54">
        <f t="shared" si="18"/>
        <v>-2.6786472851438529E-2</v>
      </c>
      <c r="F87" s="55">
        <v>21583.05</v>
      </c>
      <c r="G87" s="54">
        <f t="shared" si="19"/>
        <v>-1.460083961676217E-2</v>
      </c>
      <c r="I87" s="154" t="s">
        <v>224</v>
      </c>
      <c r="J87" s="194" t="s">
        <v>225</v>
      </c>
      <c r="K87" s="194"/>
      <c r="L87" s="194"/>
      <c r="M87" s="194"/>
      <c r="N87" s="194"/>
      <c r="O87" s="194"/>
      <c r="P87" s="194"/>
      <c r="W87" s="2">
        <v>45506</v>
      </c>
      <c r="X87" s="3">
        <v>1526</v>
      </c>
      <c r="Y87" s="1">
        <f t="shared" si="15"/>
        <v>-1.229773462783168E-2</v>
      </c>
      <c r="Z87" s="1"/>
      <c r="AA87" s="2">
        <v>45311</v>
      </c>
      <c r="AB87" s="3">
        <f t="shared" si="14"/>
        <v>1134.8800000000001</v>
      </c>
      <c r="AC87" s="1">
        <f t="shared" si="16"/>
        <v>6.9205380274692807E-3</v>
      </c>
      <c r="AD87" s="1"/>
      <c r="AE87" s="1"/>
      <c r="AF87" s="1"/>
      <c r="AG87" s="1"/>
      <c r="AH87" s="1"/>
      <c r="AI87" s="1"/>
      <c r="AJ87" s="1"/>
      <c r="AK87" s="1"/>
    </row>
    <row r="88" spans="1:37">
      <c r="A88" s="50">
        <v>45506</v>
      </c>
      <c r="B88" s="51">
        <v>1392.83</v>
      </c>
      <c r="C88" s="52">
        <f t="shared" si="17"/>
        <v>1.1062798074898924E-2</v>
      </c>
      <c r="D88" s="53">
        <v>24717.7</v>
      </c>
      <c r="E88" s="54">
        <f t="shared" si="18"/>
        <v>-1.1722888820474302E-2</v>
      </c>
      <c r="F88" s="55">
        <v>21902.85</v>
      </c>
      <c r="G88" s="54">
        <f t="shared" si="19"/>
        <v>5.1628358424715528E-3</v>
      </c>
      <c r="I88" s="154" t="s">
        <v>226</v>
      </c>
      <c r="J88" s="194" t="s">
        <v>227</v>
      </c>
      <c r="K88" s="194"/>
      <c r="L88" s="194"/>
      <c r="M88" s="194"/>
      <c r="N88" s="194"/>
      <c r="O88" s="194"/>
      <c r="P88" s="194"/>
      <c r="W88" s="2">
        <v>45505</v>
      </c>
      <c r="X88" s="3">
        <v>1545</v>
      </c>
      <c r="Y88" s="1">
        <f t="shared" si="15"/>
        <v>6.4766839378238572E-4</v>
      </c>
      <c r="Z88" s="1"/>
      <c r="AA88" s="2">
        <v>45310</v>
      </c>
      <c r="AB88" s="3">
        <f t="shared" si="14"/>
        <v>1127.08</v>
      </c>
      <c r="AC88" s="1">
        <f t="shared" si="16"/>
        <v>-5.7866694894324056E-3</v>
      </c>
      <c r="AD88" s="1"/>
      <c r="AE88" s="1"/>
      <c r="AF88" s="1"/>
      <c r="AG88" s="1"/>
      <c r="AH88" s="1"/>
      <c r="AI88" s="1"/>
      <c r="AJ88" s="1"/>
      <c r="AK88" s="1"/>
    </row>
    <row r="89" spans="1:37">
      <c r="A89" s="50">
        <v>45505</v>
      </c>
      <c r="B89" s="51">
        <v>1377.59</v>
      </c>
      <c r="C89" s="52">
        <f t="shared" si="17"/>
        <v>2.0361454707058746E-2</v>
      </c>
      <c r="D89" s="53">
        <v>25010.9</v>
      </c>
      <c r="E89" s="54">
        <f t="shared" si="18"/>
        <v>2.3946792031629802E-3</v>
      </c>
      <c r="F89" s="55">
        <v>21790.35</v>
      </c>
      <c r="G89" s="54">
        <f t="shared" si="19"/>
        <v>6.0613992189047184E-4</v>
      </c>
      <c r="K89" s="6"/>
      <c r="L89" s="7"/>
      <c r="W89" s="2">
        <v>45504</v>
      </c>
      <c r="X89" s="3">
        <v>1544</v>
      </c>
      <c r="Y89" s="1">
        <f t="shared" si="15"/>
        <v>9.8103335513406442E-3</v>
      </c>
      <c r="Z89" s="1"/>
      <c r="AA89" s="2">
        <v>45309</v>
      </c>
      <c r="AB89" s="3">
        <f t="shared" si="14"/>
        <v>1133.6400000000001</v>
      </c>
      <c r="AC89" s="1">
        <f t="shared" si="16"/>
        <v>3.2301170806821045E-3</v>
      </c>
      <c r="AD89" s="1"/>
      <c r="AE89" s="1"/>
      <c r="AF89" s="1"/>
      <c r="AG89" s="1"/>
      <c r="AH89" s="1"/>
      <c r="AI89" s="1"/>
      <c r="AJ89" s="1"/>
      <c r="AK89" s="1"/>
    </row>
    <row r="90" spans="1:37">
      <c r="A90" s="50">
        <v>45504</v>
      </c>
      <c r="B90" s="51">
        <v>1350.1</v>
      </c>
      <c r="C90" s="52">
        <f t="shared" si="17"/>
        <v>-7.8848937780619313E-3</v>
      </c>
      <c r="D90" s="53">
        <v>24951.15</v>
      </c>
      <c r="E90" s="54">
        <f t="shared" si="18"/>
        <v>3.7755508442188887E-3</v>
      </c>
      <c r="F90" s="55">
        <v>21777.15</v>
      </c>
      <c r="G90" s="54">
        <f t="shared" si="19"/>
        <v>1.0972201589541809E-2</v>
      </c>
      <c r="K90" s="6"/>
      <c r="L90" s="7"/>
      <c r="W90" s="2">
        <v>45503</v>
      </c>
      <c r="X90" s="3">
        <v>1529</v>
      </c>
      <c r="Y90" s="1">
        <f t="shared" si="15"/>
        <v>-1.5453960077269846E-2</v>
      </c>
      <c r="Z90" s="1"/>
      <c r="AA90" s="2">
        <v>45308</v>
      </c>
      <c r="AB90" s="3">
        <f t="shared" si="14"/>
        <v>1129.99</v>
      </c>
      <c r="AC90" s="1">
        <f t="shared" si="16"/>
        <v>0</v>
      </c>
      <c r="AD90" s="1"/>
      <c r="AE90" s="1"/>
      <c r="AF90" s="1"/>
      <c r="AG90" s="1"/>
      <c r="AH90" s="1"/>
      <c r="AI90" s="1"/>
      <c r="AJ90" s="1"/>
      <c r="AK90" s="1"/>
    </row>
    <row r="91" spans="1:37">
      <c r="A91" s="50">
        <v>45503</v>
      </c>
      <c r="B91" s="51">
        <v>1360.83</v>
      </c>
      <c r="C91" s="52">
        <f t="shared" si="17"/>
        <v>-5.2484996454704742E-3</v>
      </c>
      <c r="D91" s="53">
        <v>24857.3</v>
      </c>
      <c r="E91" s="54">
        <f t="shared" si="18"/>
        <v>8.5359617653338197E-4</v>
      </c>
      <c r="F91" s="55">
        <v>21540.799999999999</v>
      </c>
      <c r="G91" s="54">
        <f t="shared" si="19"/>
        <v>-6.1891722933617582E-3</v>
      </c>
      <c r="K91" s="6"/>
      <c r="L91" s="7"/>
      <c r="W91" s="2">
        <v>45502</v>
      </c>
      <c r="X91" s="3">
        <v>1553</v>
      </c>
      <c r="Y91" s="1">
        <f t="shared" si="15"/>
        <v>-2.1115663410022023E-2</v>
      </c>
      <c r="Z91" s="1"/>
      <c r="AA91" s="2">
        <v>45307</v>
      </c>
      <c r="AB91" s="3">
        <f t="shared" si="14"/>
        <v>1129.99</v>
      </c>
      <c r="AC91" s="1">
        <f t="shared" si="16"/>
        <v>-1.8790757448138851E-2</v>
      </c>
      <c r="AD91" s="1"/>
      <c r="AE91" s="1"/>
      <c r="AF91" s="1"/>
      <c r="AG91" s="1"/>
      <c r="AH91" s="1"/>
      <c r="AI91" s="1"/>
      <c r="AJ91" s="1"/>
      <c r="AK91" s="1"/>
    </row>
    <row r="92" spans="1:37">
      <c r="A92" s="50">
        <v>45502</v>
      </c>
      <c r="B92" s="51">
        <v>1368.01</v>
      </c>
      <c r="C92" s="52">
        <f t="shared" si="17"/>
        <v>-5.6115662230234332E-3</v>
      </c>
      <c r="D92" s="53">
        <v>24836.1</v>
      </c>
      <c r="E92" s="54">
        <f t="shared" si="18"/>
        <v>5.0332496471692003E-5</v>
      </c>
      <c r="F92" s="55">
        <v>21674.95</v>
      </c>
      <c r="G92" s="54">
        <f t="shared" si="19"/>
        <v>3.3259115589893205E-3</v>
      </c>
      <c r="K92" s="6"/>
      <c r="L92" s="7"/>
      <c r="W92" s="2">
        <v>45499</v>
      </c>
      <c r="X92" s="3">
        <v>1586.5</v>
      </c>
      <c r="Y92" s="1">
        <f t="shared" si="15"/>
        <v>5.555555555555558E-2</v>
      </c>
      <c r="Z92" s="1"/>
      <c r="AA92" s="2">
        <v>45306</v>
      </c>
      <c r="AB92" s="3">
        <f t="shared" si="14"/>
        <v>1151.6300000000001</v>
      </c>
      <c r="AC92" s="1">
        <f t="shared" si="16"/>
        <v>-4.340120174642248E-3</v>
      </c>
      <c r="AD92" s="1"/>
      <c r="AE92" s="1"/>
      <c r="AF92" s="1"/>
      <c r="AG92" s="1"/>
      <c r="AH92" s="1"/>
      <c r="AI92" s="1"/>
      <c r="AJ92" s="1"/>
      <c r="AK92" s="1"/>
    </row>
    <row r="93" spans="1:37">
      <c r="A93" s="50">
        <v>45499</v>
      </c>
      <c r="B93" s="51">
        <v>1375.73</v>
      </c>
      <c r="C93" s="52">
        <f t="shared" si="17"/>
        <v>3.7135936496818403E-3</v>
      </c>
      <c r="D93" s="53">
        <v>24834.85</v>
      </c>
      <c r="E93" s="54">
        <f t="shared" si="18"/>
        <v>1.7567329479105633E-2</v>
      </c>
      <c r="F93" s="55">
        <v>21603.1</v>
      </c>
      <c r="G93" s="54">
        <f t="shared" si="19"/>
        <v>2.3576792779133333E-2</v>
      </c>
      <c r="K93" s="6"/>
      <c r="L93" s="7"/>
      <c r="W93" s="2">
        <v>45498</v>
      </c>
      <c r="X93" s="3">
        <v>1503</v>
      </c>
      <c r="Y93" s="1">
        <f t="shared" si="15"/>
        <v>-3.3255736614568043E-4</v>
      </c>
      <c r="Z93" s="1"/>
      <c r="AA93" s="2">
        <v>45303</v>
      </c>
      <c r="AB93" s="3">
        <f t="shared" si="14"/>
        <v>1156.6500000000001</v>
      </c>
      <c r="AC93" s="1">
        <f t="shared" si="16"/>
        <v>1.6593863434613443E-2</v>
      </c>
      <c r="AD93" s="1"/>
      <c r="AE93" s="1"/>
      <c r="AF93" s="1"/>
      <c r="AG93" s="1"/>
      <c r="AH93" s="1"/>
      <c r="AI93" s="1"/>
      <c r="AJ93" s="1"/>
      <c r="AK93" s="1"/>
    </row>
    <row r="94" spans="1:37">
      <c r="A94" s="50">
        <v>45498</v>
      </c>
      <c r="B94" s="51">
        <v>1370.64</v>
      </c>
      <c r="C94" s="52">
        <f t="shared" si="17"/>
        <v>4.8459344735820526E-3</v>
      </c>
      <c r="D94" s="53">
        <v>24406.1</v>
      </c>
      <c r="E94" s="54">
        <f t="shared" si="18"/>
        <v>-3.0311098367712352E-4</v>
      </c>
      <c r="F94" s="55">
        <v>21105.5</v>
      </c>
      <c r="G94" s="54">
        <f t="shared" si="19"/>
        <v>9.4220054045005622E-3</v>
      </c>
      <c r="K94" s="6"/>
      <c r="L94" s="7"/>
      <c r="W94" s="2">
        <v>45497</v>
      </c>
      <c r="X94" s="3">
        <v>1503.5</v>
      </c>
      <c r="Y94" s="1">
        <f t="shared" si="15"/>
        <v>5.6856187290970084E-3</v>
      </c>
      <c r="Z94" s="1"/>
      <c r="AA94" s="2">
        <v>45302</v>
      </c>
      <c r="AB94" s="3">
        <f t="shared" si="14"/>
        <v>1137.77</v>
      </c>
      <c r="AC94" s="1">
        <f t="shared" si="16"/>
        <v>-6.3241662201685145E-4</v>
      </c>
      <c r="AD94" s="1"/>
      <c r="AE94" s="1"/>
      <c r="AF94" s="1"/>
      <c r="AG94" s="1"/>
      <c r="AH94" s="1"/>
      <c r="AI94" s="1"/>
      <c r="AJ94" s="1"/>
      <c r="AK94" s="1"/>
    </row>
    <row r="95" spans="1:37">
      <c r="A95" s="50">
        <v>45497</v>
      </c>
      <c r="B95" s="51">
        <v>1364.03</v>
      </c>
      <c r="C95" s="52">
        <f t="shared" si="17"/>
        <v>-6.5331391114348339E-3</v>
      </c>
      <c r="D95" s="53">
        <v>24413.5</v>
      </c>
      <c r="E95" s="54">
        <f t="shared" si="18"/>
        <v>-2.677799996323357E-3</v>
      </c>
      <c r="F95" s="55">
        <v>20908.5</v>
      </c>
      <c r="G95" s="54">
        <f t="shared" si="19"/>
        <v>7.3788204005233093E-3</v>
      </c>
      <c r="K95" s="6"/>
      <c r="L95" s="7"/>
      <c r="W95" s="2">
        <v>45496</v>
      </c>
      <c r="X95" s="3">
        <v>1495</v>
      </c>
      <c r="Y95" s="1">
        <f t="shared" si="15"/>
        <v>2.5818998759346012E-3</v>
      </c>
      <c r="Z95" s="1"/>
      <c r="AA95" s="2">
        <v>45301</v>
      </c>
      <c r="AB95" s="3">
        <f t="shared" si="14"/>
        <v>1138.49</v>
      </c>
      <c r="AC95" s="1">
        <f t="shared" si="16"/>
        <v>-1.6372338954935062E-2</v>
      </c>
      <c r="AD95" s="1"/>
      <c r="AE95" s="1"/>
      <c r="AF95" s="1"/>
      <c r="AG95" s="1"/>
      <c r="AH95" s="1"/>
      <c r="AI95" s="1"/>
      <c r="AJ95" s="1"/>
      <c r="AK95" s="1"/>
    </row>
    <row r="96" spans="1:37">
      <c r="A96" s="50">
        <v>45496</v>
      </c>
      <c r="B96" s="51">
        <v>1373</v>
      </c>
      <c r="C96" s="52">
        <f t="shared" si="17"/>
        <v>1.3897709314862084E-2</v>
      </c>
      <c r="D96" s="53">
        <v>24479.05</v>
      </c>
      <c r="E96" s="54">
        <f t="shared" si="18"/>
        <v>-1.2321878474453819E-3</v>
      </c>
      <c r="F96" s="55">
        <v>20755.349999999999</v>
      </c>
      <c r="G96" s="54">
        <f t="shared" si="19"/>
        <v>5.5131518708623761E-3</v>
      </c>
      <c r="K96" s="6"/>
      <c r="L96" s="7"/>
      <c r="W96" s="2">
        <v>45495</v>
      </c>
      <c r="X96" s="3">
        <v>1491.15</v>
      </c>
      <c r="Y96" s="1">
        <f t="shared" si="15"/>
        <v>2.1169354838710408E-3</v>
      </c>
      <c r="Z96" s="1"/>
      <c r="AA96" s="2">
        <v>45300</v>
      </c>
      <c r="AB96" s="3">
        <f t="shared" si="14"/>
        <v>1157.44</v>
      </c>
      <c r="AC96" s="1">
        <f t="shared" si="16"/>
        <v>6.5045740721416667E-3</v>
      </c>
      <c r="AD96" s="1"/>
      <c r="AE96" s="1"/>
      <c r="AF96" s="1"/>
      <c r="AG96" s="1"/>
      <c r="AH96" s="1"/>
      <c r="AI96" s="1"/>
      <c r="AJ96" s="1"/>
      <c r="AK96" s="1"/>
    </row>
    <row r="97" spans="1:37">
      <c r="A97" s="50">
        <v>45495</v>
      </c>
      <c r="B97" s="51">
        <v>1354.18</v>
      </c>
      <c r="C97" s="52">
        <f t="shared" si="17"/>
        <v>2.0328511151295973E-2</v>
      </c>
      <c r="D97" s="53">
        <v>24509.25</v>
      </c>
      <c r="E97" s="54">
        <f t="shared" si="18"/>
        <v>-8.8256036264472372E-4</v>
      </c>
      <c r="F97" s="55">
        <v>20641.55</v>
      </c>
      <c r="G97" s="54">
        <f t="shared" si="19"/>
        <v>1.0582412094744672E-2</v>
      </c>
      <c r="K97" s="6"/>
      <c r="L97" s="7"/>
      <c r="W97" s="2">
        <v>45492</v>
      </c>
      <c r="X97" s="3">
        <v>1488</v>
      </c>
      <c r="Y97" s="1">
        <f t="shared" si="15"/>
        <v>-9.320905459387463E-3</v>
      </c>
      <c r="Z97" s="1"/>
      <c r="AA97" s="2">
        <v>45299</v>
      </c>
      <c r="AB97" s="3">
        <f t="shared" si="14"/>
        <v>1149.96</v>
      </c>
      <c r="AC97" s="1">
        <f t="shared" si="16"/>
        <v>-2.004738472753731E-3</v>
      </c>
      <c r="AD97" s="1"/>
      <c r="AE97" s="1"/>
      <c r="AF97" s="1"/>
      <c r="AG97" s="1"/>
      <c r="AH97" s="1"/>
      <c r="AI97" s="1"/>
      <c r="AJ97" s="1"/>
      <c r="AK97" s="1"/>
    </row>
    <row r="98" spans="1:37">
      <c r="A98" s="50">
        <v>45492</v>
      </c>
      <c r="B98" s="51">
        <v>1327.2</v>
      </c>
      <c r="C98" s="52">
        <f t="shared" si="17"/>
        <v>-4.7244094488188637E-3</v>
      </c>
      <c r="D98" s="53">
        <v>24530.9</v>
      </c>
      <c r="E98" s="54">
        <f t="shared" si="18"/>
        <v>-1.0884707580586839E-2</v>
      </c>
      <c r="F98" s="55">
        <v>20425.400000000001</v>
      </c>
      <c r="G98" s="54">
        <f t="shared" si="19"/>
        <v>-1.651310768549245E-2</v>
      </c>
      <c r="K98" s="6"/>
      <c r="L98" s="7"/>
      <c r="W98" s="2">
        <v>45491</v>
      </c>
      <c r="X98" s="3">
        <v>1502</v>
      </c>
      <c r="Y98" s="1">
        <f t="shared" si="15"/>
        <v>-4.2429063908777653E-3</v>
      </c>
      <c r="Z98" s="1"/>
      <c r="AA98" s="2">
        <v>45296</v>
      </c>
      <c r="AB98" s="3">
        <f t="shared" si="14"/>
        <v>1152.27</v>
      </c>
      <c r="AC98" s="1">
        <f t="shared" si="16"/>
        <v>-1.2732086399972697E-2</v>
      </c>
      <c r="AD98" s="1"/>
      <c r="AE98" s="1"/>
      <c r="AF98" s="1"/>
      <c r="AG98" s="1"/>
      <c r="AH98" s="1"/>
      <c r="AI98" s="1"/>
      <c r="AJ98" s="1"/>
      <c r="AK98" s="1"/>
    </row>
    <row r="99" spans="1:37">
      <c r="A99" s="50">
        <v>45491</v>
      </c>
      <c r="B99" s="51">
        <v>1333.5</v>
      </c>
      <c r="C99" s="52">
        <f t="shared" si="17"/>
        <v>3.2274809849459178E-3</v>
      </c>
      <c r="D99" s="53">
        <v>24800.85</v>
      </c>
      <c r="E99" s="54">
        <f t="shared" si="18"/>
        <v>7.6321456141063074E-3</v>
      </c>
      <c r="F99" s="55">
        <v>20768.349999999999</v>
      </c>
      <c r="G99" s="54">
        <f t="shared" si="19"/>
        <v>1.3965505202140176E-4</v>
      </c>
      <c r="K99" s="6"/>
      <c r="L99" s="7"/>
      <c r="W99" s="2">
        <v>45489</v>
      </c>
      <c r="X99" s="3">
        <v>1508.4</v>
      </c>
      <c r="Y99" s="1">
        <f t="shared" si="15"/>
        <v>-4.2907122582348522E-3</v>
      </c>
      <c r="Z99" s="1"/>
      <c r="AA99" s="2">
        <v>45295</v>
      </c>
      <c r="AB99" s="3">
        <f t="shared" si="14"/>
        <v>1167.1300000000001</v>
      </c>
      <c r="AC99" s="1">
        <f t="shared" si="16"/>
        <v>-1.1211529903117912E-3</v>
      </c>
      <c r="AD99" s="1"/>
      <c r="AE99" s="1"/>
      <c r="AF99" s="1"/>
      <c r="AG99" s="1"/>
      <c r="AH99" s="1"/>
      <c r="AI99" s="1"/>
      <c r="AJ99" s="1"/>
      <c r="AK99" s="1"/>
    </row>
    <row r="100" spans="1:37">
      <c r="A100" s="50">
        <v>45489</v>
      </c>
      <c r="B100" s="51">
        <v>1329.21</v>
      </c>
      <c r="C100" s="52">
        <f t="shared" si="17"/>
        <v>-2.1884543213510438E-2</v>
      </c>
      <c r="D100" s="53">
        <v>24613</v>
      </c>
      <c r="E100" s="54">
        <f t="shared" si="18"/>
        <v>1.0696840161550461E-3</v>
      </c>
      <c r="F100" s="55">
        <v>20765.45</v>
      </c>
      <c r="G100" s="54">
        <f t="shared" si="19"/>
        <v>-3.794756902883418E-3</v>
      </c>
      <c r="K100" s="6"/>
      <c r="L100" s="7"/>
      <c r="W100" s="2">
        <v>45488</v>
      </c>
      <c r="X100" s="3">
        <v>1514.9</v>
      </c>
      <c r="Y100" s="1">
        <f t="shared" si="15"/>
        <v>1.5536676473506539E-3</v>
      </c>
      <c r="Z100" s="1"/>
      <c r="AA100" s="2">
        <v>45294</v>
      </c>
      <c r="AB100" s="3">
        <f t="shared" si="14"/>
        <v>1168.44</v>
      </c>
      <c r="AC100" s="1">
        <f t="shared" si="16"/>
        <v>-1.5121630506245931E-2</v>
      </c>
      <c r="AD100" s="1"/>
      <c r="AE100" s="1"/>
      <c r="AF100" s="1"/>
      <c r="AG100" s="1"/>
      <c r="AH100" s="1"/>
      <c r="AI100" s="1"/>
      <c r="AJ100" s="1"/>
      <c r="AK100" s="1"/>
    </row>
    <row r="101" spans="1:37">
      <c r="A101" s="50">
        <v>45488</v>
      </c>
      <c r="B101" s="51">
        <v>1358.95</v>
      </c>
      <c r="C101" s="52">
        <f t="shared" si="17"/>
        <v>1.1206274323047232E-2</v>
      </c>
      <c r="D101" s="53">
        <v>24586.7</v>
      </c>
      <c r="E101" s="54">
        <f t="shared" si="18"/>
        <v>3.4507175900890031E-3</v>
      </c>
      <c r="F101" s="55">
        <v>20844.55</v>
      </c>
      <c r="G101" s="54">
        <f t="shared" si="19"/>
        <v>1.1250372950590913E-2</v>
      </c>
      <c r="K101" s="6"/>
      <c r="L101" s="7"/>
      <c r="W101" s="2">
        <v>45485</v>
      </c>
      <c r="X101" s="3">
        <v>1512.55</v>
      </c>
      <c r="Y101" s="1">
        <f t="shared" si="15"/>
        <v>4.816315684581074E-3</v>
      </c>
      <c r="Z101" s="1"/>
      <c r="AA101" s="2">
        <v>45293</v>
      </c>
      <c r="AB101" s="3">
        <f t="shared" si="14"/>
        <v>1186.3800000000001</v>
      </c>
      <c r="AC101" s="1">
        <f t="shared" si="16"/>
        <v>8.6049807653387766E-4</v>
      </c>
      <c r="AD101" s="1"/>
      <c r="AE101" s="1"/>
      <c r="AF101" s="1"/>
      <c r="AG101" s="1"/>
      <c r="AH101" s="1"/>
      <c r="AI101" s="1"/>
      <c r="AJ101" s="1"/>
      <c r="AK101" s="1"/>
    </row>
    <row r="102" spans="1:37">
      <c r="A102" s="50">
        <v>45485</v>
      </c>
      <c r="B102" s="51">
        <v>1343.89</v>
      </c>
      <c r="C102" s="52">
        <f t="shared" si="17"/>
        <v>1.890898062853031E-2</v>
      </c>
      <c r="D102" s="53">
        <v>24502.15</v>
      </c>
      <c r="E102" s="54">
        <f t="shared" si="18"/>
        <v>7.6575252046496524E-3</v>
      </c>
      <c r="F102" s="55">
        <v>20612.650000000001</v>
      </c>
      <c r="G102" s="54">
        <f t="shared" si="19"/>
        <v>5.3150953562088217E-4</v>
      </c>
      <c r="K102" s="6"/>
      <c r="L102" s="7"/>
      <c r="W102" s="2">
        <v>45484</v>
      </c>
      <c r="X102" s="3">
        <v>1505.3</v>
      </c>
      <c r="Y102" s="1">
        <f t="shared" si="15"/>
        <v>-4.9576943416181907E-3</v>
      </c>
      <c r="Z102" s="1"/>
      <c r="AA102" s="2">
        <v>45292</v>
      </c>
      <c r="AB102" s="3">
        <f t="shared" si="14"/>
        <v>1185.3599999999999</v>
      </c>
      <c r="AC102" s="1">
        <f t="shared" si="16"/>
        <v>1.8061889670454301E-2</v>
      </c>
      <c r="AD102" s="1"/>
      <c r="AE102" s="1"/>
      <c r="AF102" s="1"/>
      <c r="AG102" s="1"/>
      <c r="AH102" s="1"/>
      <c r="AI102" s="1"/>
      <c r="AJ102" s="1"/>
      <c r="AK102" s="1"/>
    </row>
    <row r="103" spans="1:37">
      <c r="A103" s="50">
        <v>45484</v>
      </c>
      <c r="B103" s="51">
        <v>1318.95</v>
      </c>
      <c r="C103" s="52">
        <f t="shared" si="17"/>
        <v>3.3371002116029045E-4</v>
      </c>
      <c r="D103" s="53">
        <v>24315.95</v>
      </c>
      <c r="E103" s="54">
        <f t="shared" si="18"/>
        <v>-3.4944263899080964E-4</v>
      </c>
      <c r="F103" s="55">
        <v>20601.7</v>
      </c>
      <c r="G103" s="54">
        <f t="shared" si="19"/>
        <v>-5.994900113143185E-3</v>
      </c>
      <c r="K103" s="6"/>
      <c r="L103" s="7"/>
      <c r="W103" s="2">
        <v>45483</v>
      </c>
      <c r="X103" s="3">
        <v>1512.8</v>
      </c>
      <c r="Y103" s="1">
        <f t="shared" si="15"/>
        <v>-7.9260237780720555E-4</v>
      </c>
      <c r="Z103" s="1"/>
      <c r="AA103" s="2">
        <v>45289</v>
      </c>
      <c r="AB103" s="3">
        <f t="shared" si="14"/>
        <v>1164.33</v>
      </c>
      <c r="AC103" s="1">
        <f t="shared" si="16"/>
        <v>4.0963107331966064E-3</v>
      </c>
      <c r="AD103" s="1"/>
      <c r="AE103" s="1"/>
      <c r="AF103" s="1"/>
      <c r="AG103" s="1"/>
      <c r="AH103" s="1"/>
      <c r="AI103" s="1"/>
      <c r="AJ103" s="1"/>
      <c r="AK103" s="1"/>
    </row>
    <row r="104" spans="1:37">
      <c r="A104" s="50">
        <v>45483</v>
      </c>
      <c r="B104" s="51">
        <v>1318.51</v>
      </c>
      <c r="C104" s="52">
        <f t="shared" si="17"/>
        <v>1.4735259044335316E-3</v>
      </c>
      <c r="D104" s="53">
        <v>24324.45</v>
      </c>
      <c r="E104" s="54">
        <f t="shared" si="18"/>
        <v>-4.4509110554491428E-3</v>
      </c>
      <c r="F104" s="55">
        <v>20725.95</v>
      </c>
      <c r="G104" s="54">
        <f t="shared" si="19"/>
        <v>3.8821455211230107E-3</v>
      </c>
      <c r="K104" s="6"/>
      <c r="L104" s="7"/>
      <c r="W104" s="2">
        <v>45482</v>
      </c>
      <c r="X104" s="3">
        <v>1514</v>
      </c>
      <c r="Y104" s="1">
        <f t="shared" si="15"/>
        <v>1.5425888665325349E-2</v>
      </c>
      <c r="Z104" s="1"/>
      <c r="AA104" s="2">
        <v>45288</v>
      </c>
      <c r="AB104" s="3">
        <f t="shared" ref="AB104:AB130" si="20">B235</f>
        <v>1159.58</v>
      </c>
      <c r="AC104" s="1">
        <f t="shared" si="16"/>
        <v>-1.0352390949979196E-2</v>
      </c>
      <c r="AD104" s="1"/>
      <c r="AE104" s="1"/>
      <c r="AF104" s="1"/>
      <c r="AG104" s="1"/>
      <c r="AH104" s="1"/>
      <c r="AI104" s="1"/>
      <c r="AJ104" s="1"/>
      <c r="AK104" s="1"/>
    </row>
    <row r="105" spans="1:37">
      <c r="A105" s="50">
        <v>45482</v>
      </c>
      <c r="B105" s="51">
        <v>1316.57</v>
      </c>
      <c r="C105" s="52">
        <f t="shared" si="17"/>
        <v>7.4531499889044558E-3</v>
      </c>
      <c r="D105" s="53">
        <v>24433.200000000001</v>
      </c>
      <c r="E105" s="54">
        <f t="shared" si="18"/>
        <v>4.6318853808816601E-3</v>
      </c>
      <c r="F105" s="55">
        <v>20645.8</v>
      </c>
      <c r="G105" s="54">
        <f t="shared" si="19"/>
        <v>1.5743537769731083E-2</v>
      </c>
      <c r="K105" s="6"/>
      <c r="L105" s="7"/>
      <c r="W105" s="2">
        <v>45481</v>
      </c>
      <c r="X105" s="3">
        <v>1491</v>
      </c>
      <c r="Y105" s="1">
        <f t="shared" si="15"/>
        <v>-1.2615476308731499E-2</v>
      </c>
      <c r="Z105" s="1"/>
      <c r="AA105" s="2">
        <v>45287</v>
      </c>
      <c r="AB105" s="3">
        <f t="shared" si="20"/>
        <v>1171.71</v>
      </c>
      <c r="AC105" s="1">
        <f t="shared" si="16"/>
        <v>2.5207804707323422E-2</v>
      </c>
      <c r="AD105" s="1"/>
      <c r="AE105" s="1"/>
      <c r="AF105" s="1"/>
      <c r="AG105" s="1"/>
      <c r="AH105" s="1"/>
      <c r="AI105" s="1"/>
      <c r="AJ105" s="1"/>
      <c r="AK105" s="1"/>
    </row>
    <row r="106" spans="1:37">
      <c r="A106" s="50">
        <v>45481</v>
      </c>
      <c r="B106" s="51">
        <v>1306.83</v>
      </c>
      <c r="C106" s="52">
        <f t="shared" si="17"/>
        <v>2.1702453987729503E-3</v>
      </c>
      <c r="D106" s="53">
        <v>24320.55</v>
      </c>
      <c r="E106" s="54">
        <f t="shared" si="18"/>
        <v>-1.3566931221822501E-4</v>
      </c>
      <c r="F106" s="55">
        <v>20325.8</v>
      </c>
      <c r="G106" s="54">
        <f t="shared" si="19"/>
        <v>-6.2604350770148059E-3</v>
      </c>
      <c r="K106" s="6"/>
      <c r="L106" s="7"/>
      <c r="W106" s="2">
        <v>45478</v>
      </c>
      <c r="X106" s="3">
        <v>1510.05</v>
      </c>
      <c r="Y106" s="1">
        <f t="shared" si="15"/>
        <v>1.6868686868686922E-2</v>
      </c>
      <c r="Z106" s="1"/>
      <c r="AA106" s="2">
        <v>45286</v>
      </c>
      <c r="AB106" s="3">
        <f t="shared" si="20"/>
        <v>1142.9000000000001</v>
      </c>
      <c r="AC106" s="1">
        <f t="shared" si="16"/>
        <v>1.4621414557495882E-2</v>
      </c>
      <c r="AD106" s="1"/>
      <c r="AE106" s="1"/>
      <c r="AF106" s="1"/>
      <c r="AG106" s="1"/>
      <c r="AH106" s="1"/>
      <c r="AI106" s="1"/>
      <c r="AJ106" s="1"/>
      <c r="AK106" s="1"/>
    </row>
    <row r="107" spans="1:37">
      <c r="A107" s="50">
        <v>45478</v>
      </c>
      <c r="B107" s="51">
        <v>1304</v>
      </c>
      <c r="C107" s="52">
        <f t="shared" si="17"/>
        <v>6.2737774622455261E-3</v>
      </c>
      <c r="D107" s="53">
        <v>24323.85</v>
      </c>
      <c r="E107" s="54">
        <f t="shared" si="18"/>
        <v>8.9292511156408331E-4</v>
      </c>
      <c r="F107" s="55">
        <v>20453.849999999999</v>
      </c>
      <c r="G107" s="54">
        <f t="shared" si="19"/>
        <v>1.2937907946475442E-2</v>
      </c>
      <c r="K107" s="6"/>
      <c r="L107" s="7"/>
      <c r="W107" s="2">
        <v>45477</v>
      </c>
      <c r="X107" s="3">
        <v>1485</v>
      </c>
      <c r="Y107" s="1">
        <f t="shared" si="15"/>
        <v>-4.7115837652289549E-4</v>
      </c>
      <c r="Z107" s="1"/>
      <c r="AA107" s="2">
        <v>45282</v>
      </c>
      <c r="AB107" s="3">
        <f t="shared" si="20"/>
        <v>1126.43</v>
      </c>
      <c r="AC107" s="1">
        <f t="shared" si="16"/>
        <v>7.9073155996245426E-4</v>
      </c>
      <c r="AD107" s="1"/>
      <c r="AE107" s="1"/>
      <c r="AF107" s="1"/>
      <c r="AG107" s="1"/>
      <c r="AH107" s="1"/>
      <c r="AI107" s="1"/>
      <c r="AJ107" s="1"/>
      <c r="AK107" s="1"/>
    </row>
    <row r="108" spans="1:37">
      <c r="A108" s="50">
        <v>45477</v>
      </c>
      <c r="B108" s="51">
        <v>1295.8699999999999</v>
      </c>
      <c r="C108" s="52">
        <f t="shared" si="17"/>
        <v>8.3179009944130983E-3</v>
      </c>
      <c r="D108" s="53">
        <v>24302.15</v>
      </c>
      <c r="E108" s="54">
        <f t="shared" si="18"/>
        <v>6.4439091676451749E-4</v>
      </c>
      <c r="F108" s="55">
        <v>20192.599999999999</v>
      </c>
      <c r="G108" s="54">
        <f t="shared" si="19"/>
        <v>1.3923968004499018E-2</v>
      </c>
      <c r="K108" s="6"/>
      <c r="L108" s="7"/>
      <c r="W108" s="2">
        <v>45476</v>
      </c>
      <c r="X108" s="3">
        <v>1485.7</v>
      </c>
      <c r="Y108" s="1">
        <f t="shared" si="15"/>
        <v>-2.8859060402683934E-3</v>
      </c>
      <c r="Z108" s="1"/>
      <c r="AA108" s="2">
        <v>45281</v>
      </c>
      <c r="AB108" s="3">
        <f t="shared" si="20"/>
        <v>1125.54</v>
      </c>
      <c r="AC108" s="1">
        <f t="shared" si="16"/>
        <v>1.3178503915743933E-2</v>
      </c>
      <c r="AD108" s="1"/>
      <c r="AE108" s="1"/>
      <c r="AF108" s="1"/>
      <c r="AG108" s="1"/>
      <c r="AH108" s="1"/>
      <c r="AI108" s="1"/>
      <c r="AJ108" s="1"/>
      <c r="AK108" s="1"/>
    </row>
    <row r="109" spans="1:37">
      <c r="A109" s="50">
        <v>45476</v>
      </c>
      <c r="B109" s="51">
        <v>1285.18</v>
      </c>
      <c r="C109" s="52">
        <f t="shared" si="17"/>
        <v>8.735920882226059E-3</v>
      </c>
      <c r="D109" s="53">
        <v>24286.5</v>
      </c>
      <c r="E109" s="54">
        <f t="shared" si="18"/>
        <v>6.7422903060664636E-3</v>
      </c>
      <c r="F109" s="55">
        <v>19915.3</v>
      </c>
      <c r="G109" s="54">
        <f t="shared" si="19"/>
        <v>6.514575668135578E-3</v>
      </c>
      <c r="K109" s="6"/>
      <c r="L109" s="7"/>
      <c r="W109" s="2">
        <v>45475</v>
      </c>
      <c r="X109" s="3">
        <v>1490</v>
      </c>
      <c r="Y109" s="1">
        <f t="shared" si="15"/>
        <v>8.289629504314E-3</v>
      </c>
      <c r="Z109" s="1"/>
      <c r="AA109" s="2">
        <v>45280</v>
      </c>
      <c r="AB109" s="3">
        <f t="shared" si="20"/>
        <v>1110.9000000000001</v>
      </c>
      <c r="AC109" s="1">
        <f t="shared" si="16"/>
        <v>-4.4182357527579041E-3</v>
      </c>
      <c r="AD109" s="1"/>
      <c r="AE109" s="1"/>
      <c r="AF109" s="1"/>
      <c r="AG109" s="1"/>
      <c r="AH109" s="1"/>
      <c r="AI109" s="1"/>
      <c r="AJ109" s="1"/>
      <c r="AK109" s="1"/>
    </row>
    <row r="110" spans="1:37">
      <c r="A110" s="50">
        <v>45475</v>
      </c>
      <c r="B110" s="51">
        <v>1274.05</v>
      </c>
      <c r="C110" s="52">
        <f t="shared" si="17"/>
        <v>2.6047814659174539E-3</v>
      </c>
      <c r="D110" s="53">
        <v>24123.85</v>
      </c>
      <c r="E110" s="54">
        <f t="shared" si="18"/>
        <v>-7.4973231242721412E-4</v>
      </c>
      <c r="F110" s="55">
        <v>19786.400000000001</v>
      </c>
      <c r="G110" s="54">
        <f t="shared" si="19"/>
        <v>1.4247213189427937E-3</v>
      </c>
      <c r="K110" s="6"/>
      <c r="L110" s="7"/>
      <c r="W110" s="2">
        <v>45474</v>
      </c>
      <c r="X110" s="3">
        <v>1477.75</v>
      </c>
      <c r="Y110" s="1">
        <f t="shared" si="15"/>
        <v>-3.3048932654369256E-3</v>
      </c>
      <c r="Z110" s="1"/>
      <c r="AA110" s="2">
        <v>45279</v>
      </c>
      <c r="AB110" s="3">
        <f t="shared" si="20"/>
        <v>1115.83</v>
      </c>
      <c r="AC110" s="1">
        <f t="shared" si="16"/>
        <v>-1.0341555135744085E-2</v>
      </c>
      <c r="AD110" s="1"/>
      <c r="AE110" s="1"/>
      <c r="AF110" s="1"/>
      <c r="AG110" s="1"/>
      <c r="AH110" s="1"/>
      <c r="AI110" s="1"/>
      <c r="AJ110" s="1"/>
      <c r="AK110" s="1"/>
    </row>
    <row r="111" spans="1:37">
      <c r="A111" s="50">
        <v>45474</v>
      </c>
      <c r="B111" s="51">
        <v>1270.74</v>
      </c>
      <c r="C111" s="52">
        <f t="shared" si="17"/>
        <v>-7.5987723257866392E-3</v>
      </c>
      <c r="D111" s="53">
        <v>24141.95</v>
      </c>
      <c r="E111" s="54">
        <f t="shared" si="18"/>
        <v>5.4705005289331461E-3</v>
      </c>
      <c r="F111" s="55">
        <v>19758.25</v>
      </c>
      <c r="G111" s="54">
        <f t="shared" si="19"/>
        <v>1.3531628280596673E-3</v>
      </c>
      <c r="K111" s="6"/>
      <c r="L111" s="7"/>
      <c r="W111" s="2">
        <v>45471</v>
      </c>
      <c r="X111" s="3">
        <v>1482.65</v>
      </c>
      <c r="Y111" s="1">
        <f t="shared" si="15"/>
        <v>-1.5824915824915742E-3</v>
      </c>
      <c r="Z111" s="1"/>
      <c r="AA111" s="2">
        <v>45278</v>
      </c>
      <c r="AB111" s="3">
        <f t="shared" si="20"/>
        <v>1127.49</v>
      </c>
      <c r="AC111" s="1">
        <f t="shared" si="16"/>
        <v>8.2989778306399309E-3</v>
      </c>
      <c r="AD111" s="1"/>
      <c r="AE111" s="1"/>
      <c r="AF111" s="1"/>
      <c r="AG111" s="1"/>
      <c r="AH111" s="1"/>
      <c r="AI111" s="1"/>
      <c r="AJ111" s="1"/>
      <c r="AK111" s="1"/>
    </row>
    <row r="112" spans="1:37">
      <c r="A112" s="50">
        <v>45471</v>
      </c>
      <c r="B112" s="51">
        <v>1280.47</v>
      </c>
      <c r="C112" s="52">
        <f t="shared" si="17"/>
        <v>2.6692217643002582E-2</v>
      </c>
      <c r="D112" s="53">
        <v>24010.6</v>
      </c>
      <c r="E112" s="54">
        <f t="shared" si="18"/>
        <v>-1.409885836677887E-3</v>
      </c>
      <c r="F112" s="55">
        <v>19731.55</v>
      </c>
      <c r="G112" s="54">
        <f t="shared" si="19"/>
        <v>1.1106954721544673E-2</v>
      </c>
      <c r="K112" s="6"/>
      <c r="L112" s="7"/>
      <c r="W112" s="2">
        <v>45470</v>
      </c>
      <c r="X112" s="3">
        <v>1485</v>
      </c>
      <c r="Y112" s="1">
        <f t="shared" si="15"/>
        <v>4.4982581932559995E-3</v>
      </c>
      <c r="Z112" s="1"/>
      <c r="AA112" s="2">
        <v>45275</v>
      </c>
      <c r="AB112" s="3">
        <f t="shared" si="20"/>
        <v>1118.21</v>
      </c>
      <c r="AC112" s="1">
        <f t="shared" si="16"/>
        <v>2.8625356698785964E-4</v>
      </c>
      <c r="AD112" s="1"/>
      <c r="AE112" s="1"/>
      <c r="AF112" s="1"/>
      <c r="AG112" s="1"/>
      <c r="AH112" s="1"/>
      <c r="AI112" s="1"/>
      <c r="AJ112" s="1"/>
      <c r="AK112" s="1"/>
    </row>
    <row r="113" spans="1:37">
      <c r="A113" s="50">
        <v>45470</v>
      </c>
      <c r="B113" s="51">
        <v>1247.18</v>
      </c>
      <c r="C113" s="52">
        <f t="shared" si="17"/>
        <v>2.7322674442549957E-2</v>
      </c>
      <c r="D113" s="53">
        <v>24044.5</v>
      </c>
      <c r="E113" s="54">
        <f t="shared" si="18"/>
        <v>7.3610738704920535E-3</v>
      </c>
      <c r="F113" s="55">
        <v>19514.8</v>
      </c>
      <c r="G113" s="54">
        <f t="shared" si="19"/>
        <v>-1.5630316162155845E-3</v>
      </c>
      <c r="K113" s="6"/>
      <c r="L113" s="7"/>
      <c r="W113" s="2">
        <v>45469</v>
      </c>
      <c r="X113" s="3">
        <v>1478.35</v>
      </c>
      <c r="Y113" s="1">
        <f t="shared" si="15"/>
        <v>-1.5745672436751068E-2</v>
      </c>
      <c r="Z113" s="1"/>
      <c r="AA113" s="2">
        <v>45274</v>
      </c>
      <c r="AB113" s="3">
        <f t="shared" si="20"/>
        <v>1117.8900000000001</v>
      </c>
      <c r="AC113" s="1">
        <f t="shared" si="16"/>
        <v>2.888747342262743E-3</v>
      </c>
      <c r="AD113" s="1"/>
      <c r="AE113" s="1"/>
      <c r="AF113" s="1"/>
      <c r="AG113" s="1"/>
      <c r="AH113" s="1"/>
      <c r="AI113" s="1"/>
      <c r="AJ113" s="1"/>
      <c r="AK113" s="1"/>
    </row>
    <row r="114" spans="1:37">
      <c r="A114" s="50">
        <v>45469</v>
      </c>
      <c r="B114" s="51">
        <v>1214.01</v>
      </c>
      <c r="C114" s="52">
        <f t="shared" si="17"/>
        <v>-1.373716767570473E-3</v>
      </c>
      <c r="D114" s="53">
        <v>23868.799999999999</v>
      </c>
      <c r="E114" s="54">
        <f t="shared" si="18"/>
        <v>6.2180403266262809E-3</v>
      </c>
      <c r="F114" s="55">
        <v>19545.349999999999</v>
      </c>
      <c r="G114" s="54">
        <f t="shared" si="19"/>
        <v>6.6812408164933332E-4</v>
      </c>
      <c r="K114" s="6"/>
      <c r="L114" s="7"/>
      <c r="W114" s="2">
        <v>45468</v>
      </c>
      <c r="X114" s="3">
        <v>1502</v>
      </c>
      <c r="Y114" s="1">
        <f t="shared" si="15"/>
        <v>-3.8796962562588355E-3</v>
      </c>
      <c r="Z114" s="1"/>
      <c r="AA114" s="2">
        <v>45273</v>
      </c>
      <c r="AB114" s="3">
        <f t="shared" si="20"/>
        <v>1114.67</v>
      </c>
      <c r="AC114" s="1">
        <f t="shared" si="16"/>
        <v>-4.5189465317531097E-3</v>
      </c>
      <c r="AD114" s="1"/>
      <c r="AE114" s="1"/>
      <c r="AF114" s="1"/>
      <c r="AG114" s="1"/>
      <c r="AH114" s="1"/>
      <c r="AI114" s="1"/>
      <c r="AJ114" s="1"/>
      <c r="AK114" s="1"/>
    </row>
    <row r="115" spans="1:37">
      <c r="A115" s="50">
        <v>45468</v>
      </c>
      <c r="B115" s="51">
        <v>1215.68</v>
      </c>
      <c r="C115" s="52">
        <f t="shared" si="17"/>
        <v>3.872864350655294E-3</v>
      </c>
      <c r="D115" s="53">
        <v>23721.3</v>
      </c>
      <c r="E115" s="54">
        <f t="shared" si="18"/>
        <v>7.7938299377386102E-3</v>
      </c>
      <c r="F115" s="55">
        <v>19532.3</v>
      </c>
      <c r="G115" s="54">
        <f t="shared" si="19"/>
        <v>5.7117536620526028E-4</v>
      </c>
      <c r="K115" s="6"/>
      <c r="L115" s="7"/>
      <c r="W115" s="2">
        <v>45467</v>
      </c>
      <c r="X115" s="3">
        <v>1507.85</v>
      </c>
      <c r="Y115" s="1">
        <f t="shared" si="15"/>
        <v>-1.9125060985526132E-2</v>
      </c>
      <c r="Z115" s="1"/>
      <c r="AA115" s="2">
        <v>45272</v>
      </c>
      <c r="AB115" s="3">
        <f t="shared" si="20"/>
        <v>1119.73</v>
      </c>
      <c r="AC115" s="1">
        <f t="shared" si="16"/>
        <v>1.0522800906080043E-2</v>
      </c>
      <c r="AD115" s="1"/>
      <c r="AE115" s="1"/>
      <c r="AF115" s="1"/>
      <c r="AG115" s="1"/>
      <c r="AH115" s="1"/>
      <c r="AI115" s="1"/>
      <c r="AJ115" s="1"/>
      <c r="AK115" s="1"/>
    </row>
    <row r="116" spans="1:37">
      <c r="A116" s="50">
        <v>45467</v>
      </c>
      <c r="B116" s="51">
        <v>1210.99</v>
      </c>
      <c r="C116" s="52">
        <f t="shared" si="17"/>
        <v>7.2361909356312088E-3</v>
      </c>
      <c r="D116" s="53">
        <v>23537.85</v>
      </c>
      <c r="E116" s="54">
        <f t="shared" si="18"/>
        <v>1.5637565901170584E-3</v>
      </c>
      <c r="F116" s="55">
        <v>19521.150000000001</v>
      </c>
      <c r="G116" s="54">
        <f t="shared" si="19"/>
        <v>-3.7125417340898379E-4</v>
      </c>
      <c r="K116" s="6"/>
      <c r="L116" s="7"/>
      <c r="W116" s="2">
        <v>45464</v>
      </c>
      <c r="X116" s="3">
        <v>1537.25</v>
      </c>
      <c r="Y116" s="1">
        <f t="shared" si="15"/>
        <v>-5.3058979585234312E-3</v>
      </c>
      <c r="Z116" s="1"/>
      <c r="AA116" s="2">
        <v>45271</v>
      </c>
      <c r="AB116" s="3">
        <f t="shared" si="20"/>
        <v>1108.07</v>
      </c>
      <c r="AC116" s="1">
        <f t="shared" si="16"/>
        <v>1.2213391796839224E-2</v>
      </c>
      <c r="AD116" s="1"/>
      <c r="AE116" s="1"/>
      <c r="AF116" s="1"/>
      <c r="AG116" s="1"/>
      <c r="AH116" s="1"/>
      <c r="AI116" s="1"/>
      <c r="AJ116" s="1"/>
      <c r="AK116" s="1"/>
    </row>
    <row r="117" spans="1:37">
      <c r="A117" s="50">
        <v>45464</v>
      </c>
      <c r="B117" s="51">
        <v>1202.29</v>
      </c>
      <c r="C117" s="52">
        <f t="shared" si="17"/>
        <v>6.808132913512328E-3</v>
      </c>
      <c r="D117" s="53">
        <v>23501.1</v>
      </c>
      <c r="E117" s="54">
        <f t="shared" si="18"/>
        <v>-2.7962829380065962E-3</v>
      </c>
      <c r="F117" s="55">
        <v>19528.400000000001</v>
      </c>
      <c r="G117" s="54">
        <f t="shared" si="19"/>
        <v>-8.263173109638144E-4</v>
      </c>
      <c r="K117" s="6"/>
      <c r="L117" s="7"/>
      <c r="W117" s="2">
        <v>45463</v>
      </c>
      <c r="X117" s="3">
        <v>1545.45</v>
      </c>
      <c r="Y117" s="1">
        <f t="shared" si="15"/>
        <v>-9.3586744014614309E-3</v>
      </c>
      <c r="Z117" s="1"/>
      <c r="AA117" s="2">
        <v>45268</v>
      </c>
      <c r="AB117" s="3">
        <f t="shared" si="20"/>
        <v>1094.7</v>
      </c>
      <c r="AC117" s="1">
        <f t="shared" si="16"/>
        <v>-5.0382553479414893E-2</v>
      </c>
      <c r="AD117" s="1"/>
      <c r="AE117" s="1"/>
      <c r="AF117" s="1"/>
      <c r="AG117" s="1"/>
      <c r="AH117" s="1"/>
      <c r="AI117" s="1"/>
      <c r="AJ117" s="1"/>
      <c r="AK117" s="1"/>
    </row>
    <row r="118" spans="1:37">
      <c r="A118" s="50">
        <v>45463</v>
      </c>
      <c r="B118" s="51">
        <v>1194.1600000000001</v>
      </c>
      <c r="C118" s="52">
        <f t="shared" si="17"/>
        <v>2.4512272925691489E-3</v>
      </c>
      <c r="D118" s="53">
        <v>23567</v>
      </c>
      <c r="E118" s="54">
        <f t="shared" si="18"/>
        <v>2.1687361796223848E-3</v>
      </c>
      <c r="F118" s="55">
        <v>19544.55</v>
      </c>
      <c r="G118" s="54">
        <f t="shared" si="19"/>
        <v>-5.0879380997226054E-3</v>
      </c>
      <c r="K118" s="6"/>
      <c r="L118" s="7"/>
      <c r="W118" s="2">
        <v>45462</v>
      </c>
      <c r="X118" s="3">
        <v>1560.05</v>
      </c>
      <c r="Y118" s="1">
        <f t="shared" si="15"/>
        <v>-9.4920634920635516E-3</v>
      </c>
      <c r="Z118" s="1"/>
      <c r="AA118" s="2">
        <v>45267</v>
      </c>
      <c r="AB118" s="3">
        <f t="shared" si="20"/>
        <v>1152.78</v>
      </c>
      <c r="AC118" s="1">
        <f t="shared" si="16"/>
        <v>-3.6645866104302316E-3</v>
      </c>
      <c r="AD118" s="1"/>
      <c r="AE118" s="1"/>
      <c r="AF118" s="1"/>
      <c r="AG118" s="1"/>
      <c r="AH118" s="1"/>
      <c r="AI118" s="1"/>
      <c r="AJ118" s="1"/>
      <c r="AK118" s="1"/>
    </row>
    <row r="119" spans="1:37">
      <c r="A119" s="50">
        <v>45462</v>
      </c>
      <c r="B119" s="51">
        <v>1191.24</v>
      </c>
      <c r="C119" s="52">
        <f t="shared" si="17"/>
        <v>-5.8501982057166625E-3</v>
      </c>
      <c r="D119" s="53">
        <v>23516</v>
      </c>
      <c r="E119" s="54">
        <f t="shared" si="18"/>
        <v>-1.7785965642099445E-3</v>
      </c>
      <c r="F119" s="55">
        <v>19644.5</v>
      </c>
      <c r="G119" s="54">
        <f t="shared" si="19"/>
        <v>-9.1871294444599277E-3</v>
      </c>
      <c r="K119" s="6"/>
      <c r="L119" s="7"/>
      <c r="W119" s="2">
        <v>45461</v>
      </c>
      <c r="X119" s="3">
        <v>1575</v>
      </c>
      <c r="Y119" s="1">
        <f t="shared" si="15"/>
        <v>5.7471264367816577E-3</v>
      </c>
      <c r="Z119" s="1"/>
      <c r="AA119" s="2">
        <v>45266</v>
      </c>
      <c r="AB119" s="3">
        <f t="shared" si="20"/>
        <v>1157.02</v>
      </c>
      <c r="AC119" s="1">
        <f t="shared" si="16"/>
        <v>9.5543902204926479E-3</v>
      </c>
      <c r="AD119" s="1"/>
      <c r="AE119" s="1"/>
      <c r="AF119" s="1"/>
      <c r="AG119" s="1"/>
      <c r="AH119" s="1"/>
      <c r="AI119" s="1"/>
      <c r="AJ119" s="1"/>
      <c r="AK119" s="1"/>
    </row>
    <row r="120" spans="1:37">
      <c r="A120" s="50">
        <v>45461</v>
      </c>
      <c r="B120" s="51">
        <v>1198.25</v>
      </c>
      <c r="C120" s="52">
        <f t="shared" si="17"/>
        <v>-1.5447187872314165E-2</v>
      </c>
      <c r="D120" s="53">
        <v>23557.9</v>
      </c>
      <c r="E120" s="54">
        <f t="shared" si="18"/>
        <v>3.9334174280650364E-3</v>
      </c>
      <c r="F120" s="55">
        <v>19826.650000000001</v>
      </c>
      <c r="G120" s="54">
        <f t="shared" si="19"/>
        <v>-3.4680947845383285E-3</v>
      </c>
      <c r="K120" s="6"/>
      <c r="L120" s="7"/>
      <c r="W120" s="2">
        <v>45457</v>
      </c>
      <c r="X120" s="3">
        <v>1566</v>
      </c>
      <c r="Y120" s="1">
        <f t="shared" si="15"/>
        <v>1.3592233009708687E-2</v>
      </c>
      <c r="Z120" s="1"/>
      <c r="AA120" s="2">
        <v>45265</v>
      </c>
      <c r="AB120" s="3">
        <f t="shared" si="20"/>
        <v>1146.07</v>
      </c>
      <c r="AC120" s="1">
        <f t="shared" si="16"/>
        <v>-7.9806801755403223E-3</v>
      </c>
      <c r="AD120" s="1"/>
      <c r="AE120" s="1"/>
      <c r="AF120" s="1"/>
      <c r="AG120" s="1"/>
      <c r="AH120" s="1"/>
      <c r="AI120" s="1"/>
      <c r="AJ120" s="1"/>
      <c r="AK120" s="1"/>
    </row>
    <row r="121" spans="1:37">
      <c r="A121" s="50">
        <v>45457</v>
      </c>
      <c r="B121" s="51">
        <v>1217.05</v>
      </c>
      <c r="C121" s="52">
        <f t="shared" si="17"/>
        <v>-1.7388879319538031E-3</v>
      </c>
      <c r="D121" s="53">
        <v>23465.599999999999</v>
      </c>
      <c r="E121" s="54">
        <f t="shared" si="18"/>
        <v>2.8505613511745033E-3</v>
      </c>
      <c r="F121" s="55">
        <v>19895.650000000001</v>
      </c>
      <c r="G121" s="54">
        <f t="shared" si="19"/>
        <v>2.8807621543968272E-3</v>
      </c>
      <c r="K121" s="6"/>
      <c r="L121" s="7"/>
      <c r="W121" s="2">
        <v>45456</v>
      </c>
      <c r="X121" s="3">
        <v>1545</v>
      </c>
      <c r="Y121" s="1">
        <f t="shared" si="15"/>
        <v>4.3554573230188964E-3</v>
      </c>
      <c r="Z121" s="1"/>
      <c r="AA121" s="2">
        <v>45264</v>
      </c>
      <c r="AB121" s="3">
        <f t="shared" si="20"/>
        <v>1155.29</v>
      </c>
      <c r="AC121" s="1">
        <f t="shared" si="16"/>
        <v>3.5528144544823004E-3</v>
      </c>
      <c r="AD121" s="1"/>
      <c r="AE121" s="1"/>
      <c r="AF121" s="1"/>
      <c r="AG121" s="1"/>
      <c r="AH121" s="1"/>
      <c r="AI121" s="1"/>
      <c r="AJ121" s="1"/>
      <c r="AK121" s="1"/>
    </row>
    <row r="122" spans="1:37">
      <c r="A122" s="50">
        <v>45456</v>
      </c>
      <c r="B122" s="51">
        <v>1219.17</v>
      </c>
      <c r="C122" s="52">
        <f t="shared" si="17"/>
        <v>5.9075420169801256E-3</v>
      </c>
      <c r="D122" s="53">
        <v>23398.9</v>
      </c>
      <c r="E122" s="54">
        <f t="shared" si="18"/>
        <v>3.2564491198583683E-3</v>
      </c>
      <c r="F122" s="55">
        <v>19838.5</v>
      </c>
      <c r="G122" s="54">
        <f t="shared" si="19"/>
        <v>5.0356905836639694E-3</v>
      </c>
      <c r="K122" s="6"/>
      <c r="L122" s="7"/>
      <c r="W122" s="2">
        <v>45455</v>
      </c>
      <c r="X122" s="3">
        <v>1538.3</v>
      </c>
      <c r="Y122" s="1">
        <f t="shared" si="15"/>
        <v>2.1498371335504363E-3</v>
      </c>
      <c r="Z122" s="1"/>
      <c r="AA122" s="2">
        <v>45261</v>
      </c>
      <c r="AB122" s="3">
        <f t="shared" si="20"/>
        <v>1151.2</v>
      </c>
      <c r="AC122" s="1">
        <f t="shared" si="16"/>
        <v>1.1479458726126879E-3</v>
      </c>
      <c r="AD122" s="1"/>
      <c r="AE122" s="1"/>
      <c r="AF122" s="1"/>
      <c r="AG122" s="1"/>
      <c r="AH122" s="1"/>
      <c r="AI122" s="1"/>
      <c r="AJ122" s="1"/>
      <c r="AK122" s="1"/>
    </row>
    <row r="123" spans="1:37">
      <c r="A123" s="50">
        <v>45455</v>
      </c>
      <c r="B123" s="51">
        <v>1212.01</v>
      </c>
      <c r="C123" s="52">
        <f t="shared" si="17"/>
        <v>3.444136275199803E-3</v>
      </c>
      <c r="D123" s="53">
        <v>23322.95</v>
      </c>
      <c r="E123" s="54">
        <f t="shared" si="18"/>
        <v>2.4973296625597063E-3</v>
      </c>
      <c r="F123" s="55">
        <v>19739.099999999999</v>
      </c>
      <c r="G123" s="54">
        <f t="shared" si="19"/>
        <v>2.5089259866832819E-3</v>
      </c>
      <c r="K123" s="6"/>
      <c r="L123" s="7"/>
      <c r="W123" s="2">
        <v>45454</v>
      </c>
      <c r="X123" s="3">
        <v>1535</v>
      </c>
      <c r="Y123" s="1">
        <f t="shared" si="15"/>
        <v>3.9241334205362133E-3</v>
      </c>
      <c r="Z123" s="1"/>
      <c r="AA123" s="2">
        <v>45260</v>
      </c>
      <c r="AB123" s="3">
        <f t="shared" si="20"/>
        <v>1149.8800000000001</v>
      </c>
      <c r="AC123" s="1">
        <f t="shared" si="16"/>
        <v>-6.6947124728972129E-3</v>
      </c>
      <c r="AD123" s="1"/>
      <c r="AE123" s="1"/>
      <c r="AF123" s="1"/>
      <c r="AG123" s="1"/>
      <c r="AH123" s="1"/>
      <c r="AI123" s="1"/>
      <c r="AJ123" s="1"/>
      <c r="AK123" s="1"/>
    </row>
    <row r="124" spans="1:37">
      <c r="A124" s="50">
        <v>45454</v>
      </c>
      <c r="B124" s="51">
        <v>1207.8499999999999</v>
      </c>
      <c r="C124" s="52">
        <f t="shared" si="17"/>
        <v>-1.0956167142962513E-2</v>
      </c>
      <c r="D124" s="53">
        <v>23264.85</v>
      </c>
      <c r="E124" s="54">
        <f t="shared" si="18"/>
        <v>2.4291463162954088E-4</v>
      </c>
      <c r="F124" s="55">
        <v>19689.7</v>
      </c>
      <c r="G124" s="54">
        <f t="shared" si="19"/>
        <v>-4.2984217206834992E-3</v>
      </c>
      <c r="K124" s="6"/>
      <c r="L124" s="7"/>
      <c r="W124" s="2">
        <v>45453</v>
      </c>
      <c r="X124" s="3">
        <v>1529</v>
      </c>
      <c r="Y124" s="1">
        <f t="shared" si="15"/>
        <v>2.1376085504342113E-2</v>
      </c>
      <c r="Z124" s="1"/>
      <c r="AA124" s="2">
        <v>45259</v>
      </c>
      <c r="AB124" s="3">
        <f t="shared" si="20"/>
        <v>1157.6300000000001</v>
      </c>
      <c r="AC124" s="1">
        <f t="shared" si="16"/>
        <v>1.2737627616856484E-2</v>
      </c>
      <c r="AD124" s="1"/>
      <c r="AE124" s="1"/>
      <c r="AF124" s="1"/>
      <c r="AG124" s="1"/>
      <c r="AH124" s="1"/>
      <c r="AI124" s="1"/>
      <c r="AJ124" s="1"/>
      <c r="AK124" s="1"/>
    </row>
    <row r="125" spans="1:37">
      <c r="A125" s="50">
        <v>45453</v>
      </c>
      <c r="B125" s="51">
        <v>1221.23</v>
      </c>
      <c r="C125" s="52">
        <f t="shared" si="17"/>
        <v>7.3994027683830423E-3</v>
      </c>
      <c r="D125" s="53">
        <v>23259.200000000001</v>
      </c>
      <c r="E125" s="54">
        <f t="shared" si="18"/>
        <v>-1.3288879633665187E-3</v>
      </c>
      <c r="F125" s="55">
        <v>19774.7</v>
      </c>
      <c r="G125" s="54">
        <f t="shared" si="19"/>
        <v>1.0046991521095144E-2</v>
      </c>
      <c r="K125" s="6"/>
      <c r="L125" s="7"/>
      <c r="W125" s="2">
        <v>45450</v>
      </c>
      <c r="X125" s="3">
        <v>1497</v>
      </c>
      <c r="Y125" s="1">
        <f t="shared" si="15"/>
        <v>1.2238826154574278E-2</v>
      </c>
      <c r="Z125" s="1"/>
      <c r="AA125" s="2">
        <v>45258</v>
      </c>
      <c r="AB125" s="3">
        <f t="shared" si="20"/>
        <v>1143.07</v>
      </c>
      <c r="AC125" s="1">
        <f t="shared" si="16"/>
        <v>6.9681806969941196E-3</v>
      </c>
      <c r="AD125" s="1"/>
      <c r="AE125" s="1"/>
      <c r="AF125" s="1"/>
      <c r="AG125" s="1"/>
      <c r="AH125" s="1"/>
      <c r="AI125" s="1"/>
      <c r="AJ125" s="1"/>
      <c r="AK125" s="1"/>
    </row>
    <row r="126" spans="1:37">
      <c r="A126" s="50">
        <v>45450</v>
      </c>
      <c r="B126" s="51">
        <v>1212.26</v>
      </c>
      <c r="C126" s="52">
        <f t="shared" si="17"/>
        <v>2.8917237457455874E-2</v>
      </c>
      <c r="D126" s="53">
        <v>23290.15</v>
      </c>
      <c r="E126" s="54">
        <f t="shared" si="18"/>
        <v>2.0539931818380992E-2</v>
      </c>
      <c r="F126" s="55">
        <v>19578</v>
      </c>
      <c r="G126" s="54">
        <f t="shared" si="19"/>
        <v>1.7985555399566425E-2</v>
      </c>
      <c r="K126" s="6"/>
      <c r="L126" s="7"/>
      <c r="W126" s="2">
        <v>45449</v>
      </c>
      <c r="X126" s="3">
        <v>1478.9</v>
      </c>
      <c r="Y126" s="1">
        <f t="shared" si="15"/>
        <v>-5.7815126050420051E-3</v>
      </c>
      <c r="Z126" s="1"/>
      <c r="AA126" s="2">
        <v>45254</v>
      </c>
      <c r="AB126" s="3">
        <f t="shared" si="20"/>
        <v>1135.1600000000001</v>
      </c>
      <c r="AC126" s="1">
        <f t="shared" si="16"/>
        <v>5.2513659750450525E-3</v>
      </c>
      <c r="AD126" s="1"/>
      <c r="AE126" s="1"/>
      <c r="AF126" s="1"/>
      <c r="AG126" s="1"/>
      <c r="AH126" s="1"/>
      <c r="AI126" s="1"/>
      <c r="AJ126" s="1"/>
      <c r="AK126" s="1"/>
    </row>
    <row r="127" spans="1:37">
      <c r="A127" s="50">
        <v>45449</v>
      </c>
      <c r="B127" s="51">
        <v>1178.19</v>
      </c>
      <c r="C127" s="52">
        <f t="shared" si="17"/>
        <v>1.1469484817527131E-2</v>
      </c>
      <c r="D127" s="53">
        <v>22821.4</v>
      </c>
      <c r="E127" s="54">
        <f t="shared" si="18"/>
        <v>8.8880145532674298E-3</v>
      </c>
      <c r="F127" s="55">
        <v>19232.099999999999</v>
      </c>
      <c r="G127" s="54">
        <f t="shared" si="19"/>
        <v>-2.5491085899514532E-3</v>
      </c>
      <c r="K127" s="6"/>
      <c r="L127" s="7"/>
      <c r="W127" s="2">
        <v>45448</v>
      </c>
      <c r="X127" s="3">
        <v>1487.5</v>
      </c>
      <c r="Y127" s="1">
        <f t="shared" si="15"/>
        <v>1.5358361774743923E-2</v>
      </c>
      <c r="Z127" s="1"/>
      <c r="AA127" s="2">
        <v>45253</v>
      </c>
      <c r="AB127" s="3">
        <f t="shared" si="20"/>
        <v>1129.23</v>
      </c>
      <c r="AC127" s="1">
        <f t="shared" si="16"/>
        <v>2.6573835401655366E-4</v>
      </c>
      <c r="AD127" s="1"/>
      <c r="AE127" s="1"/>
      <c r="AF127" s="1"/>
      <c r="AG127" s="1"/>
      <c r="AH127" s="1"/>
      <c r="AI127" s="1"/>
      <c r="AJ127" s="1"/>
      <c r="AK127" s="1"/>
    </row>
    <row r="128" spans="1:37">
      <c r="A128" s="50">
        <v>45448</v>
      </c>
      <c r="B128" s="51">
        <v>1164.83</v>
      </c>
      <c r="C128" s="52">
        <f t="shared" si="17"/>
        <v>1.6289174286312422E-2</v>
      </c>
      <c r="D128" s="53">
        <v>22620.35</v>
      </c>
      <c r="E128" s="54">
        <f t="shared" si="18"/>
        <v>3.3624254609426696E-2</v>
      </c>
      <c r="F128" s="55">
        <v>19281.25</v>
      </c>
      <c r="G128" s="54">
        <f t="shared" si="19"/>
        <v>3.6450816125226021E-2</v>
      </c>
      <c r="K128" s="6"/>
      <c r="L128" s="7"/>
      <c r="W128" s="2">
        <v>45447</v>
      </c>
      <c r="X128" s="3">
        <v>1465</v>
      </c>
      <c r="Y128" s="1">
        <f t="shared" si="15"/>
        <v>4.8010973936900569E-3</v>
      </c>
      <c r="Z128" s="1"/>
      <c r="AA128" s="2">
        <v>45252</v>
      </c>
      <c r="AB128" s="3">
        <f t="shared" si="20"/>
        <v>1128.93</v>
      </c>
      <c r="AC128" s="1">
        <f t="shared" si="16"/>
        <v>-3.5130769434464915E-3</v>
      </c>
      <c r="AD128" s="1"/>
      <c r="AE128" s="1"/>
      <c r="AF128" s="1"/>
      <c r="AG128" s="1"/>
      <c r="AH128" s="1"/>
      <c r="AI128" s="1"/>
      <c r="AJ128" s="1"/>
      <c r="AK128" s="1"/>
    </row>
    <row r="129" spans="1:37">
      <c r="A129" s="50">
        <v>45447</v>
      </c>
      <c r="B129" s="51">
        <v>1146.1600000000001</v>
      </c>
      <c r="C129" s="52">
        <f t="shared" si="17"/>
        <v>-9.0778621202427679E-3</v>
      </c>
      <c r="D129" s="53">
        <v>21884.5</v>
      </c>
      <c r="E129" s="54">
        <f t="shared" si="18"/>
        <v>-5.9293583620975046E-2</v>
      </c>
      <c r="F129" s="55">
        <v>18603.150000000001</v>
      </c>
      <c r="G129" s="54">
        <f t="shared" si="19"/>
        <v>-1.3835767845357463E-2</v>
      </c>
      <c r="K129" s="6"/>
      <c r="L129" s="7"/>
      <c r="W129" s="2">
        <v>45446</v>
      </c>
      <c r="X129" s="3">
        <v>1458</v>
      </c>
      <c r="Y129" s="1">
        <f t="shared" si="15"/>
        <v>6.2111801242235032E-3</v>
      </c>
      <c r="Z129" s="1"/>
      <c r="AA129" s="2">
        <v>45251</v>
      </c>
      <c r="AB129" s="3">
        <f t="shared" si="20"/>
        <v>1132.9100000000001</v>
      </c>
      <c r="AC129" s="1">
        <f t="shared" si="16"/>
        <v>3.2055539321167448E-3</v>
      </c>
      <c r="AD129" s="1"/>
      <c r="AE129" s="1"/>
      <c r="AF129" s="1"/>
      <c r="AG129" s="1"/>
      <c r="AH129" s="1"/>
      <c r="AI129" s="1"/>
      <c r="AJ129" s="1"/>
      <c r="AK129" s="1"/>
    </row>
    <row r="130" spans="1:37">
      <c r="A130" s="50">
        <v>45446</v>
      </c>
      <c r="B130" s="51">
        <v>1156.6600000000001</v>
      </c>
      <c r="C130" s="52">
        <f t="shared" si="17"/>
        <v>-1.476212263784291E-3</v>
      </c>
      <c r="D130" s="53">
        <v>23263.9</v>
      </c>
      <c r="E130" s="54">
        <f t="shared" si="18"/>
        <v>3.2542264554585552E-2</v>
      </c>
      <c r="F130" s="55">
        <v>18864.150000000001</v>
      </c>
      <c r="G130" s="54">
        <f t="shared" si="19"/>
        <v>3.6097529833000212E-3</v>
      </c>
      <c r="K130" s="6"/>
      <c r="L130" s="7"/>
      <c r="W130" s="2">
        <v>45443</v>
      </c>
      <c r="X130" s="3">
        <v>1449</v>
      </c>
      <c r="Y130" s="1">
        <f t="shared" si="15"/>
        <v>-1.4285714285714235E-2</v>
      </c>
      <c r="Z130" s="1"/>
      <c r="AA130" s="2">
        <v>45250</v>
      </c>
      <c r="AB130" s="3">
        <f t="shared" si="20"/>
        <v>1129.29</v>
      </c>
      <c r="AC130" s="1"/>
      <c r="AD130" s="1"/>
      <c r="AE130" s="1"/>
      <c r="AF130" s="1"/>
      <c r="AG130" s="1"/>
      <c r="AH130" s="1"/>
      <c r="AI130" s="1"/>
      <c r="AJ130" s="1"/>
      <c r="AK130" s="1"/>
    </row>
    <row r="131" spans="1:37">
      <c r="A131" s="50">
        <v>45443</v>
      </c>
      <c r="B131" s="51">
        <v>1158.3699999999999</v>
      </c>
      <c r="C131" s="52">
        <f t="shared" si="17"/>
        <v>-1.3943392211108839E-2</v>
      </c>
      <c r="D131" s="53">
        <v>22530.7</v>
      </c>
      <c r="E131" s="54">
        <f t="shared" si="18"/>
        <v>1.869832115311469E-3</v>
      </c>
      <c r="F131" s="55">
        <v>18796.3</v>
      </c>
      <c r="G131" s="54">
        <f t="shared" si="19"/>
        <v>-9.2087923672974931E-3</v>
      </c>
      <c r="K131" s="6"/>
      <c r="L131" s="7"/>
      <c r="W131" s="2">
        <v>45442</v>
      </c>
      <c r="X131" s="3">
        <v>1470</v>
      </c>
      <c r="Y131" s="1">
        <f t="shared" si="15"/>
        <v>-1.5701898289196214E-2</v>
      </c>
      <c r="Z131" s="1"/>
      <c r="AA131" s="1"/>
      <c r="AB131" s="1"/>
      <c r="AC131" s="1"/>
      <c r="AD131" s="1"/>
      <c r="AE131" s="1"/>
      <c r="AF131" s="1"/>
      <c r="AG131" s="1"/>
      <c r="AH131" s="1"/>
      <c r="AI131" s="1"/>
      <c r="AJ131" s="1"/>
      <c r="AK131" s="1"/>
    </row>
    <row r="132" spans="1:37">
      <c r="A132" s="50">
        <v>45442</v>
      </c>
      <c r="B132" s="51">
        <v>1174.75</v>
      </c>
      <c r="C132" s="52">
        <f t="shared" si="17"/>
        <v>-2.1164021164021239E-2</v>
      </c>
      <c r="D132" s="53">
        <v>22488.65</v>
      </c>
      <c r="E132" s="54">
        <f t="shared" si="18"/>
        <v>-9.5156509445180632E-3</v>
      </c>
      <c r="F132" s="55">
        <v>18971</v>
      </c>
      <c r="G132" s="54">
        <f t="shared" si="19"/>
        <v>-1.8132790928170057E-2</v>
      </c>
      <c r="K132" s="6"/>
      <c r="L132" s="7"/>
      <c r="W132" s="2">
        <v>45441</v>
      </c>
      <c r="X132" s="3">
        <v>1493.45</v>
      </c>
      <c r="Y132" s="1">
        <f t="shared" si="15"/>
        <v>9.0878378378378422E-3</v>
      </c>
      <c r="Z132" s="1"/>
      <c r="AA132" s="1"/>
      <c r="AB132" s="1"/>
      <c r="AC132" s="1"/>
      <c r="AD132" s="1"/>
      <c r="AE132" s="1"/>
      <c r="AF132" s="1"/>
      <c r="AG132" s="1"/>
      <c r="AH132" s="1"/>
      <c r="AI132" s="1"/>
      <c r="AJ132" s="1"/>
      <c r="AK132" s="1"/>
    </row>
    <row r="133" spans="1:37">
      <c r="A133" s="50">
        <v>45441</v>
      </c>
      <c r="B133" s="51">
        <v>1200.1500000000001</v>
      </c>
      <c r="C133" s="52">
        <f t="shared" si="17"/>
        <v>5.9427019596668615E-3</v>
      </c>
      <c r="D133" s="53">
        <v>22704.7</v>
      </c>
      <c r="E133" s="54">
        <f t="shared" si="18"/>
        <v>-8.0150645639774608E-3</v>
      </c>
      <c r="F133" s="55">
        <v>19321.349999999999</v>
      </c>
      <c r="G133" s="54">
        <f t="shared" si="19"/>
        <v>5.4954919792357072E-3</v>
      </c>
      <c r="K133" s="6"/>
      <c r="L133" s="7"/>
      <c r="W133" s="2">
        <v>45440</v>
      </c>
      <c r="X133" s="3">
        <v>1480</v>
      </c>
      <c r="Y133" s="1">
        <f t="shared" si="15"/>
        <v>1.0822510822510178E-3</v>
      </c>
      <c r="Z133" s="1"/>
      <c r="AA133" s="1"/>
      <c r="AB133" s="1"/>
      <c r="AC133" s="1"/>
      <c r="AD133" s="1"/>
      <c r="AE133" s="1"/>
      <c r="AF133" s="1"/>
      <c r="AG133" s="1"/>
      <c r="AH133" s="1"/>
      <c r="AI133" s="1"/>
      <c r="AJ133" s="1"/>
      <c r="AK133" s="1"/>
    </row>
    <row r="134" spans="1:37">
      <c r="A134" s="50">
        <v>45440</v>
      </c>
      <c r="B134" s="51">
        <v>1193.06</v>
      </c>
      <c r="C134" s="52">
        <f t="shared" si="17"/>
        <v>1.5767875083011206E-2</v>
      </c>
      <c r="D134" s="53">
        <v>22888.15</v>
      </c>
      <c r="E134" s="54">
        <f t="shared" si="18"/>
        <v>-1.9317604529825322E-3</v>
      </c>
      <c r="F134" s="55">
        <v>19215.75</v>
      </c>
      <c r="G134" s="54">
        <f t="shared" si="19"/>
        <v>5.4311569463084235E-3</v>
      </c>
      <c r="K134" s="6"/>
      <c r="L134" s="7"/>
      <c r="W134" s="2">
        <v>45439</v>
      </c>
      <c r="X134" s="3">
        <v>1478.4</v>
      </c>
      <c r="Y134" s="1">
        <f t="shared" si="15"/>
        <v>-5.5828344655949325E-3</v>
      </c>
      <c r="Z134" s="1"/>
      <c r="AA134" s="1"/>
      <c r="AB134" s="1"/>
      <c r="AC134" s="1"/>
      <c r="AD134" s="1"/>
      <c r="AE134" s="1"/>
      <c r="AF134" s="1"/>
      <c r="AG134" s="1"/>
      <c r="AH134" s="1"/>
      <c r="AI134" s="1"/>
      <c r="AJ134" s="1"/>
      <c r="AK134" s="1"/>
    </row>
    <row r="135" spans="1:37">
      <c r="A135" s="50">
        <v>45439</v>
      </c>
      <c r="B135" s="51">
        <v>1174.54</v>
      </c>
      <c r="C135" s="52">
        <f t="shared" si="17"/>
        <v>1.1848442228187977E-3</v>
      </c>
      <c r="D135" s="53">
        <v>22932.45</v>
      </c>
      <c r="E135" s="54">
        <f t="shared" si="18"/>
        <v>-1.0737418924863253E-3</v>
      </c>
      <c r="F135" s="55">
        <v>19111.95</v>
      </c>
      <c r="G135" s="54">
        <f t="shared" si="19"/>
        <v>-3.9488480347285609E-4</v>
      </c>
      <c r="K135" s="6"/>
      <c r="L135" s="7"/>
      <c r="W135" s="2">
        <v>45436</v>
      </c>
      <c r="X135" s="3">
        <v>1486.7</v>
      </c>
      <c r="Y135" s="1">
        <f t="shared" si="15"/>
        <v>-5.378151260504449E-4</v>
      </c>
      <c r="Z135" s="1"/>
      <c r="AA135" s="1"/>
      <c r="AB135" s="1"/>
      <c r="AC135" s="1"/>
      <c r="AD135" s="1"/>
      <c r="AE135" s="1"/>
      <c r="AF135" s="1"/>
      <c r="AG135" s="1"/>
      <c r="AH135" s="1"/>
      <c r="AI135" s="1"/>
      <c r="AJ135" s="1"/>
      <c r="AK135" s="1"/>
    </row>
    <row r="136" spans="1:37">
      <c r="A136" s="50">
        <v>45436</v>
      </c>
      <c r="B136" s="51">
        <v>1173.1500000000001</v>
      </c>
      <c r="C136" s="52">
        <f t="shared" si="17"/>
        <v>-5.4173660918662133E-3</v>
      </c>
      <c r="D136" s="53">
        <v>22957.1</v>
      </c>
      <c r="E136" s="54">
        <f t="shared" si="18"/>
        <v>-4.5934172629776704E-4</v>
      </c>
      <c r="F136" s="55">
        <v>19119.5</v>
      </c>
      <c r="G136" s="54">
        <f t="shared" si="19"/>
        <v>-5.0399789762363067E-3</v>
      </c>
      <c r="K136" s="6"/>
      <c r="L136" s="7"/>
      <c r="W136" s="2">
        <v>45435</v>
      </c>
      <c r="X136" s="3">
        <v>1487.5</v>
      </c>
      <c r="Y136" s="1">
        <f t="shared" si="15"/>
        <v>3.3726812816188279E-3</v>
      </c>
      <c r="Z136" s="1"/>
      <c r="AA136" s="1"/>
      <c r="AB136" s="1"/>
      <c r="AC136" s="1"/>
      <c r="AD136" s="1"/>
      <c r="AE136" s="1"/>
      <c r="AF136" s="1"/>
      <c r="AG136" s="1"/>
      <c r="AH136" s="1"/>
      <c r="AI136" s="1"/>
      <c r="AJ136" s="1"/>
      <c r="AK136" s="1"/>
    </row>
    <row r="137" spans="1:37">
      <c r="A137" s="50">
        <v>45435</v>
      </c>
      <c r="B137" s="51">
        <v>1179.54</v>
      </c>
      <c r="C137" s="52">
        <f t="shared" si="17"/>
        <v>4.2484355710697792E-3</v>
      </c>
      <c r="D137" s="53">
        <v>22967.65</v>
      </c>
      <c r="E137" s="54">
        <f t="shared" si="18"/>
        <v>1.6366637460283842E-2</v>
      </c>
      <c r="F137" s="55">
        <v>19216.349999999999</v>
      </c>
      <c r="G137" s="54">
        <f t="shared" si="19"/>
        <v>-5.2310352324848527E-3</v>
      </c>
      <c r="K137" s="6"/>
      <c r="L137" s="7"/>
      <c r="W137" s="2">
        <v>45434</v>
      </c>
      <c r="X137" s="3">
        <v>1482.5</v>
      </c>
      <c r="Y137" s="1">
        <f t="shared" ref="Y137:Y200" si="21">X137/X138-1</f>
        <v>2.7373527373527384E-2</v>
      </c>
      <c r="Z137" s="1"/>
      <c r="AA137" s="1"/>
      <c r="AB137" s="1"/>
      <c r="AC137" s="1"/>
      <c r="AD137" s="1"/>
      <c r="AE137" s="1"/>
      <c r="AF137" s="1"/>
      <c r="AG137" s="1"/>
      <c r="AH137" s="1"/>
      <c r="AI137" s="1"/>
      <c r="AJ137" s="1"/>
      <c r="AK137" s="1"/>
    </row>
    <row r="138" spans="1:37">
      <c r="A138" s="50">
        <v>45434</v>
      </c>
      <c r="B138" s="51">
        <v>1174.55</v>
      </c>
      <c r="C138" s="52">
        <f t="shared" ref="C138:C201" si="22">(B138-B139)/B139</f>
        <v>1.6081871345029169E-2</v>
      </c>
      <c r="D138" s="53">
        <v>22597.8</v>
      </c>
      <c r="E138" s="54">
        <f t="shared" ref="E138:E201" si="23">(D138-D139)/D139</f>
        <v>3.0516155807723809E-3</v>
      </c>
      <c r="F138" s="55">
        <v>19317.400000000001</v>
      </c>
      <c r="G138" s="54">
        <f t="shared" ref="G138:G201" si="24">(F138-F139)/F139</f>
        <v>5.8421677462354325E-3</v>
      </c>
      <c r="K138" s="6"/>
      <c r="L138" s="7"/>
      <c r="W138" s="2">
        <v>45433</v>
      </c>
      <c r="X138" s="3">
        <v>1443</v>
      </c>
      <c r="Y138" s="1">
        <f t="shared" si="21"/>
        <v>2.8510334996436182E-2</v>
      </c>
      <c r="Z138" s="1"/>
      <c r="AA138" s="1"/>
      <c r="AB138" s="1"/>
      <c r="AC138" s="1"/>
      <c r="AD138" s="1"/>
      <c r="AE138" s="1"/>
      <c r="AF138" s="1"/>
      <c r="AG138" s="1"/>
      <c r="AH138" s="1"/>
      <c r="AI138" s="1"/>
      <c r="AJ138" s="1"/>
      <c r="AK138" s="1"/>
    </row>
    <row r="139" spans="1:37">
      <c r="A139" s="50">
        <v>45433</v>
      </c>
      <c r="B139" s="51">
        <v>1155.96</v>
      </c>
      <c r="C139" s="52">
        <f t="shared" si="22"/>
        <v>-5.4718149907081529E-3</v>
      </c>
      <c r="D139" s="53">
        <v>22529.05</v>
      </c>
      <c r="E139" s="54">
        <f t="shared" si="23"/>
        <v>1.2021153675228545E-3</v>
      </c>
      <c r="F139" s="55">
        <v>19205.2</v>
      </c>
      <c r="G139" s="54">
        <f t="shared" si="24"/>
        <v>5.0868746074942814E-3</v>
      </c>
      <c r="K139" s="6"/>
      <c r="L139" s="7"/>
      <c r="W139" s="2">
        <v>45430</v>
      </c>
      <c r="X139" s="3">
        <v>1403</v>
      </c>
      <c r="Y139" s="1">
        <f t="shared" si="21"/>
        <v>3.5765379113019691E-3</v>
      </c>
      <c r="Z139" s="1"/>
      <c r="AA139" s="1"/>
      <c r="AB139" s="1"/>
      <c r="AC139" s="1"/>
      <c r="AD139" s="1"/>
      <c r="AE139" s="1"/>
      <c r="AF139" s="1"/>
      <c r="AG139" s="1"/>
      <c r="AH139" s="1"/>
      <c r="AI139" s="1"/>
      <c r="AJ139" s="1"/>
      <c r="AK139" s="1"/>
    </row>
    <row r="140" spans="1:37">
      <c r="A140" s="50">
        <v>45430</v>
      </c>
      <c r="B140" s="51">
        <v>1162.32</v>
      </c>
      <c r="C140" s="52">
        <f t="shared" si="22"/>
        <v>2.0777474114369687E-3</v>
      </c>
      <c r="D140" s="53">
        <v>22502</v>
      </c>
      <c r="E140" s="54">
        <f t="shared" si="23"/>
        <v>1.5979631533733695E-3</v>
      </c>
      <c r="F140" s="55">
        <v>19108</v>
      </c>
      <c r="G140" s="54">
        <f t="shared" si="24"/>
        <v>6.659080372571409E-3</v>
      </c>
      <c r="K140" s="6"/>
      <c r="L140" s="7"/>
      <c r="W140" s="2">
        <v>45429</v>
      </c>
      <c r="X140" s="3">
        <v>1398</v>
      </c>
      <c r="Y140" s="1">
        <f t="shared" si="21"/>
        <v>-1.5943406187308717E-2</v>
      </c>
      <c r="Z140" s="1"/>
      <c r="AA140" s="1"/>
      <c r="AB140" s="1"/>
      <c r="AC140" s="1"/>
      <c r="AD140" s="1"/>
      <c r="AE140" s="1"/>
      <c r="AF140" s="1"/>
      <c r="AG140" s="1"/>
      <c r="AH140" s="1"/>
      <c r="AI140" s="1"/>
      <c r="AJ140" s="1"/>
      <c r="AK140" s="1"/>
    </row>
    <row r="141" spans="1:37">
      <c r="A141" s="50">
        <v>45429</v>
      </c>
      <c r="B141" s="51">
        <v>1159.9100000000001</v>
      </c>
      <c r="C141" s="52">
        <f t="shared" si="22"/>
        <v>-8.6917133871186984E-3</v>
      </c>
      <c r="D141" s="53">
        <v>22466.1</v>
      </c>
      <c r="E141" s="54">
        <f t="shared" si="23"/>
        <v>2.778540295529563E-3</v>
      </c>
      <c r="F141" s="55">
        <v>18981.599999999999</v>
      </c>
      <c r="G141" s="54">
        <f t="shared" si="24"/>
        <v>-7.6594467826390658E-4</v>
      </c>
      <c r="K141" s="6"/>
      <c r="L141" s="7"/>
      <c r="W141" s="2">
        <v>45428</v>
      </c>
      <c r="X141" s="3">
        <v>1420.65</v>
      </c>
      <c r="Y141" s="1">
        <f t="shared" si="21"/>
        <v>1.077908217716117E-2</v>
      </c>
      <c r="Z141" s="1"/>
      <c r="AA141" s="1"/>
      <c r="AB141" s="1"/>
      <c r="AC141" s="1"/>
      <c r="AD141" s="1"/>
      <c r="AE141" s="1"/>
      <c r="AF141" s="1"/>
      <c r="AG141" s="1"/>
      <c r="AH141" s="1"/>
      <c r="AI141" s="1"/>
      <c r="AJ141" s="1"/>
      <c r="AK141" s="1"/>
    </row>
    <row r="142" spans="1:37">
      <c r="A142" s="50">
        <v>45428</v>
      </c>
      <c r="B142" s="51">
        <v>1170.08</v>
      </c>
      <c r="C142" s="52">
        <f t="shared" si="22"/>
        <v>-4.1872340425532532E-3</v>
      </c>
      <c r="D142" s="53">
        <v>22403.85</v>
      </c>
      <c r="E142" s="54">
        <f t="shared" si="23"/>
        <v>9.1574307843724275E-3</v>
      </c>
      <c r="F142" s="55">
        <v>18996.150000000001</v>
      </c>
      <c r="G142" s="54">
        <f t="shared" si="24"/>
        <v>5.8030714979708936E-3</v>
      </c>
      <c r="K142" s="6"/>
      <c r="L142" s="7"/>
      <c r="W142" s="2">
        <v>45427</v>
      </c>
      <c r="X142" s="3">
        <v>1405.5</v>
      </c>
      <c r="Y142" s="1">
        <f t="shared" si="21"/>
        <v>3.4825504343984681E-2</v>
      </c>
      <c r="Z142" s="1"/>
      <c r="AA142" s="1"/>
      <c r="AB142" s="1"/>
      <c r="AC142" s="1"/>
      <c r="AD142" s="1"/>
      <c r="AE142" s="1"/>
      <c r="AF142" s="1"/>
      <c r="AG142" s="1"/>
      <c r="AH142" s="1"/>
      <c r="AI142" s="1"/>
      <c r="AJ142" s="1"/>
      <c r="AK142" s="1"/>
    </row>
    <row r="143" spans="1:37">
      <c r="A143" s="50">
        <v>45427</v>
      </c>
      <c r="B143" s="51">
        <v>1175</v>
      </c>
      <c r="C143" s="52">
        <f t="shared" si="22"/>
        <v>1.0564340239912838E-3</v>
      </c>
      <c r="D143" s="53">
        <v>22200.55</v>
      </c>
      <c r="E143" s="54">
        <f t="shared" si="23"/>
        <v>-7.7865320001707064E-4</v>
      </c>
      <c r="F143" s="55">
        <v>18886.55</v>
      </c>
      <c r="G143" s="54">
        <f t="shared" si="24"/>
        <v>1.3626109109611036E-3</v>
      </c>
      <c r="K143" s="6"/>
      <c r="L143" s="7"/>
      <c r="W143" s="2">
        <v>45426</v>
      </c>
      <c r="X143" s="3">
        <v>1358.2</v>
      </c>
      <c r="Y143" s="1">
        <f t="shared" si="21"/>
        <v>-4.4194229415904229E-2</v>
      </c>
      <c r="Z143" s="1"/>
      <c r="AA143" s="1"/>
      <c r="AB143" s="1"/>
      <c r="AC143" s="1"/>
      <c r="AD143" s="1"/>
      <c r="AE143" s="1"/>
      <c r="AF143" s="1"/>
      <c r="AG143" s="1"/>
      <c r="AH143" s="1"/>
      <c r="AI143" s="1"/>
      <c r="AJ143" s="1"/>
      <c r="AK143" s="1"/>
    </row>
    <row r="144" spans="1:37">
      <c r="A144" s="50">
        <v>45426</v>
      </c>
      <c r="B144" s="51">
        <v>1173.76</v>
      </c>
      <c r="C144" s="52">
        <f t="shared" si="22"/>
        <v>-6.7275389054844634E-3</v>
      </c>
      <c r="D144" s="53">
        <v>22217.85</v>
      </c>
      <c r="E144" s="54">
        <f t="shared" si="23"/>
        <v>5.1483777859713167E-3</v>
      </c>
      <c r="F144" s="55">
        <v>18860.849999999999</v>
      </c>
      <c r="G144" s="54">
        <f t="shared" si="24"/>
        <v>-4.1264058292413254E-3</v>
      </c>
      <c r="K144" s="6"/>
      <c r="L144" s="7"/>
      <c r="W144" s="2">
        <v>45425</v>
      </c>
      <c r="X144" s="3">
        <v>1421</v>
      </c>
      <c r="Y144" s="1">
        <f t="shared" si="21"/>
        <v>6.0447761194029948E-2</v>
      </c>
      <c r="Z144" s="1"/>
      <c r="AA144" s="1"/>
      <c r="AB144" s="1"/>
      <c r="AC144" s="1"/>
      <c r="AD144" s="1"/>
      <c r="AE144" s="1"/>
      <c r="AF144" s="1"/>
      <c r="AG144" s="1"/>
      <c r="AH144" s="1"/>
      <c r="AI144" s="1"/>
      <c r="AJ144" s="1"/>
      <c r="AK144" s="1"/>
    </row>
    <row r="145" spans="1:37">
      <c r="A145" s="50">
        <v>45425</v>
      </c>
      <c r="B145" s="51">
        <v>1181.71</v>
      </c>
      <c r="C145" s="52">
        <f t="shared" si="22"/>
        <v>-2.1026853572031828E-3</v>
      </c>
      <c r="D145" s="53">
        <v>22104.05</v>
      </c>
      <c r="E145" s="54">
        <f t="shared" si="23"/>
        <v>2.2148971671079177E-3</v>
      </c>
      <c r="F145" s="55">
        <v>18939</v>
      </c>
      <c r="G145" s="54">
        <f t="shared" si="24"/>
        <v>1.7708744750650839E-2</v>
      </c>
      <c r="K145" s="6"/>
      <c r="L145" s="7"/>
      <c r="W145" s="2">
        <v>45422</v>
      </c>
      <c r="X145" s="3">
        <v>1340</v>
      </c>
      <c r="Y145" s="1">
        <f t="shared" si="21"/>
        <v>-1.8925943551634461E-2</v>
      </c>
      <c r="Z145" s="1"/>
      <c r="AA145" s="1"/>
      <c r="AB145" s="1"/>
      <c r="AC145" s="1"/>
      <c r="AD145" s="1"/>
      <c r="AE145" s="1"/>
      <c r="AF145" s="1"/>
      <c r="AG145" s="1"/>
      <c r="AH145" s="1"/>
      <c r="AI145" s="1"/>
      <c r="AJ145" s="1"/>
      <c r="AK145" s="1"/>
    </row>
    <row r="146" spans="1:37">
      <c r="A146" s="50">
        <v>45422</v>
      </c>
      <c r="B146" s="51">
        <v>1184.2</v>
      </c>
      <c r="C146" s="52">
        <f t="shared" si="22"/>
        <v>7.4268165074395931E-3</v>
      </c>
      <c r="D146" s="53">
        <v>22055.200000000001</v>
      </c>
      <c r="E146" s="54">
        <f t="shared" si="23"/>
        <v>4.4495047250370364E-3</v>
      </c>
      <c r="F146" s="55">
        <v>18609.45</v>
      </c>
      <c r="G146" s="54">
        <f t="shared" si="24"/>
        <v>9.3507366959465574E-3</v>
      </c>
      <c r="K146" s="6"/>
      <c r="L146" s="7"/>
      <c r="W146" s="2">
        <v>45421</v>
      </c>
      <c r="X146" s="3">
        <v>1365.85</v>
      </c>
      <c r="Y146" s="1">
        <f t="shared" si="21"/>
        <v>-1.4467133270798849E-2</v>
      </c>
      <c r="Z146" s="1"/>
      <c r="AA146" s="1"/>
      <c r="AB146" s="1"/>
      <c r="AC146" s="1"/>
      <c r="AD146" s="1"/>
      <c r="AE146" s="1"/>
      <c r="AF146" s="1"/>
      <c r="AG146" s="1"/>
      <c r="AH146" s="1"/>
      <c r="AI146" s="1"/>
      <c r="AJ146" s="1"/>
      <c r="AK146" s="1"/>
    </row>
    <row r="147" spans="1:37">
      <c r="A147" s="50">
        <v>45421</v>
      </c>
      <c r="B147" s="51">
        <v>1175.47</v>
      </c>
      <c r="C147" s="52">
        <f t="shared" si="22"/>
        <v>-2.9555755529320427E-2</v>
      </c>
      <c r="D147" s="53">
        <v>21957.5</v>
      </c>
      <c r="E147" s="54">
        <f t="shared" si="23"/>
        <v>-1.5469117811904494E-2</v>
      </c>
      <c r="F147" s="55">
        <v>18437.05</v>
      </c>
      <c r="G147" s="54">
        <f t="shared" si="24"/>
        <v>-2.1951264797078079E-2</v>
      </c>
      <c r="K147" s="6"/>
      <c r="L147" s="7"/>
      <c r="W147" s="2">
        <v>45420</v>
      </c>
      <c r="X147" s="3">
        <v>1385.9</v>
      </c>
      <c r="Y147" s="1">
        <f t="shared" si="21"/>
        <v>-2.9496402877696726E-3</v>
      </c>
      <c r="Z147" s="1"/>
      <c r="AA147" s="1"/>
      <c r="AB147" s="1"/>
      <c r="AC147" s="1"/>
      <c r="AD147" s="1"/>
      <c r="AE147" s="1"/>
      <c r="AF147" s="1"/>
      <c r="AG147" s="1"/>
      <c r="AH147" s="1"/>
      <c r="AI147" s="1"/>
      <c r="AJ147" s="1"/>
      <c r="AK147" s="1"/>
    </row>
    <row r="148" spans="1:37">
      <c r="A148" s="50">
        <v>45420</v>
      </c>
      <c r="B148" s="51">
        <v>1211.27</v>
      </c>
      <c r="C148" s="52">
        <f t="shared" si="22"/>
        <v>-3.2160892354896449E-2</v>
      </c>
      <c r="D148" s="53">
        <v>22302.5</v>
      </c>
      <c r="E148" s="54">
        <f t="shared" si="23"/>
        <v>0</v>
      </c>
      <c r="F148" s="55">
        <v>18850.849999999999</v>
      </c>
      <c r="G148" s="54">
        <f t="shared" si="24"/>
        <v>2.4142669913984561E-4</v>
      </c>
      <c r="K148" s="6"/>
      <c r="L148" s="7"/>
      <c r="W148" s="2">
        <v>45419</v>
      </c>
      <c r="X148" s="3">
        <v>1390</v>
      </c>
      <c r="Y148" s="1">
        <f t="shared" si="21"/>
        <v>-2.3876404494381998E-2</v>
      </c>
      <c r="Z148" s="1"/>
      <c r="AA148" s="1"/>
      <c r="AB148" s="1"/>
      <c r="AC148" s="1"/>
      <c r="AD148" s="1"/>
      <c r="AE148" s="1"/>
      <c r="AF148" s="1"/>
      <c r="AG148" s="1"/>
      <c r="AH148" s="1"/>
      <c r="AI148" s="1"/>
      <c r="AJ148" s="1"/>
      <c r="AK148" s="1"/>
    </row>
    <row r="149" spans="1:37">
      <c r="A149" s="50">
        <v>45419</v>
      </c>
      <c r="B149" s="51">
        <v>1251.52</v>
      </c>
      <c r="C149" s="52">
        <f t="shared" si="22"/>
        <v>-5.6963986366778737E-3</v>
      </c>
      <c r="D149" s="53">
        <v>22302.5</v>
      </c>
      <c r="E149" s="54">
        <f t="shared" si="23"/>
        <v>-6.2470201891929545E-3</v>
      </c>
      <c r="F149" s="55">
        <v>18846.3</v>
      </c>
      <c r="G149" s="54">
        <f t="shared" si="24"/>
        <v>-1.859055474840262E-2</v>
      </c>
      <c r="K149" s="6"/>
      <c r="L149" s="7"/>
      <c r="W149" s="2">
        <v>45418</v>
      </c>
      <c r="X149" s="3">
        <v>1424</v>
      </c>
      <c r="Y149" s="1">
        <f t="shared" si="21"/>
        <v>-8.4198708953131529E-4</v>
      </c>
      <c r="Z149" s="1"/>
      <c r="AA149" s="1"/>
      <c r="AB149" s="1"/>
      <c r="AC149" s="1"/>
      <c r="AD149" s="1"/>
      <c r="AE149" s="1"/>
      <c r="AF149" s="1"/>
      <c r="AG149" s="1"/>
      <c r="AH149" s="1"/>
      <c r="AI149" s="1"/>
      <c r="AJ149" s="1"/>
      <c r="AK149" s="1"/>
    </row>
    <row r="150" spans="1:37">
      <c r="A150" s="50">
        <v>45418</v>
      </c>
      <c r="B150" s="51">
        <v>1258.69</v>
      </c>
      <c r="C150" s="52">
        <f t="shared" si="22"/>
        <v>-8.8352717909143379E-3</v>
      </c>
      <c r="D150" s="53">
        <v>22442.7</v>
      </c>
      <c r="E150" s="54">
        <f t="shared" si="23"/>
        <v>-1.4749164102802706E-3</v>
      </c>
      <c r="F150" s="55">
        <v>19203.3</v>
      </c>
      <c r="G150" s="54">
        <f t="shared" si="24"/>
        <v>3.6532973752703549E-3</v>
      </c>
      <c r="K150" s="6"/>
      <c r="L150" s="7"/>
      <c r="W150" s="2">
        <v>45415</v>
      </c>
      <c r="X150" s="3">
        <v>1425.2</v>
      </c>
      <c r="Y150" s="1">
        <f t="shared" si="21"/>
        <v>2.9556650246305161E-3</v>
      </c>
      <c r="Z150" s="1"/>
      <c r="AA150" s="1"/>
      <c r="AB150" s="1"/>
      <c r="AC150" s="1"/>
      <c r="AD150" s="1"/>
      <c r="AE150" s="1"/>
      <c r="AF150" s="1"/>
      <c r="AG150" s="1"/>
      <c r="AH150" s="1"/>
      <c r="AI150" s="1"/>
      <c r="AJ150" s="1"/>
      <c r="AK150" s="1"/>
    </row>
    <row r="151" spans="1:37">
      <c r="A151" s="50">
        <v>45415</v>
      </c>
      <c r="B151" s="51">
        <v>1269.9100000000001</v>
      </c>
      <c r="C151" s="52">
        <f t="shared" si="22"/>
        <v>9.8687872763420139E-3</v>
      </c>
      <c r="D151" s="53">
        <v>22475.85</v>
      </c>
      <c r="E151" s="54">
        <f t="shared" si="23"/>
        <v>-7.6098762815588958E-3</v>
      </c>
      <c r="F151" s="55">
        <v>19133.400000000001</v>
      </c>
      <c r="G151" s="54">
        <f t="shared" si="24"/>
        <v>4.6798731466791082E-4</v>
      </c>
      <c r="K151" s="6"/>
      <c r="L151" s="7"/>
      <c r="W151" s="2">
        <v>45414</v>
      </c>
      <c r="X151" s="3">
        <v>1421</v>
      </c>
      <c r="Y151" s="1">
        <f t="shared" si="21"/>
        <v>1.4601406590268207E-2</v>
      </c>
      <c r="Z151" s="1"/>
      <c r="AA151" s="1"/>
      <c r="AB151" s="1"/>
      <c r="AC151" s="1"/>
      <c r="AD151" s="1"/>
      <c r="AE151" s="1"/>
      <c r="AF151" s="1"/>
      <c r="AG151" s="1"/>
      <c r="AH151" s="1"/>
      <c r="AI151" s="1"/>
      <c r="AJ151" s="1"/>
      <c r="AK151" s="1"/>
    </row>
    <row r="152" spans="1:37">
      <c r="A152" s="50">
        <v>45414</v>
      </c>
      <c r="B152" s="51">
        <v>1257.5</v>
      </c>
      <c r="C152" s="52">
        <f t="shared" si="22"/>
        <v>1.3410054317167209E-2</v>
      </c>
      <c r="D152" s="53">
        <v>22648.2</v>
      </c>
      <c r="E152" s="54">
        <f t="shared" si="23"/>
        <v>1.9177300446586545E-3</v>
      </c>
      <c r="F152" s="55">
        <v>19124.45</v>
      </c>
      <c r="G152" s="54">
        <f t="shared" si="24"/>
        <v>8.1099174512141003E-3</v>
      </c>
      <c r="K152" s="6"/>
      <c r="L152" s="7"/>
      <c r="W152" s="2">
        <v>45412</v>
      </c>
      <c r="X152" s="3">
        <v>1400.55</v>
      </c>
      <c r="Y152" s="1">
        <f t="shared" si="21"/>
        <v>-7.3709203019243219E-3</v>
      </c>
      <c r="Z152" s="1"/>
      <c r="AA152" s="1"/>
      <c r="AB152" s="1"/>
      <c r="AC152" s="1"/>
      <c r="AD152" s="1"/>
      <c r="AE152" s="1"/>
      <c r="AF152" s="1"/>
      <c r="AG152" s="1"/>
      <c r="AH152" s="1"/>
      <c r="AI152" s="1"/>
      <c r="AJ152" s="1"/>
      <c r="AK152" s="1"/>
    </row>
    <row r="153" spans="1:37">
      <c r="A153" s="50">
        <v>45412</v>
      </c>
      <c r="B153" s="51">
        <v>1240.8599999999999</v>
      </c>
      <c r="C153" s="52">
        <f t="shared" si="22"/>
        <v>-1.4736942402058226E-2</v>
      </c>
      <c r="D153" s="53">
        <v>22604.85</v>
      </c>
      <c r="E153" s="54">
        <f t="shared" si="23"/>
        <v>-1.7024828426827645E-3</v>
      </c>
      <c r="F153" s="55">
        <v>18970.599999999999</v>
      </c>
      <c r="G153" s="54">
        <f t="shared" si="24"/>
        <v>-6.6136388628522383E-3</v>
      </c>
      <c r="K153" s="6"/>
      <c r="L153" s="7"/>
      <c r="W153" s="2">
        <v>45411</v>
      </c>
      <c r="X153" s="3">
        <v>1410.95</v>
      </c>
      <c r="Y153" s="1">
        <f t="shared" si="21"/>
        <v>-1.450813871196055E-3</v>
      </c>
      <c r="Z153" s="1"/>
      <c r="AA153" s="1"/>
      <c r="AB153" s="1"/>
      <c r="AC153" s="1"/>
      <c r="AD153" s="1"/>
      <c r="AE153" s="1"/>
      <c r="AF153" s="1"/>
      <c r="AG153" s="1"/>
      <c r="AH153" s="1"/>
      <c r="AI153" s="1"/>
      <c r="AJ153" s="1"/>
      <c r="AK153" s="1"/>
    </row>
    <row r="154" spans="1:37">
      <c r="A154" s="50">
        <v>45411</v>
      </c>
      <c r="B154" s="51">
        <v>1259.42</v>
      </c>
      <c r="C154" s="52">
        <f t="shared" si="22"/>
        <v>7.1975816125781737E-3</v>
      </c>
      <c r="D154" s="53">
        <v>22643.4</v>
      </c>
      <c r="E154" s="54">
        <f t="shared" si="23"/>
        <v>9.9665699522077759E-3</v>
      </c>
      <c r="F154" s="55">
        <v>19096.900000000001</v>
      </c>
      <c r="G154" s="54">
        <f t="shared" si="24"/>
        <v>5.3830947135114354E-3</v>
      </c>
      <c r="K154" s="6"/>
      <c r="L154" s="7"/>
      <c r="W154" s="2">
        <v>45408</v>
      </c>
      <c r="X154" s="3">
        <v>1413</v>
      </c>
      <c r="Y154" s="1">
        <f t="shared" si="21"/>
        <v>9.2857142857143415E-3</v>
      </c>
      <c r="Z154" s="1"/>
      <c r="AA154" s="1"/>
      <c r="AB154" s="1"/>
      <c r="AC154" s="1"/>
      <c r="AD154" s="1"/>
      <c r="AE154" s="1"/>
      <c r="AF154" s="1"/>
      <c r="AG154" s="1"/>
      <c r="AH154" s="1"/>
      <c r="AI154" s="1"/>
      <c r="AJ154" s="1"/>
      <c r="AK154" s="1"/>
    </row>
    <row r="155" spans="1:37">
      <c r="A155" s="50">
        <v>45408</v>
      </c>
      <c r="B155" s="51">
        <v>1250.42</v>
      </c>
      <c r="C155" s="52">
        <f t="shared" si="22"/>
        <v>5.3628140703518177E-3</v>
      </c>
      <c r="D155" s="53">
        <v>22419.95</v>
      </c>
      <c r="E155" s="54">
        <f t="shared" si="23"/>
        <v>-6.663609558557923E-3</v>
      </c>
      <c r="F155" s="55">
        <v>18994.650000000001</v>
      </c>
      <c r="G155" s="54">
        <f t="shared" si="24"/>
        <v>6.1711555422538748E-3</v>
      </c>
      <c r="K155" s="6"/>
      <c r="L155" s="7"/>
      <c r="W155" s="2">
        <v>45407</v>
      </c>
      <c r="X155" s="3">
        <v>1400</v>
      </c>
      <c r="Y155" s="1">
        <f t="shared" si="21"/>
        <v>3.5727045373357136E-4</v>
      </c>
      <c r="Z155" s="1"/>
      <c r="AA155" s="1"/>
      <c r="AB155" s="1"/>
      <c r="AC155" s="1"/>
      <c r="AD155" s="1"/>
      <c r="AE155" s="1"/>
      <c r="AF155" s="1"/>
      <c r="AG155" s="1"/>
      <c r="AH155" s="1"/>
      <c r="AI155" s="1"/>
      <c r="AJ155" s="1"/>
      <c r="AK155" s="1"/>
    </row>
    <row r="156" spans="1:37">
      <c r="A156" s="50">
        <v>45407</v>
      </c>
      <c r="B156" s="51">
        <v>1243.75</v>
      </c>
      <c r="C156" s="52">
        <f t="shared" si="22"/>
        <v>4.5027559319755252E-2</v>
      </c>
      <c r="D156" s="53">
        <v>22570.35</v>
      </c>
      <c r="E156" s="54">
        <f t="shared" si="23"/>
        <v>7.4969646109344125E-3</v>
      </c>
      <c r="F156" s="55">
        <v>18878.150000000001</v>
      </c>
      <c r="G156" s="54">
        <f t="shared" si="24"/>
        <v>1.5707890800701636E-2</v>
      </c>
      <c r="K156" s="6"/>
      <c r="L156" s="7"/>
      <c r="W156" s="2">
        <v>45406</v>
      </c>
      <c r="X156" s="3">
        <v>1399.5</v>
      </c>
      <c r="Y156" s="1">
        <f t="shared" si="21"/>
        <v>3.7819799777530694E-2</v>
      </c>
      <c r="Z156" s="1"/>
      <c r="AA156" s="1"/>
      <c r="AB156" s="1"/>
      <c r="AC156" s="1"/>
      <c r="AD156" s="1"/>
      <c r="AE156" s="1"/>
      <c r="AF156" s="1"/>
      <c r="AG156" s="1"/>
      <c r="AH156" s="1"/>
      <c r="AI156" s="1"/>
      <c r="AJ156" s="1"/>
      <c r="AK156" s="1"/>
    </row>
    <row r="157" spans="1:37">
      <c r="A157" s="50">
        <v>45406</v>
      </c>
      <c r="B157" s="51">
        <v>1190.1600000000001</v>
      </c>
      <c r="C157" s="52">
        <f t="shared" si="22"/>
        <v>-2.1841030896657557E-4</v>
      </c>
      <c r="D157" s="53">
        <v>22402.400000000001</v>
      </c>
      <c r="E157" s="54">
        <f t="shared" si="23"/>
        <v>1.5379113018598647E-3</v>
      </c>
      <c r="F157" s="55">
        <v>18586.2</v>
      </c>
      <c r="G157" s="54">
        <f t="shared" si="24"/>
        <v>6.6319138853158611E-3</v>
      </c>
      <c r="K157" s="6"/>
      <c r="L157" s="7"/>
      <c r="W157" s="2">
        <v>45405</v>
      </c>
      <c r="X157" s="3">
        <v>1348.5</v>
      </c>
      <c r="Y157" s="1">
        <f t="shared" si="21"/>
        <v>-7.7262693156733286E-3</v>
      </c>
      <c r="Z157" s="1"/>
      <c r="AA157" s="1"/>
      <c r="AB157" s="1"/>
      <c r="AC157" s="1"/>
      <c r="AD157" s="1"/>
      <c r="AE157" s="1"/>
      <c r="AF157" s="1"/>
      <c r="AG157" s="1"/>
      <c r="AH157" s="1"/>
      <c r="AI157" s="1"/>
      <c r="AJ157" s="1"/>
      <c r="AK157" s="1"/>
    </row>
    <row r="158" spans="1:37">
      <c r="A158" s="50">
        <v>45405</v>
      </c>
      <c r="B158" s="51">
        <v>1190.42</v>
      </c>
      <c r="C158" s="52">
        <f t="shared" si="22"/>
        <v>-1.0638121041870941E-2</v>
      </c>
      <c r="D158" s="53">
        <v>22368</v>
      </c>
      <c r="E158" s="54">
        <f t="shared" si="23"/>
        <v>1.4147311115487967E-3</v>
      </c>
      <c r="F158" s="55">
        <v>18463.75</v>
      </c>
      <c r="G158" s="54">
        <f t="shared" si="24"/>
        <v>-9.6148688515796821E-3</v>
      </c>
      <c r="K158" s="6"/>
      <c r="L158" s="7"/>
      <c r="W158" s="2">
        <v>45404</v>
      </c>
      <c r="X158" s="3">
        <v>1359</v>
      </c>
      <c r="Y158" s="1">
        <f t="shared" si="21"/>
        <v>8.9086859688196629E-3</v>
      </c>
      <c r="Z158" s="1"/>
      <c r="AA158" s="1"/>
      <c r="AB158" s="1"/>
      <c r="AC158" s="1"/>
      <c r="AD158" s="1"/>
      <c r="AE158" s="1"/>
      <c r="AF158" s="1"/>
      <c r="AG158" s="1"/>
      <c r="AH158" s="1"/>
      <c r="AI158" s="1"/>
      <c r="AJ158" s="1"/>
      <c r="AK158" s="1"/>
    </row>
    <row r="159" spans="1:37">
      <c r="A159" s="50">
        <v>45404</v>
      </c>
      <c r="B159" s="51">
        <v>1203.22</v>
      </c>
      <c r="C159" s="52">
        <f t="shared" si="22"/>
        <v>1.2325735968432731E-2</v>
      </c>
      <c r="D159" s="53">
        <v>22336.400000000001</v>
      </c>
      <c r="E159" s="54">
        <f t="shared" si="23"/>
        <v>8.5519483451483927E-3</v>
      </c>
      <c r="F159" s="55">
        <v>18643</v>
      </c>
      <c r="G159" s="54">
        <f t="shared" si="24"/>
        <v>1.2953283418275946E-2</v>
      </c>
      <c r="K159" s="6"/>
      <c r="L159" s="7"/>
      <c r="W159" s="2">
        <v>45401</v>
      </c>
      <c r="X159" s="3">
        <v>1347</v>
      </c>
      <c r="Y159" s="1">
        <f t="shared" si="21"/>
        <v>-4.9126435932479451E-3</v>
      </c>
      <c r="Z159" s="1"/>
      <c r="AA159" s="1"/>
      <c r="AB159" s="1"/>
      <c r="AC159" s="1"/>
      <c r="AD159" s="1"/>
      <c r="AE159" s="1"/>
      <c r="AF159" s="1"/>
      <c r="AG159" s="1"/>
      <c r="AH159" s="1"/>
      <c r="AI159" s="1"/>
      <c r="AJ159" s="1"/>
      <c r="AK159" s="1"/>
    </row>
    <row r="160" spans="1:37">
      <c r="A160" s="50">
        <v>45401</v>
      </c>
      <c r="B160" s="51">
        <v>1188.57</v>
      </c>
      <c r="C160" s="52">
        <f t="shared" si="22"/>
        <v>-2.400476738037591E-3</v>
      </c>
      <c r="D160" s="53">
        <v>22147</v>
      </c>
      <c r="E160" s="54">
        <f t="shared" si="23"/>
        <v>6.8717508075387618E-3</v>
      </c>
      <c r="F160" s="55">
        <v>18404.599999999999</v>
      </c>
      <c r="G160" s="54">
        <f t="shared" si="24"/>
        <v>-6.5395463071671297E-3</v>
      </c>
      <c r="K160" s="6"/>
      <c r="L160" s="7"/>
      <c r="W160" s="2">
        <v>45400</v>
      </c>
      <c r="X160" s="3">
        <v>1353.65</v>
      </c>
      <c r="Y160" s="1">
        <f t="shared" si="21"/>
        <v>-1.880979994201204E-2</v>
      </c>
      <c r="Z160" s="1"/>
      <c r="AA160" s="1"/>
      <c r="AB160" s="1"/>
      <c r="AC160" s="1"/>
      <c r="AD160" s="1"/>
      <c r="AE160" s="1"/>
      <c r="AF160" s="1"/>
      <c r="AG160" s="1"/>
      <c r="AH160" s="1"/>
      <c r="AI160" s="1"/>
      <c r="AJ160" s="1"/>
      <c r="AK160" s="1"/>
    </row>
    <row r="161" spans="1:37">
      <c r="A161" s="50">
        <v>45400</v>
      </c>
      <c r="B161" s="51">
        <v>1191.43</v>
      </c>
      <c r="C161" s="52">
        <f t="shared" si="22"/>
        <v>-1.5404067533283093E-2</v>
      </c>
      <c r="D161" s="53">
        <v>21995.85</v>
      </c>
      <c r="E161" s="54">
        <f t="shared" si="23"/>
        <v>-6.865210697176838E-3</v>
      </c>
      <c r="F161" s="55">
        <v>18525.75</v>
      </c>
      <c r="G161" s="54">
        <f t="shared" si="24"/>
        <v>-9.0850253535590484E-3</v>
      </c>
      <c r="K161" s="6"/>
      <c r="L161" s="7"/>
      <c r="W161" s="2">
        <v>45398</v>
      </c>
      <c r="X161" s="3">
        <v>1379.6</v>
      </c>
      <c r="Y161" s="1">
        <f t="shared" si="21"/>
        <v>-2.2780690652685065E-3</v>
      </c>
      <c r="Z161" s="1"/>
      <c r="AA161" s="1"/>
      <c r="AB161" s="1"/>
      <c r="AC161" s="1"/>
      <c r="AD161" s="1"/>
      <c r="AE161" s="1"/>
      <c r="AF161" s="1"/>
      <c r="AG161" s="1"/>
      <c r="AH161" s="1"/>
      <c r="AI161" s="1"/>
      <c r="AJ161" s="1"/>
      <c r="AK161" s="1"/>
    </row>
    <row r="162" spans="1:37">
      <c r="A162" s="50">
        <v>45398</v>
      </c>
      <c r="B162" s="51">
        <v>1210.07</v>
      </c>
      <c r="C162" s="52">
        <f t="shared" si="22"/>
        <v>6.5714499613198328E-3</v>
      </c>
      <c r="D162" s="53">
        <v>22147.9</v>
      </c>
      <c r="E162" s="54">
        <f t="shared" si="23"/>
        <v>-5.594342799416255E-3</v>
      </c>
      <c r="F162" s="55">
        <v>18695.599999999999</v>
      </c>
      <c r="G162" s="54">
        <f t="shared" si="24"/>
        <v>4.1868871742672727E-3</v>
      </c>
      <c r="K162" s="6"/>
      <c r="L162" s="7"/>
      <c r="W162" s="2">
        <v>45397</v>
      </c>
      <c r="X162" s="3">
        <v>1382.75</v>
      </c>
      <c r="Y162" s="1">
        <f t="shared" si="21"/>
        <v>-1.2003858383051624E-2</v>
      </c>
      <c r="Z162" s="1"/>
      <c r="AA162" s="1"/>
      <c r="AB162" s="1"/>
      <c r="AC162" s="1"/>
      <c r="AD162" s="1"/>
      <c r="AE162" s="1"/>
      <c r="AF162" s="1"/>
      <c r="AG162" s="1"/>
      <c r="AH162" s="1"/>
      <c r="AI162" s="1"/>
      <c r="AJ162" s="1"/>
      <c r="AK162" s="1"/>
    </row>
    <row r="163" spans="1:37">
      <c r="A163" s="50">
        <v>45397</v>
      </c>
      <c r="B163" s="51">
        <v>1202.17</v>
      </c>
      <c r="C163" s="52">
        <f t="shared" si="22"/>
        <v>-1.1998980908470713E-2</v>
      </c>
      <c r="D163" s="53">
        <v>22272.5</v>
      </c>
      <c r="E163" s="54">
        <f t="shared" si="23"/>
        <v>-1.0963880032327745E-2</v>
      </c>
      <c r="F163" s="55">
        <v>18617.650000000001</v>
      </c>
      <c r="G163" s="54">
        <f t="shared" si="24"/>
        <v>-9.1012393120314655E-3</v>
      </c>
      <c r="K163" s="6"/>
      <c r="L163" s="7"/>
      <c r="W163" s="2">
        <v>45394</v>
      </c>
      <c r="X163" s="3">
        <v>1399.55</v>
      </c>
      <c r="Y163" s="1">
        <f t="shared" si="21"/>
        <v>-1.8548387096774199E-2</v>
      </c>
      <c r="Z163" s="1"/>
      <c r="AA163" s="1"/>
      <c r="AB163" s="1"/>
      <c r="AC163" s="1"/>
      <c r="AD163" s="1"/>
      <c r="AE163" s="1"/>
      <c r="AF163" s="1"/>
      <c r="AG163" s="1"/>
      <c r="AH163" s="1"/>
      <c r="AI163" s="1"/>
      <c r="AJ163" s="1"/>
      <c r="AK163" s="1"/>
    </row>
    <row r="164" spans="1:37">
      <c r="A164" s="50">
        <v>45394</v>
      </c>
      <c r="B164" s="51">
        <v>1216.77</v>
      </c>
      <c r="C164" s="52">
        <f t="shared" si="22"/>
        <v>-1.202520339726201E-2</v>
      </c>
      <c r="D164" s="53">
        <v>22519.4</v>
      </c>
      <c r="E164" s="54">
        <f t="shared" si="23"/>
        <v>-1.030157600049213E-2</v>
      </c>
      <c r="F164" s="55">
        <v>18788.650000000001</v>
      </c>
      <c r="G164" s="54">
        <f t="shared" si="24"/>
        <v>-1.7175812104409612E-2</v>
      </c>
      <c r="K164" s="6"/>
      <c r="L164" s="7"/>
      <c r="W164" s="2">
        <v>45392</v>
      </c>
      <c r="X164" s="3">
        <v>1426</v>
      </c>
      <c r="Y164" s="1">
        <f t="shared" si="21"/>
        <v>-1.5873015873015928E-2</v>
      </c>
      <c r="Z164" s="1"/>
      <c r="AA164" s="1"/>
      <c r="AB164" s="1"/>
      <c r="AC164" s="1"/>
      <c r="AD164" s="1"/>
      <c r="AE164" s="1"/>
      <c r="AF164" s="1"/>
      <c r="AG164" s="1"/>
      <c r="AH164" s="1"/>
      <c r="AI164" s="1"/>
      <c r="AJ164" s="1"/>
      <c r="AK164" s="1"/>
    </row>
    <row r="165" spans="1:37">
      <c r="A165" s="50">
        <v>45392</v>
      </c>
      <c r="B165" s="51">
        <v>1231.58</v>
      </c>
      <c r="C165" s="52">
        <f t="shared" si="22"/>
        <v>-1.6212973621491918E-3</v>
      </c>
      <c r="D165" s="53">
        <v>22753.8</v>
      </c>
      <c r="E165" s="54">
        <f t="shared" si="23"/>
        <v>4.9044396109129531E-3</v>
      </c>
      <c r="F165" s="55">
        <v>19117</v>
      </c>
      <c r="G165" s="54">
        <f t="shared" si="24"/>
        <v>-3.4041798950073389E-3</v>
      </c>
      <c r="K165" s="6"/>
      <c r="L165" s="7"/>
      <c r="W165" s="2">
        <v>45391</v>
      </c>
      <c r="X165" s="3">
        <v>1449</v>
      </c>
      <c r="Y165" s="1">
        <f t="shared" si="21"/>
        <v>-8.3493019436080562E-3</v>
      </c>
      <c r="Z165" s="1"/>
      <c r="AA165" s="1"/>
      <c r="AB165" s="1"/>
      <c r="AC165" s="1"/>
      <c r="AD165" s="1"/>
      <c r="AE165" s="1"/>
      <c r="AF165" s="1"/>
      <c r="AG165" s="1"/>
      <c r="AH165" s="1"/>
      <c r="AI165" s="1"/>
      <c r="AJ165" s="1"/>
      <c r="AK165" s="1"/>
    </row>
    <row r="166" spans="1:37">
      <c r="A166" s="50">
        <v>45391</v>
      </c>
      <c r="B166" s="51">
        <v>1233.58</v>
      </c>
      <c r="C166" s="52">
        <f t="shared" si="22"/>
        <v>-1.0770015628670548E-3</v>
      </c>
      <c r="D166" s="53">
        <v>22642.75</v>
      </c>
      <c r="E166" s="54">
        <f t="shared" si="23"/>
        <v>-1.0389873953843051E-3</v>
      </c>
      <c r="F166" s="55">
        <v>19182.3</v>
      </c>
      <c r="G166" s="54">
        <f t="shared" si="24"/>
        <v>-1.9017787224521381E-3</v>
      </c>
      <c r="K166" s="6"/>
      <c r="L166" s="7"/>
      <c r="W166" s="2">
        <v>45390</v>
      </c>
      <c r="X166" s="3">
        <v>1461.2</v>
      </c>
      <c r="Y166" s="1">
        <f t="shared" si="21"/>
        <v>9.3948604586904239E-3</v>
      </c>
      <c r="Z166" s="1"/>
      <c r="AA166" s="1"/>
      <c r="AB166" s="1"/>
      <c r="AC166" s="1"/>
      <c r="AD166" s="1"/>
      <c r="AE166" s="1"/>
      <c r="AF166" s="1"/>
      <c r="AG166" s="1"/>
      <c r="AH166" s="1"/>
      <c r="AI166" s="1"/>
      <c r="AJ166" s="1"/>
      <c r="AK166" s="1"/>
    </row>
    <row r="167" spans="1:37">
      <c r="A167" s="50">
        <v>45390</v>
      </c>
      <c r="B167" s="51">
        <v>1234.9100000000001</v>
      </c>
      <c r="C167" s="52">
        <f t="shared" si="22"/>
        <v>-7.6869548330702365E-4</v>
      </c>
      <c r="D167" s="53">
        <v>22666.3</v>
      </c>
      <c r="E167" s="54">
        <f t="shared" si="23"/>
        <v>6.7780951154185467E-3</v>
      </c>
      <c r="F167" s="55">
        <v>19218.849999999999</v>
      </c>
      <c r="G167" s="54">
        <f t="shared" si="24"/>
        <v>3.0322403872499013E-3</v>
      </c>
      <c r="K167" s="6"/>
      <c r="L167" s="7"/>
      <c r="W167" s="2">
        <v>45387</v>
      </c>
      <c r="X167" s="3">
        <v>1447.6</v>
      </c>
      <c r="Y167" s="1">
        <f t="shared" si="21"/>
        <v>-7.1671067521690279E-3</v>
      </c>
      <c r="Z167" s="1"/>
      <c r="AA167" s="1"/>
      <c r="AB167" s="1"/>
      <c r="AC167" s="1"/>
      <c r="AD167" s="1"/>
      <c r="AE167" s="1"/>
      <c r="AF167" s="1"/>
      <c r="AG167" s="1"/>
      <c r="AH167" s="1"/>
      <c r="AI167" s="1"/>
      <c r="AJ167" s="1"/>
      <c r="AK167" s="1"/>
    </row>
    <row r="168" spans="1:37">
      <c r="A168" s="50">
        <v>45387</v>
      </c>
      <c r="B168" s="51">
        <v>1235.8599999999999</v>
      </c>
      <c r="C168" s="52">
        <f t="shared" si="22"/>
        <v>5.9910459910459098E-3</v>
      </c>
      <c r="D168" s="53">
        <v>22513.7</v>
      </c>
      <c r="E168" s="54">
        <f t="shared" si="23"/>
        <v>-4.2194748752511256E-5</v>
      </c>
      <c r="F168" s="55">
        <v>19160.75</v>
      </c>
      <c r="G168" s="54">
        <f t="shared" si="24"/>
        <v>1.8588040909375729E-3</v>
      </c>
      <c r="K168" s="6"/>
      <c r="L168" s="7"/>
      <c r="W168" s="2">
        <v>45386</v>
      </c>
      <c r="X168" s="3">
        <v>1458.05</v>
      </c>
      <c r="Y168" s="1">
        <f t="shared" si="21"/>
        <v>-9.3086461695260914E-3</v>
      </c>
      <c r="Z168" s="1"/>
      <c r="AA168" s="1"/>
      <c r="AB168" s="1"/>
      <c r="AC168" s="1"/>
      <c r="AD168" s="1"/>
      <c r="AE168" s="1"/>
      <c r="AF168" s="1"/>
      <c r="AG168" s="1"/>
      <c r="AH168" s="1"/>
      <c r="AI168" s="1"/>
      <c r="AJ168" s="1"/>
      <c r="AK168" s="1"/>
    </row>
    <row r="169" spans="1:37">
      <c r="A169" s="50">
        <v>45386</v>
      </c>
      <c r="B169" s="51">
        <v>1228.5</v>
      </c>
      <c r="C169" s="52">
        <f t="shared" si="22"/>
        <v>2.9553915485597696E-3</v>
      </c>
      <c r="D169" s="53">
        <v>22514.65</v>
      </c>
      <c r="E169" s="54">
        <f t="shared" si="23"/>
        <v>3.5659125504520907E-3</v>
      </c>
      <c r="F169" s="55">
        <v>19125.2</v>
      </c>
      <c r="G169" s="54">
        <f t="shared" si="24"/>
        <v>-1.454076504786368E-3</v>
      </c>
      <c r="K169" s="6"/>
      <c r="L169" s="7"/>
      <c r="W169" s="2">
        <v>45385</v>
      </c>
      <c r="X169" s="3">
        <v>1471.75</v>
      </c>
      <c r="Y169" s="1">
        <f t="shared" si="21"/>
        <v>-1.2248322147651036E-2</v>
      </c>
      <c r="Z169" s="1"/>
      <c r="AA169" s="1"/>
      <c r="AB169" s="1"/>
      <c r="AC169" s="1"/>
      <c r="AD169" s="1"/>
      <c r="AE169" s="1"/>
      <c r="AF169" s="1"/>
      <c r="AG169" s="1"/>
      <c r="AH169" s="1"/>
      <c r="AI169" s="1"/>
      <c r="AJ169" s="1"/>
      <c r="AK169" s="1"/>
    </row>
    <row r="170" spans="1:37">
      <c r="A170" s="50">
        <v>45385</v>
      </c>
      <c r="B170" s="51">
        <v>1224.8800000000001</v>
      </c>
      <c r="C170" s="52">
        <f t="shared" si="22"/>
        <v>-1.8140135149217147E-2</v>
      </c>
      <c r="D170" s="53">
        <v>22434.65</v>
      </c>
      <c r="E170" s="54">
        <f t="shared" si="23"/>
        <v>-8.3061287204989106E-4</v>
      </c>
      <c r="F170" s="55">
        <v>19153.05</v>
      </c>
      <c r="G170" s="54">
        <f t="shared" si="24"/>
        <v>-1.6731690917194903E-3</v>
      </c>
      <c r="K170" s="6"/>
      <c r="L170" s="7"/>
      <c r="W170" s="2">
        <v>45384</v>
      </c>
      <c r="X170" s="3">
        <v>1490</v>
      </c>
      <c r="Y170" s="1">
        <f t="shared" si="21"/>
        <v>-4.676018704074858E-3</v>
      </c>
      <c r="Z170" s="1"/>
      <c r="AA170" s="1"/>
      <c r="AB170" s="1"/>
      <c r="AC170" s="1"/>
      <c r="AD170" s="1"/>
      <c r="AE170" s="1"/>
      <c r="AF170" s="1"/>
      <c r="AG170" s="1"/>
      <c r="AH170" s="1"/>
      <c r="AI170" s="1"/>
      <c r="AJ170" s="1"/>
      <c r="AK170" s="1"/>
    </row>
    <row r="171" spans="1:37">
      <c r="A171" s="50">
        <v>45384</v>
      </c>
      <c r="B171" s="51">
        <v>1247.51</v>
      </c>
      <c r="C171" s="52">
        <f t="shared" si="22"/>
        <v>-2.0478853184221248E-3</v>
      </c>
      <c r="D171" s="53">
        <v>22453.3</v>
      </c>
      <c r="E171" s="54">
        <f t="shared" si="23"/>
        <v>-3.8732080847657055E-4</v>
      </c>
      <c r="F171" s="55">
        <v>19185.150000000001</v>
      </c>
      <c r="G171" s="54">
        <f t="shared" si="24"/>
        <v>-1.1844084985865189E-3</v>
      </c>
      <c r="K171" s="6"/>
      <c r="L171" s="7"/>
      <c r="W171" s="2">
        <v>45383</v>
      </c>
      <c r="X171" s="3">
        <v>1497</v>
      </c>
      <c r="Y171" s="1">
        <f t="shared" si="21"/>
        <v>6.6844919786102075E-4</v>
      </c>
      <c r="Z171" s="1"/>
      <c r="AA171" s="1"/>
      <c r="AB171" s="1"/>
      <c r="AC171" s="1"/>
      <c r="AD171" s="1"/>
      <c r="AE171" s="1"/>
      <c r="AF171" s="1"/>
      <c r="AG171" s="1"/>
      <c r="AH171" s="1"/>
      <c r="AI171" s="1"/>
      <c r="AJ171" s="1"/>
      <c r="AK171" s="1"/>
    </row>
    <row r="172" spans="1:37">
      <c r="A172" s="50">
        <v>45383</v>
      </c>
      <c r="B172" s="51">
        <v>1250.07</v>
      </c>
      <c r="C172" s="52">
        <f t="shared" si="22"/>
        <v>1.5013235031423058E-2</v>
      </c>
      <c r="D172" s="53">
        <v>22462</v>
      </c>
      <c r="E172" s="54">
        <f t="shared" si="23"/>
        <v>6.0509967796693017E-3</v>
      </c>
      <c r="F172" s="55">
        <v>19207.900000000001</v>
      </c>
      <c r="G172" s="54">
        <f t="shared" si="24"/>
        <v>1.1146995575419229E-2</v>
      </c>
      <c r="K172" s="6"/>
      <c r="L172" s="7"/>
      <c r="W172" s="2">
        <v>45379</v>
      </c>
      <c r="X172" s="3">
        <v>1496</v>
      </c>
      <c r="Y172" s="1">
        <f t="shared" si="21"/>
        <v>1.8137271582672643E-2</v>
      </c>
      <c r="Z172" s="1"/>
      <c r="AA172" s="1"/>
      <c r="AB172" s="1"/>
      <c r="AC172" s="1"/>
      <c r="AD172" s="1"/>
      <c r="AE172" s="1"/>
      <c r="AF172" s="1"/>
      <c r="AG172" s="1"/>
      <c r="AH172" s="1"/>
      <c r="AI172" s="1"/>
      <c r="AJ172" s="1"/>
      <c r="AK172" s="1"/>
    </row>
    <row r="173" spans="1:37">
      <c r="A173" s="50">
        <v>45379</v>
      </c>
      <c r="B173" s="51">
        <v>1231.58</v>
      </c>
      <c r="C173" s="52">
        <f t="shared" si="22"/>
        <v>1.882827881735907E-2</v>
      </c>
      <c r="D173" s="53">
        <v>22326.9</v>
      </c>
      <c r="E173" s="54">
        <f t="shared" si="23"/>
        <v>9.1870012407536724E-3</v>
      </c>
      <c r="F173" s="55">
        <v>18996.150000000001</v>
      </c>
      <c r="G173" s="54">
        <f t="shared" si="24"/>
        <v>1.2134758423733509E-2</v>
      </c>
      <c r="K173" s="6"/>
      <c r="L173" s="7"/>
      <c r="W173" s="2">
        <v>45378</v>
      </c>
      <c r="X173" s="3">
        <v>1469.35</v>
      </c>
      <c r="Y173" s="1">
        <f t="shared" si="21"/>
        <v>1.0209637898173085E-4</v>
      </c>
      <c r="Z173" s="1"/>
      <c r="AA173" s="1"/>
      <c r="AB173" s="1"/>
      <c r="AC173" s="1"/>
      <c r="AD173" s="1"/>
      <c r="AE173" s="1"/>
      <c r="AF173" s="1"/>
      <c r="AG173" s="1"/>
      <c r="AH173" s="1"/>
      <c r="AI173" s="1"/>
      <c r="AJ173" s="1"/>
      <c r="AK173" s="1"/>
    </row>
    <row r="174" spans="1:37">
      <c r="A174" s="50">
        <v>45378</v>
      </c>
      <c r="B174" s="51">
        <v>1208.82</v>
      </c>
      <c r="C174" s="52">
        <f t="shared" si="22"/>
        <v>-1.4792537714858629E-2</v>
      </c>
      <c r="D174" s="53">
        <v>22123.65</v>
      </c>
      <c r="E174" s="54">
        <f t="shared" si="23"/>
        <v>5.4056633355601636E-3</v>
      </c>
      <c r="F174" s="55">
        <v>18768.400000000001</v>
      </c>
      <c r="G174" s="54">
        <f t="shared" si="24"/>
        <v>-2.1824136271926756E-3</v>
      </c>
      <c r="K174" s="6"/>
      <c r="L174" s="7"/>
      <c r="W174" s="2">
        <v>45377</v>
      </c>
      <c r="X174" s="3">
        <v>1469.2</v>
      </c>
      <c r="Y174" s="1">
        <f t="shared" si="21"/>
        <v>-5.684894423389153E-3</v>
      </c>
      <c r="Z174" s="1"/>
      <c r="AA174" s="1"/>
      <c r="AB174" s="1"/>
      <c r="AC174" s="1"/>
      <c r="AD174" s="1"/>
      <c r="AE174" s="1"/>
      <c r="AF174" s="1"/>
      <c r="AG174" s="1"/>
      <c r="AH174" s="1"/>
      <c r="AI174" s="1"/>
      <c r="AJ174" s="1"/>
      <c r="AK174" s="1"/>
    </row>
    <row r="175" spans="1:37">
      <c r="A175" s="50">
        <v>45377</v>
      </c>
      <c r="B175" s="51">
        <v>1226.97</v>
      </c>
      <c r="C175" s="52">
        <f t="shared" si="22"/>
        <v>-1.1018506577250509E-2</v>
      </c>
      <c r="D175" s="53">
        <v>22004.7</v>
      </c>
      <c r="E175" s="54">
        <f t="shared" si="23"/>
        <v>-4.1657709844207533E-3</v>
      </c>
      <c r="F175" s="55">
        <v>18809.45</v>
      </c>
      <c r="G175" s="54">
        <f t="shared" si="24"/>
        <v>-3.2685643827450722E-4</v>
      </c>
      <c r="K175" s="6"/>
      <c r="L175" s="7"/>
      <c r="W175" s="2">
        <v>45373</v>
      </c>
      <c r="X175" s="3">
        <v>1477.6</v>
      </c>
      <c r="Y175" s="1">
        <f t="shared" si="21"/>
        <v>1.83321847002067E-2</v>
      </c>
      <c r="Z175" s="1"/>
      <c r="AA175" s="1"/>
      <c r="AB175" s="1"/>
      <c r="AC175" s="1"/>
      <c r="AD175" s="1"/>
      <c r="AE175" s="1"/>
      <c r="AF175" s="1"/>
      <c r="AG175" s="1"/>
      <c r="AH175" s="1"/>
      <c r="AI175" s="1"/>
      <c r="AJ175" s="1"/>
      <c r="AK175" s="1"/>
    </row>
    <row r="176" spans="1:37">
      <c r="A176" s="50">
        <v>45373</v>
      </c>
      <c r="B176" s="51">
        <v>1240.6400000000001</v>
      </c>
      <c r="C176" s="52">
        <f t="shared" si="22"/>
        <v>1.2238503965275285E-2</v>
      </c>
      <c r="D176" s="53">
        <v>22096.75</v>
      </c>
      <c r="E176" s="54">
        <f t="shared" si="23"/>
        <v>3.8524528721898457E-3</v>
      </c>
      <c r="F176" s="55">
        <v>18815.599999999999</v>
      </c>
      <c r="G176" s="54">
        <f t="shared" si="24"/>
        <v>1.2538611389148991E-2</v>
      </c>
      <c r="K176" s="6"/>
      <c r="L176" s="7"/>
      <c r="W176" s="2">
        <v>45372</v>
      </c>
      <c r="X176" s="3">
        <v>1451</v>
      </c>
      <c r="Y176" s="1">
        <f t="shared" si="21"/>
        <v>2.3524847458822551E-2</v>
      </c>
      <c r="Z176" s="1"/>
      <c r="AA176" s="1"/>
      <c r="AB176" s="1"/>
      <c r="AC176" s="1"/>
      <c r="AD176" s="1"/>
      <c r="AE176" s="1"/>
      <c r="AF176" s="1"/>
      <c r="AG176" s="1"/>
      <c r="AH176" s="1"/>
      <c r="AI176" s="1"/>
      <c r="AJ176" s="1"/>
      <c r="AK176" s="1"/>
    </row>
    <row r="177" spans="1:37">
      <c r="A177" s="50">
        <v>45372</v>
      </c>
      <c r="B177" s="51">
        <v>1225.6400000000001</v>
      </c>
      <c r="C177" s="52">
        <f t="shared" si="22"/>
        <v>4.0797601297658786E-3</v>
      </c>
      <c r="D177" s="53">
        <v>22011.95</v>
      </c>
      <c r="E177" s="54">
        <f t="shared" si="23"/>
        <v>7.9147034447391244E-3</v>
      </c>
      <c r="F177" s="55">
        <v>18582.599999999999</v>
      </c>
      <c r="G177" s="54">
        <f t="shared" si="24"/>
        <v>1.2047011665776959E-2</v>
      </c>
      <c r="K177" s="6"/>
      <c r="L177" s="7"/>
      <c r="W177" s="2">
        <v>45371</v>
      </c>
      <c r="X177" s="3">
        <v>1417.65</v>
      </c>
      <c r="Y177" s="1">
        <f t="shared" si="21"/>
        <v>-1.2056169204501921E-2</v>
      </c>
      <c r="Z177" s="1"/>
      <c r="AA177" s="1"/>
      <c r="AB177" s="1"/>
      <c r="AC177" s="1"/>
      <c r="AD177" s="1"/>
      <c r="AE177" s="1"/>
      <c r="AF177" s="1"/>
      <c r="AG177" s="1"/>
      <c r="AH177" s="1"/>
      <c r="AI177" s="1"/>
      <c r="AJ177" s="1"/>
      <c r="AK177" s="1"/>
    </row>
    <row r="178" spans="1:37">
      <c r="A178" s="50">
        <v>45371</v>
      </c>
      <c r="B178" s="51">
        <v>1220.6600000000001</v>
      </c>
      <c r="C178" s="52">
        <f t="shared" si="22"/>
        <v>-5.1508582046976611E-3</v>
      </c>
      <c r="D178" s="53">
        <v>21839.1</v>
      </c>
      <c r="E178" s="54">
        <f t="shared" si="23"/>
        <v>9.9232495089929458E-4</v>
      </c>
      <c r="F178" s="55">
        <v>18361.400000000001</v>
      </c>
      <c r="G178" s="54">
        <f t="shared" si="24"/>
        <v>-2.4041530725619578E-3</v>
      </c>
      <c r="K178" s="6"/>
      <c r="L178" s="7"/>
      <c r="W178" s="2">
        <v>45370</v>
      </c>
      <c r="X178" s="3">
        <v>1434.95</v>
      </c>
      <c r="Y178" s="1">
        <f t="shared" si="21"/>
        <v>-3.2726659925850998E-2</v>
      </c>
      <c r="Z178" s="1"/>
      <c r="AA178" s="1"/>
      <c r="AB178" s="1"/>
      <c r="AC178" s="1"/>
      <c r="AD178" s="1"/>
      <c r="AE178" s="1"/>
      <c r="AF178" s="1"/>
      <c r="AG178" s="1"/>
      <c r="AH178" s="1"/>
      <c r="AI178" s="1"/>
      <c r="AJ178" s="1"/>
      <c r="AK178" s="1"/>
    </row>
    <row r="179" spans="1:37">
      <c r="A179" s="50">
        <v>45370</v>
      </c>
      <c r="B179" s="51">
        <v>1226.98</v>
      </c>
      <c r="C179" s="52">
        <f t="shared" si="22"/>
        <v>-3.2510388658029833E-2</v>
      </c>
      <c r="D179" s="53">
        <v>21817.45</v>
      </c>
      <c r="E179" s="54">
        <f t="shared" si="23"/>
        <v>-1.080219625765675E-2</v>
      </c>
      <c r="F179" s="55">
        <v>18405.650000000001</v>
      </c>
      <c r="G179" s="54">
        <f t="shared" si="24"/>
        <v>-2.1722780749799865E-2</v>
      </c>
      <c r="K179" s="6"/>
      <c r="L179" s="7"/>
      <c r="W179" s="2">
        <v>45369</v>
      </c>
      <c r="X179" s="3">
        <v>1483.5</v>
      </c>
      <c r="Y179" s="1">
        <f t="shared" si="21"/>
        <v>6.0704168352909704E-4</v>
      </c>
      <c r="Z179" s="1"/>
      <c r="AA179" s="1"/>
      <c r="AB179" s="1"/>
      <c r="AC179" s="1"/>
      <c r="AD179" s="1"/>
      <c r="AE179" s="1"/>
      <c r="AF179" s="1"/>
      <c r="AG179" s="1"/>
      <c r="AH179" s="1"/>
      <c r="AI179" s="1"/>
      <c r="AJ179" s="1"/>
      <c r="AK179" s="1"/>
    </row>
    <row r="180" spans="1:37">
      <c r="A180" s="50">
        <v>45369</v>
      </c>
      <c r="B180" s="51">
        <v>1268.21</v>
      </c>
      <c r="C180" s="52">
        <f t="shared" si="22"/>
        <v>8.9341119190440715E-3</v>
      </c>
      <c r="D180" s="53">
        <v>22055.7</v>
      </c>
      <c r="E180" s="54">
        <f t="shared" si="23"/>
        <v>1.468895513171347E-3</v>
      </c>
      <c r="F180" s="55">
        <v>18814.349999999999</v>
      </c>
      <c r="G180" s="54">
        <f t="shared" si="24"/>
        <v>5.1232874516852524E-3</v>
      </c>
      <c r="K180" s="6"/>
      <c r="L180" s="7"/>
      <c r="W180" s="2">
        <v>45366</v>
      </c>
      <c r="X180" s="3">
        <v>1482.6</v>
      </c>
      <c r="Y180" s="1">
        <f t="shared" si="21"/>
        <v>-1.1600000000000055E-2</v>
      </c>
      <c r="Z180" s="1"/>
      <c r="AA180" s="1"/>
      <c r="AB180" s="1"/>
      <c r="AC180" s="1"/>
      <c r="AD180" s="1"/>
      <c r="AE180" s="1"/>
      <c r="AF180" s="1"/>
      <c r="AG180" s="1"/>
      <c r="AH180" s="1"/>
      <c r="AI180" s="1"/>
      <c r="AJ180" s="1"/>
      <c r="AK180" s="1"/>
    </row>
    <row r="181" spans="1:37">
      <c r="A181" s="50">
        <v>45366</v>
      </c>
      <c r="B181" s="51">
        <v>1256.98</v>
      </c>
      <c r="C181" s="52">
        <f t="shared" si="22"/>
        <v>-1.5410033997395026E-3</v>
      </c>
      <c r="D181" s="53">
        <v>22023.35</v>
      </c>
      <c r="E181" s="54">
        <f t="shared" si="23"/>
        <v>-5.5674334493028476E-3</v>
      </c>
      <c r="F181" s="55">
        <v>18718.45</v>
      </c>
      <c r="G181" s="54">
        <f t="shared" si="24"/>
        <v>-9.4538315402891357E-3</v>
      </c>
      <c r="K181" s="6"/>
      <c r="L181" s="7"/>
      <c r="W181" s="2">
        <v>45365</v>
      </c>
      <c r="X181" s="3">
        <v>1500</v>
      </c>
      <c r="Y181" s="1">
        <f t="shared" si="21"/>
        <v>2.2042039995911811E-2</v>
      </c>
      <c r="Z181" s="1"/>
      <c r="AA181" s="1"/>
      <c r="AB181" s="1"/>
      <c r="AC181" s="1"/>
      <c r="AD181" s="1"/>
      <c r="AE181" s="1"/>
      <c r="AF181" s="1"/>
      <c r="AG181" s="1"/>
      <c r="AH181" s="1"/>
      <c r="AI181" s="1"/>
      <c r="AJ181" s="1"/>
      <c r="AK181" s="1"/>
    </row>
    <row r="182" spans="1:37">
      <c r="A182" s="50">
        <v>45365</v>
      </c>
      <c r="B182" s="51">
        <v>1258.92</v>
      </c>
      <c r="C182" s="52">
        <f t="shared" si="22"/>
        <v>-1.4594371648846078E-3</v>
      </c>
      <c r="D182" s="53">
        <v>22146.65</v>
      </c>
      <c r="E182" s="54">
        <f t="shared" si="23"/>
        <v>6.7711624397096392E-3</v>
      </c>
      <c r="F182" s="55">
        <v>18897.099999999999</v>
      </c>
      <c r="G182" s="54">
        <f t="shared" si="24"/>
        <v>1.4026840955799771E-2</v>
      </c>
      <c r="K182" s="6"/>
      <c r="L182" s="7"/>
      <c r="W182" s="2">
        <v>45364</v>
      </c>
      <c r="X182" s="3">
        <v>1467.65</v>
      </c>
      <c r="Y182" s="1">
        <f t="shared" si="21"/>
        <v>-2.1416915964099781E-3</v>
      </c>
      <c r="Z182" s="1"/>
      <c r="AA182" s="1"/>
      <c r="AB182" s="1"/>
      <c r="AC182" s="1"/>
      <c r="AD182" s="1"/>
      <c r="AE182" s="1"/>
      <c r="AF182" s="1"/>
      <c r="AG182" s="1"/>
      <c r="AH182" s="1"/>
      <c r="AI182" s="1"/>
      <c r="AJ182" s="1"/>
      <c r="AK182" s="1"/>
    </row>
    <row r="183" spans="1:37">
      <c r="A183" s="50">
        <v>45364</v>
      </c>
      <c r="B183" s="51">
        <v>1260.76</v>
      </c>
      <c r="C183" s="52">
        <f t="shared" si="22"/>
        <v>2.6181541220054045E-4</v>
      </c>
      <c r="D183" s="53">
        <v>21997.7</v>
      </c>
      <c r="E183" s="54">
        <f t="shared" si="23"/>
        <v>-1.5132724741109523E-2</v>
      </c>
      <c r="F183" s="55">
        <v>18635.7</v>
      </c>
      <c r="G183" s="54">
        <f t="shared" si="24"/>
        <v>-1.7037033129908695E-2</v>
      </c>
      <c r="K183" s="6"/>
      <c r="L183" s="7"/>
      <c r="W183" s="2">
        <v>45363</v>
      </c>
      <c r="X183" s="3">
        <v>1470.8</v>
      </c>
      <c r="Y183" s="1">
        <f t="shared" si="21"/>
        <v>-2.2724252491694408E-2</v>
      </c>
      <c r="Z183" s="1"/>
      <c r="AA183" s="1"/>
      <c r="AB183" s="1"/>
      <c r="AC183" s="1"/>
      <c r="AD183" s="1"/>
      <c r="AE183" s="1"/>
      <c r="AF183" s="1"/>
      <c r="AG183" s="1"/>
      <c r="AH183" s="1"/>
      <c r="AI183" s="1"/>
      <c r="AJ183" s="1"/>
      <c r="AK183" s="1"/>
    </row>
    <row r="184" spans="1:37">
      <c r="A184" s="50">
        <v>45363</v>
      </c>
      <c r="B184" s="51">
        <v>1260.43</v>
      </c>
      <c r="C184" s="52">
        <f t="shared" si="22"/>
        <v>-1.3354311971130847E-2</v>
      </c>
      <c r="D184" s="53">
        <v>22335.7</v>
      </c>
      <c r="E184" s="54">
        <f t="shared" si="23"/>
        <v>1.3657134285448758E-4</v>
      </c>
      <c r="F184" s="55">
        <v>18958.7</v>
      </c>
      <c r="G184" s="54">
        <f t="shared" si="24"/>
        <v>-1.2673126046437675E-2</v>
      </c>
      <c r="K184" s="6"/>
      <c r="L184" s="7"/>
      <c r="W184" s="2">
        <v>45362</v>
      </c>
      <c r="X184" s="3">
        <v>1505</v>
      </c>
      <c r="Y184" s="1">
        <f t="shared" si="21"/>
        <v>1.4321819713563499E-2</v>
      </c>
      <c r="Z184" s="1"/>
      <c r="AA184" s="1"/>
      <c r="AB184" s="1"/>
      <c r="AC184" s="1"/>
      <c r="AD184" s="1"/>
      <c r="AE184" s="1"/>
      <c r="AF184" s="1"/>
      <c r="AG184" s="1"/>
      <c r="AH184" s="1"/>
      <c r="AI184" s="1"/>
      <c r="AJ184" s="1"/>
      <c r="AK184" s="1"/>
    </row>
    <row r="185" spans="1:37">
      <c r="A185" s="50">
        <v>45362</v>
      </c>
      <c r="B185" s="51">
        <v>1277.49</v>
      </c>
      <c r="C185" s="52">
        <f t="shared" si="22"/>
        <v>1.0009250254975042E-2</v>
      </c>
      <c r="D185" s="53">
        <v>22332.65</v>
      </c>
      <c r="E185" s="54">
        <f t="shared" si="23"/>
        <v>-7.1531616841271307E-3</v>
      </c>
      <c r="F185" s="55">
        <v>19202.05</v>
      </c>
      <c r="G185" s="54">
        <f t="shared" si="24"/>
        <v>4.1418977706694912E-4</v>
      </c>
      <c r="K185" s="6"/>
      <c r="L185" s="7"/>
      <c r="W185" s="2">
        <v>45358</v>
      </c>
      <c r="X185" s="3">
        <v>1483.75</v>
      </c>
      <c r="Y185" s="1">
        <f t="shared" si="21"/>
        <v>-2.8561827956988806E-3</v>
      </c>
      <c r="Z185" s="1"/>
      <c r="AA185" s="1"/>
      <c r="AB185" s="1"/>
      <c r="AC185" s="1"/>
      <c r="AD185" s="1"/>
      <c r="AE185" s="1"/>
      <c r="AF185" s="1"/>
      <c r="AG185" s="1"/>
      <c r="AH185" s="1"/>
      <c r="AI185" s="1"/>
      <c r="AJ185" s="1"/>
      <c r="AK185" s="1"/>
    </row>
    <row r="186" spans="1:37">
      <c r="A186" s="50">
        <v>45358</v>
      </c>
      <c r="B186" s="51">
        <v>1264.83</v>
      </c>
      <c r="C186" s="52">
        <f t="shared" si="22"/>
        <v>1.5044380923723909E-3</v>
      </c>
      <c r="D186" s="53">
        <v>22493.55</v>
      </c>
      <c r="E186" s="54">
        <f t="shared" si="23"/>
        <v>8.6766737637408481E-4</v>
      </c>
      <c r="F186" s="55">
        <v>19194.099999999999</v>
      </c>
      <c r="G186" s="54">
        <f t="shared" si="24"/>
        <v>2.8265412748170607E-3</v>
      </c>
      <c r="K186" s="6"/>
      <c r="L186" s="7"/>
      <c r="W186" s="2">
        <v>45357</v>
      </c>
      <c r="X186" s="3">
        <v>1488</v>
      </c>
      <c r="Y186" s="1">
        <f t="shared" si="21"/>
        <v>6.1532219893163376E-3</v>
      </c>
      <c r="Z186" s="1"/>
      <c r="AA186" s="1"/>
      <c r="AB186" s="1"/>
      <c r="AC186" s="1"/>
      <c r="AD186" s="1"/>
      <c r="AE186" s="1"/>
      <c r="AF186" s="1"/>
      <c r="AG186" s="1"/>
      <c r="AH186" s="1"/>
      <c r="AI186" s="1"/>
      <c r="AJ186" s="1"/>
      <c r="AK186" s="1"/>
    </row>
    <row r="187" spans="1:37">
      <c r="A187" s="50">
        <v>45357</v>
      </c>
      <c r="B187" s="51">
        <v>1262.93</v>
      </c>
      <c r="C187" s="52">
        <f t="shared" si="22"/>
        <v>1.8006441070550201E-3</v>
      </c>
      <c r="D187" s="53">
        <v>22474.05</v>
      </c>
      <c r="E187" s="54">
        <f t="shared" si="23"/>
        <v>5.2669717260906326E-3</v>
      </c>
      <c r="F187" s="55">
        <v>19140</v>
      </c>
      <c r="G187" s="54">
        <f t="shared" si="24"/>
        <v>6.3885164445145514E-3</v>
      </c>
      <c r="K187" s="6"/>
      <c r="L187" s="7"/>
      <c r="W187" s="2">
        <v>45356</v>
      </c>
      <c r="X187" s="3">
        <v>1478.9</v>
      </c>
      <c r="Y187" s="1">
        <f t="shared" si="21"/>
        <v>4.6874999999999556E-3</v>
      </c>
      <c r="Z187" s="1"/>
      <c r="AA187" s="1"/>
      <c r="AB187" s="1"/>
      <c r="AC187" s="1"/>
      <c r="AD187" s="1"/>
      <c r="AE187" s="1"/>
      <c r="AF187" s="1"/>
      <c r="AG187" s="1"/>
      <c r="AH187" s="1"/>
      <c r="AI187" s="1"/>
      <c r="AJ187" s="1"/>
      <c r="AK187" s="1"/>
    </row>
    <row r="188" spans="1:37">
      <c r="A188" s="50">
        <v>45356</v>
      </c>
      <c r="B188" s="51">
        <v>1260.6600000000001</v>
      </c>
      <c r="C188" s="52">
        <f t="shared" si="22"/>
        <v>-5.0196524127479438E-3</v>
      </c>
      <c r="D188" s="53">
        <v>22356.3</v>
      </c>
      <c r="E188" s="54">
        <f t="shared" si="23"/>
        <v>-2.2003427714499622E-3</v>
      </c>
      <c r="F188" s="55">
        <v>19018.5</v>
      </c>
      <c r="G188" s="54">
        <f t="shared" si="24"/>
        <v>3.0748620795138905E-3</v>
      </c>
      <c r="K188" s="6"/>
      <c r="L188" s="7"/>
      <c r="W188" s="2">
        <v>45355</v>
      </c>
      <c r="X188" s="3">
        <v>1472</v>
      </c>
      <c r="Y188" s="1">
        <f t="shared" si="21"/>
        <v>3.37411812821653E-3</v>
      </c>
      <c r="Z188" s="1"/>
      <c r="AA188" s="1"/>
      <c r="AB188" s="1"/>
      <c r="AC188" s="1"/>
      <c r="AD188" s="1"/>
      <c r="AE188" s="1"/>
      <c r="AF188" s="1"/>
      <c r="AG188" s="1"/>
      <c r="AH188" s="1"/>
      <c r="AI188" s="1"/>
      <c r="AJ188" s="1"/>
      <c r="AK188" s="1"/>
    </row>
    <row r="189" spans="1:37">
      <c r="A189" s="50">
        <v>45355</v>
      </c>
      <c r="B189" s="51">
        <v>1267.02</v>
      </c>
      <c r="C189" s="52">
        <f t="shared" si="22"/>
        <v>1.5419384827453565E-2</v>
      </c>
      <c r="D189" s="53">
        <v>22405.599999999999</v>
      </c>
      <c r="E189" s="54">
        <f t="shared" si="23"/>
        <v>2.9925577751664057E-3</v>
      </c>
      <c r="F189" s="55">
        <v>18960.2</v>
      </c>
      <c r="G189" s="54">
        <f t="shared" si="24"/>
        <v>2.8906855394316196E-3</v>
      </c>
      <c r="K189" s="6"/>
      <c r="L189" s="7"/>
      <c r="W189" s="2">
        <v>45352</v>
      </c>
      <c r="X189" s="3">
        <v>1467.05</v>
      </c>
      <c r="Y189" s="1">
        <f t="shared" si="21"/>
        <v>-5.2886734244159683E-3</v>
      </c>
      <c r="Z189" s="1"/>
      <c r="AA189" s="1"/>
      <c r="AB189" s="1"/>
      <c r="AC189" s="1"/>
      <c r="AD189" s="1"/>
      <c r="AE189" s="1"/>
      <c r="AF189" s="1"/>
      <c r="AG189" s="1"/>
      <c r="AH189" s="1"/>
      <c r="AI189" s="1"/>
      <c r="AJ189" s="1"/>
      <c r="AK189" s="1"/>
    </row>
    <row r="190" spans="1:37">
      <c r="A190" s="50">
        <v>45353</v>
      </c>
      <c r="B190" s="51">
        <v>1247.78</v>
      </c>
      <c r="C190" s="52">
        <f t="shared" si="22"/>
        <v>7.3221335098610134E-3</v>
      </c>
      <c r="D190" s="53">
        <v>22338.75</v>
      </c>
      <c r="E190" s="54">
        <f t="shared" si="23"/>
        <v>1.6192204814673324E-2</v>
      </c>
      <c r="F190" s="55">
        <v>18905.55</v>
      </c>
      <c r="G190" s="54">
        <f t="shared" si="24"/>
        <v>4.4229451236033855E-3</v>
      </c>
      <c r="K190" s="6"/>
      <c r="L190" s="7"/>
      <c r="W190" s="2">
        <v>45351</v>
      </c>
      <c r="X190" s="3">
        <v>1474.85</v>
      </c>
      <c r="Y190" s="1">
        <f t="shared" si="21"/>
        <v>1.1539897498555884E-3</v>
      </c>
      <c r="Z190" s="1"/>
      <c r="AA190" s="1"/>
      <c r="AB190" s="1"/>
      <c r="AC190" s="1"/>
      <c r="AD190" s="1"/>
      <c r="AE190" s="1"/>
      <c r="AF190" s="1"/>
      <c r="AG190" s="1"/>
      <c r="AH190" s="1"/>
      <c r="AI190" s="1"/>
      <c r="AJ190" s="1"/>
      <c r="AK190" s="1"/>
    </row>
    <row r="191" spans="1:37">
      <c r="A191" s="50">
        <v>45352</v>
      </c>
      <c r="B191" s="51">
        <v>1238.71</v>
      </c>
      <c r="C191" s="52">
        <f t="shared" si="22"/>
        <v>-3.5910806708954253E-2</v>
      </c>
      <c r="D191" s="53">
        <v>21982.799999999999</v>
      </c>
      <c r="E191" s="54">
        <f t="shared" si="23"/>
        <v>1.4418378991532478E-3</v>
      </c>
      <c r="F191" s="55">
        <v>18822.3</v>
      </c>
      <c r="G191" s="54">
        <f t="shared" si="24"/>
        <v>-9.51684326019645E-3</v>
      </c>
      <c r="K191" s="6"/>
      <c r="L191" s="7"/>
      <c r="W191" s="2">
        <v>45350</v>
      </c>
      <c r="X191" s="3">
        <v>1473.15</v>
      </c>
      <c r="Y191" s="1">
        <f t="shared" si="21"/>
        <v>-1.1673543322934354E-2</v>
      </c>
      <c r="Z191" s="1"/>
      <c r="AA191" s="1"/>
      <c r="AB191" s="1"/>
      <c r="AC191" s="1"/>
      <c r="AD191" s="1"/>
      <c r="AE191" s="1"/>
      <c r="AF191" s="1"/>
      <c r="AG191" s="1"/>
      <c r="AH191" s="1"/>
      <c r="AI191" s="1"/>
      <c r="AJ191" s="1"/>
      <c r="AK191" s="1"/>
    </row>
    <row r="192" spans="1:37">
      <c r="A192" s="50">
        <v>45351</v>
      </c>
      <c r="B192" s="51">
        <v>1284.8499999999999</v>
      </c>
      <c r="C192" s="52">
        <f t="shared" si="22"/>
        <v>-5.9115906067935917E-4</v>
      </c>
      <c r="D192" s="53">
        <v>21951.15</v>
      </c>
      <c r="E192" s="54">
        <f t="shared" si="23"/>
        <v>-1.1135962808046414E-2</v>
      </c>
      <c r="F192" s="55">
        <v>19003.150000000001</v>
      </c>
      <c r="G192" s="54">
        <f t="shared" si="24"/>
        <v>3.1991468941616722E-3</v>
      </c>
      <c r="K192" s="6"/>
      <c r="L192" s="7"/>
      <c r="W192" s="2">
        <v>45349</v>
      </c>
      <c r="X192" s="3">
        <v>1490.55</v>
      </c>
      <c r="Y192" s="1">
        <f t="shared" si="21"/>
        <v>1.6746248294679411E-2</v>
      </c>
      <c r="Z192" s="1"/>
      <c r="AA192" s="1"/>
      <c r="AB192" s="1"/>
      <c r="AC192" s="1"/>
      <c r="AD192" s="1"/>
      <c r="AE192" s="1"/>
      <c r="AF192" s="1"/>
      <c r="AG192" s="1"/>
      <c r="AH192" s="1"/>
      <c r="AI192" s="1"/>
      <c r="AJ192" s="1"/>
      <c r="AK192" s="1"/>
    </row>
    <row r="193" spans="1:37">
      <c r="A193" s="50">
        <v>45350</v>
      </c>
      <c r="B193" s="51">
        <v>1285.6099999999999</v>
      </c>
      <c r="C193" s="52">
        <f t="shared" si="22"/>
        <v>-3.3412924832549092E-3</v>
      </c>
      <c r="D193" s="53">
        <v>22198.35</v>
      </c>
      <c r="E193" s="54">
        <f t="shared" si="23"/>
        <v>3.449047443613918E-3</v>
      </c>
      <c r="F193" s="55">
        <v>18942.55</v>
      </c>
      <c r="G193" s="54">
        <f t="shared" si="24"/>
        <v>-6.3810702783227962E-3</v>
      </c>
      <c r="K193" s="6"/>
      <c r="L193" s="7"/>
      <c r="W193" s="2">
        <v>45348</v>
      </c>
      <c r="X193" s="3">
        <v>1466</v>
      </c>
      <c r="Y193" s="1">
        <f t="shared" si="21"/>
        <v>7.1674801187748827E-4</v>
      </c>
      <c r="Z193" s="1"/>
      <c r="AA193" s="1"/>
      <c r="AB193" s="1"/>
      <c r="AC193" s="1"/>
      <c r="AD193" s="1"/>
      <c r="AE193" s="1"/>
      <c r="AF193" s="1"/>
      <c r="AG193" s="1"/>
      <c r="AH193" s="1"/>
      <c r="AI193" s="1"/>
      <c r="AJ193" s="1"/>
      <c r="AK193" s="1"/>
    </row>
    <row r="194" spans="1:37">
      <c r="A194" s="50">
        <v>45349</v>
      </c>
      <c r="B194" s="51">
        <v>1289.92</v>
      </c>
      <c r="C194" s="52">
        <f t="shared" si="22"/>
        <v>1.3740635795520565E-3</v>
      </c>
      <c r="D194" s="53">
        <v>22122.05</v>
      </c>
      <c r="E194" s="54">
        <f t="shared" si="23"/>
        <v>-4.08099870794642E-3</v>
      </c>
      <c r="F194" s="55">
        <v>19064.2</v>
      </c>
      <c r="G194" s="54">
        <f t="shared" si="24"/>
        <v>5.6840811438850624E-3</v>
      </c>
      <c r="K194" s="6"/>
      <c r="L194" s="7"/>
      <c r="W194" s="2">
        <v>45345</v>
      </c>
      <c r="X194" s="3">
        <v>1464.95</v>
      </c>
      <c r="Y194" s="1">
        <f t="shared" si="21"/>
        <v>1.1740736903898652E-2</v>
      </c>
      <c r="Z194" s="1"/>
      <c r="AA194" s="1"/>
      <c r="AB194" s="1"/>
      <c r="AC194" s="1"/>
      <c r="AD194" s="1"/>
      <c r="AE194" s="1"/>
      <c r="AF194" s="1"/>
      <c r="AG194" s="1"/>
      <c r="AH194" s="1"/>
      <c r="AI194" s="1"/>
      <c r="AJ194" s="1"/>
      <c r="AK194" s="1"/>
    </row>
    <row r="195" spans="1:37">
      <c r="A195" s="50">
        <v>45348</v>
      </c>
      <c r="B195" s="51">
        <v>1288.1500000000001</v>
      </c>
      <c r="C195" s="52">
        <f t="shared" si="22"/>
        <v>-2.1731875227988537E-4</v>
      </c>
      <c r="D195" s="53">
        <v>22212.7</v>
      </c>
      <c r="E195" s="54">
        <f t="shared" si="23"/>
        <v>-2.1379591267224637E-4</v>
      </c>
      <c r="F195" s="55">
        <v>18956.45</v>
      </c>
      <c r="G195" s="54">
        <f t="shared" si="24"/>
        <v>-4.8271770857395225E-3</v>
      </c>
      <c r="K195" s="6"/>
      <c r="L195" s="7"/>
      <c r="W195" s="2">
        <v>45344</v>
      </c>
      <c r="X195" s="3">
        <v>1447.95</v>
      </c>
      <c r="Y195" s="1">
        <f t="shared" si="21"/>
        <v>0</v>
      </c>
      <c r="Z195" s="1"/>
      <c r="AA195" s="1"/>
      <c r="AB195" s="1"/>
      <c r="AC195" s="1"/>
      <c r="AD195" s="1"/>
      <c r="AE195" s="1"/>
      <c r="AF195" s="1"/>
      <c r="AG195" s="1"/>
      <c r="AH195" s="1"/>
      <c r="AI195" s="1"/>
      <c r="AJ195" s="1"/>
      <c r="AK195" s="1"/>
    </row>
    <row r="196" spans="1:37">
      <c r="A196" s="50">
        <v>45345</v>
      </c>
      <c r="B196" s="51">
        <v>1288.43</v>
      </c>
      <c r="C196" s="52">
        <f t="shared" si="22"/>
        <v>1.2287965807399572E-2</v>
      </c>
      <c r="D196" s="53">
        <v>22217.45</v>
      </c>
      <c r="E196" s="54">
        <f t="shared" si="23"/>
        <v>7.3633929644231801E-3</v>
      </c>
      <c r="F196" s="55">
        <v>19048.400000000001</v>
      </c>
      <c r="G196" s="54">
        <f t="shared" si="24"/>
        <v>4.1619551436652474E-3</v>
      </c>
      <c r="K196" s="6"/>
      <c r="L196" s="7"/>
      <c r="W196" s="2">
        <v>45343</v>
      </c>
      <c r="X196" s="3">
        <v>1447.95</v>
      </c>
      <c r="Y196" s="1">
        <f t="shared" si="21"/>
        <v>-1.4137931034482465E-3</v>
      </c>
      <c r="Z196" s="1"/>
      <c r="AA196" s="1"/>
      <c r="AB196" s="1"/>
      <c r="AC196" s="1"/>
      <c r="AD196" s="1"/>
      <c r="AE196" s="1"/>
      <c r="AF196" s="1"/>
      <c r="AG196" s="1"/>
      <c r="AH196" s="1"/>
      <c r="AI196" s="1"/>
      <c r="AJ196" s="1"/>
      <c r="AK196" s="1"/>
    </row>
    <row r="197" spans="1:37">
      <c r="A197" s="50">
        <v>45344</v>
      </c>
      <c r="B197" s="51">
        <v>1272.79</v>
      </c>
      <c r="C197" s="52">
        <f t="shared" si="22"/>
        <v>2.331020687808633E-3</v>
      </c>
      <c r="D197" s="53">
        <v>22055.05</v>
      </c>
      <c r="E197" s="54">
        <f t="shared" si="23"/>
        <v>-6.3927701778848647E-3</v>
      </c>
      <c r="F197" s="55">
        <v>18969.45</v>
      </c>
      <c r="G197" s="54">
        <f t="shared" si="24"/>
        <v>2.8017942055723983E-3</v>
      </c>
      <c r="K197" s="6"/>
      <c r="L197" s="7"/>
      <c r="W197" s="2">
        <v>45342</v>
      </c>
      <c r="X197" s="3">
        <v>1450</v>
      </c>
      <c r="Y197" s="1">
        <f t="shared" si="21"/>
        <v>-1.4510483569510901E-2</v>
      </c>
      <c r="Z197" s="1"/>
      <c r="AA197" s="1"/>
      <c r="AB197" s="1"/>
      <c r="AC197" s="1"/>
      <c r="AD197" s="1"/>
      <c r="AE197" s="1"/>
      <c r="AF197" s="1"/>
      <c r="AG197" s="1"/>
      <c r="AH197" s="1"/>
      <c r="AI197" s="1"/>
      <c r="AJ197" s="1"/>
      <c r="AK197" s="1"/>
    </row>
    <row r="198" spans="1:37">
      <c r="A198" s="50">
        <v>45343</v>
      </c>
      <c r="B198" s="51">
        <v>1269.83</v>
      </c>
      <c r="C198" s="52">
        <f t="shared" si="22"/>
        <v>-4.2111041405270685E-3</v>
      </c>
      <c r="D198" s="53">
        <v>22196.95</v>
      </c>
      <c r="E198" s="54">
        <f t="shared" si="23"/>
        <v>3.376690888133021E-3</v>
      </c>
      <c r="F198" s="55">
        <v>18916.45</v>
      </c>
      <c r="G198" s="54">
        <f t="shared" si="24"/>
        <v>-4.0304322645184684E-3</v>
      </c>
      <c r="K198" s="6"/>
      <c r="L198" s="7"/>
      <c r="W198" s="2">
        <v>45341</v>
      </c>
      <c r="X198" s="3">
        <v>1471.35</v>
      </c>
      <c r="Y198" s="1">
        <f t="shared" si="21"/>
        <v>2.1061762664815964E-2</v>
      </c>
      <c r="Z198" s="1"/>
      <c r="AA198" s="1"/>
      <c r="AB198" s="1"/>
      <c r="AC198" s="1"/>
      <c r="AD198" s="1"/>
      <c r="AE198" s="1"/>
      <c r="AF198" s="1"/>
      <c r="AG198" s="1"/>
      <c r="AH198" s="1"/>
      <c r="AI198" s="1"/>
      <c r="AJ198" s="1"/>
      <c r="AK198" s="1"/>
    </row>
    <row r="199" spans="1:37">
      <c r="A199" s="50">
        <v>45342</v>
      </c>
      <c r="B199" s="51">
        <v>1275.2</v>
      </c>
      <c r="C199" s="52">
        <f t="shared" si="22"/>
        <v>-6.4125039932057207E-3</v>
      </c>
      <c r="D199" s="53">
        <v>22122.25</v>
      </c>
      <c r="E199" s="54">
        <f t="shared" si="23"/>
        <v>3.6999732313401693E-3</v>
      </c>
      <c r="F199" s="55">
        <v>18993</v>
      </c>
      <c r="G199" s="54">
        <f t="shared" si="24"/>
        <v>-2.3479727067870974E-3</v>
      </c>
      <c r="K199" s="6"/>
      <c r="L199" s="7"/>
      <c r="W199" s="2">
        <v>45338</v>
      </c>
      <c r="X199" s="3">
        <v>1441</v>
      </c>
      <c r="Y199" s="1">
        <f t="shared" si="21"/>
        <v>1.1263553107126567E-2</v>
      </c>
      <c r="Z199" s="1"/>
      <c r="AA199" s="1"/>
      <c r="AB199" s="1"/>
      <c r="AC199" s="1"/>
      <c r="AD199" s="1"/>
      <c r="AE199" s="1"/>
      <c r="AF199" s="1"/>
      <c r="AG199" s="1"/>
      <c r="AH199" s="1"/>
      <c r="AI199" s="1"/>
      <c r="AJ199" s="1"/>
      <c r="AK199" s="1"/>
    </row>
    <row r="200" spans="1:37">
      <c r="A200" s="50">
        <v>45341</v>
      </c>
      <c r="B200" s="51">
        <v>1283.43</v>
      </c>
      <c r="C200" s="52">
        <f t="shared" si="22"/>
        <v>1.5829923304021592E-2</v>
      </c>
      <c r="D200" s="53">
        <v>22040.7</v>
      </c>
      <c r="E200" s="54">
        <f t="shared" si="23"/>
        <v>5.9308786782743964E-3</v>
      </c>
      <c r="F200" s="55">
        <v>19037.7</v>
      </c>
      <c r="G200" s="54">
        <f t="shared" si="24"/>
        <v>8.8443521207368769E-3</v>
      </c>
      <c r="K200" s="6"/>
      <c r="L200" s="7"/>
      <c r="W200" s="2">
        <v>45337</v>
      </c>
      <c r="X200" s="3">
        <v>1424.95</v>
      </c>
      <c r="Y200" s="1">
        <f t="shared" si="21"/>
        <v>1.0537777933892212E-3</v>
      </c>
      <c r="Z200" s="1"/>
      <c r="AA200" s="1"/>
      <c r="AB200" s="1"/>
      <c r="AC200" s="1"/>
      <c r="AD200" s="1"/>
      <c r="AE200" s="1"/>
      <c r="AF200" s="1"/>
      <c r="AG200" s="1"/>
      <c r="AH200" s="1"/>
      <c r="AI200" s="1"/>
      <c r="AJ200" s="1"/>
      <c r="AK200" s="1"/>
    </row>
    <row r="201" spans="1:37">
      <c r="A201" s="50">
        <v>45338</v>
      </c>
      <c r="B201" s="51">
        <v>1263.43</v>
      </c>
      <c r="C201" s="52">
        <f t="shared" si="22"/>
        <v>1.0315626174502084E-2</v>
      </c>
      <c r="D201" s="53">
        <v>21910.75</v>
      </c>
      <c r="E201" s="54">
        <f t="shared" si="23"/>
        <v>3.2371720760712877E-3</v>
      </c>
      <c r="F201" s="55">
        <v>18870.8</v>
      </c>
      <c r="G201" s="54">
        <f t="shared" si="24"/>
        <v>1.6324046597047483E-2</v>
      </c>
      <c r="K201" s="6"/>
      <c r="L201" s="7"/>
      <c r="W201" s="2">
        <v>45336</v>
      </c>
      <c r="X201" s="3">
        <v>1423.45</v>
      </c>
      <c r="Y201" s="1">
        <f t="shared" ref="Y201:Y259" si="25">X201/X202-1</f>
        <v>-2.0472061657032747E-2</v>
      </c>
      <c r="Z201" s="1"/>
      <c r="AA201" s="1"/>
      <c r="AB201" s="1"/>
      <c r="AC201" s="1"/>
      <c r="AD201" s="1"/>
      <c r="AE201" s="1"/>
      <c r="AF201" s="1"/>
      <c r="AG201" s="1"/>
      <c r="AH201" s="1"/>
      <c r="AI201" s="1"/>
      <c r="AJ201" s="1"/>
      <c r="AK201" s="1"/>
    </row>
    <row r="202" spans="1:37">
      <c r="A202" s="50">
        <v>45337</v>
      </c>
      <c r="B202" s="51">
        <v>1250.53</v>
      </c>
      <c r="C202" s="52">
        <f t="shared" ref="C202:C265" si="26">(B202-B203)/B203</f>
        <v>-9.1078319365335905E-4</v>
      </c>
      <c r="D202" s="53">
        <v>21840.05</v>
      </c>
      <c r="E202" s="54">
        <f t="shared" ref="E202:E265" si="27">(D202-D203)/D203</f>
        <v>4.4519563542708323E-3</v>
      </c>
      <c r="F202" s="55">
        <v>18567.7</v>
      </c>
      <c r="G202" s="54">
        <f t="shared" ref="G202:G265" si="28">(F202-F203)/F203</f>
        <v>-8.9591511137047128E-4</v>
      </c>
      <c r="K202" s="6"/>
      <c r="L202" s="7"/>
      <c r="W202" s="2">
        <v>45335</v>
      </c>
      <c r="X202" s="3">
        <v>1453.2</v>
      </c>
      <c r="Y202" s="1">
        <f t="shared" si="25"/>
        <v>1.6223776223776243E-2</v>
      </c>
      <c r="Z202" s="1"/>
      <c r="AA202" s="1"/>
      <c r="AB202" s="1"/>
      <c r="AC202" s="1"/>
      <c r="AD202" s="1"/>
      <c r="AE202" s="1"/>
      <c r="AF202" s="1"/>
      <c r="AG202" s="1"/>
      <c r="AH202" s="1"/>
      <c r="AI202" s="1"/>
      <c r="AJ202" s="1"/>
      <c r="AK202" s="1"/>
    </row>
    <row r="203" spans="1:37">
      <c r="A203" s="50">
        <v>45336</v>
      </c>
      <c r="B203" s="51">
        <v>1251.67</v>
      </c>
      <c r="C203" s="52">
        <f t="shared" si="26"/>
        <v>-1.2154024639522571E-2</v>
      </c>
      <c r="D203" s="53">
        <v>21743.25</v>
      </c>
      <c r="E203" s="54">
        <f t="shared" si="27"/>
        <v>5.8845163663111778E-3</v>
      </c>
      <c r="F203" s="55">
        <v>18584.349999999999</v>
      </c>
      <c r="G203" s="54">
        <f t="shared" si="28"/>
        <v>-9.0434281844625885E-3</v>
      </c>
      <c r="K203" s="6"/>
      <c r="L203" s="7"/>
      <c r="W203" s="2">
        <v>45334</v>
      </c>
      <c r="X203" s="3">
        <v>1430</v>
      </c>
      <c r="Y203" s="1">
        <f t="shared" si="25"/>
        <v>-8.3217753120665705E-3</v>
      </c>
      <c r="Z203" s="1"/>
      <c r="AA203" s="1"/>
      <c r="AB203" s="1"/>
      <c r="AC203" s="1"/>
      <c r="AD203" s="1"/>
      <c r="AE203" s="1"/>
      <c r="AF203" s="1"/>
      <c r="AG203" s="1"/>
      <c r="AH203" s="1"/>
      <c r="AI203" s="1"/>
      <c r="AJ203" s="1"/>
      <c r="AK203" s="1"/>
    </row>
    <row r="204" spans="1:37">
      <c r="A204" s="50">
        <v>45335</v>
      </c>
      <c r="B204" s="51">
        <v>1267.07</v>
      </c>
      <c r="C204" s="52">
        <f t="shared" si="26"/>
        <v>2.9209757637948278E-4</v>
      </c>
      <c r="D204" s="53">
        <v>21616.05</v>
      </c>
      <c r="E204" s="54">
        <f t="shared" si="27"/>
        <v>-7.6414552966831504E-3</v>
      </c>
      <c r="F204" s="55">
        <v>18753.95</v>
      </c>
      <c r="G204" s="54">
        <f t="shared" si="28"/>
        <v>4.5207302800550336E-3</v>
      </c>
      <c r="K204" s="6"/>
      <c r="L204" s="7"/>
      <c r="W204" s="2">
        <v>45331</v>
      </c>
      <c r="X204" s="3">
        <v>1442</v>
      </c>
      <c r="Y204" s="1">
        <f t="shared" si="25"/>
        <v>1.2427157200028072E-2</v>
      </c>
      <c r="Z204" s="1"/>
      <c r="AA204" s="1"/>
      <c r="AB204" s="1"/>
      <c r="AC204" s="1"/>
      <c r="AD204" s="1"/>
      <c r="AE204" s="1"/>
      <c r="AF204" s="1"/>
      <c r="AG204" s="1"/>
      <c r="AH204" s="1"/>
      <c r="AI204" s="1"/>
      <c r="AJ204" s="1"/>
      <c r="AK204" s="1"/>
    </row>
    <row r="205" spans="1:37">
      <c r="A205" s="50">
        <v>45334</v>
      </c>
      <c r="B205" s="51">
        <v>1266.7</v>
      </c>
      <c r="C205" s="52">
        <f t="shared" si="26"/>
        <v>2.8858727876735116E-2</v>
      </c>
      <c r="D205" s="53">
        <v>21782.5</v>
      </c>
      <c r="E205" s="54">
        <f t="shared" si="27"/>
        <v>2.9721958103780177E-3</v>
      </c>
      <c r="F205" s="55">
        <v>18669.55</v>
      </c>
      <c r="G205" s="54">
        <f t="shared" si="28"/>
        <v>2.8173023725500067E-3</v>
      </c>
      <c r="K205" s="6"/>
      <c r="L205" s="7"/>
      <c r="W205" s="2">
        <v>45330</v>
      </c>
      <c r="X205" s="3">
        <v>1424.3</v>
      </c>
      <c r="Y205" s="1">
        <f t="shared" si="25"/>
        <v>-9.5271210013908592E-3</v>
      </c>
      <c r="Z205" s="1"/>
      <c r="AA205" s="1"/>
      <c r="AB205" s="1"/>
      <c r="AC205" s="1"/>
      <c r="AD205" s="1"/>
      <c r="AE205" s="1"/>
      <c r="AF205" s="1"/>
      <c r="AG205" s="1"/>
      <c r="AH205" s="1"/>
      <c r="AI205" s="1"/>
      <c r="AJ205" s="1"/>
      <c r="AK205" s="1"/>
    </row>
    <row r="206" spans="1:37">
      <c r="A206" s="50">
        <v>45331</v>
      </c>
      <c r="B206" s="51">
        <v>1231.17</v>
      </c>
      <c r="C206" s="52">
        <f t="shared" si="26"/>
        <v>-6.8181264762454705E-4</v>
      </c>
      <c r="D206" s="53">
        <v>21717.95</v>
      </c>
      <c r="E206" s="54">
        <f t="shared" si="27"/>
        <v>-9.6919814869701679E-3</v>
      </c>
      <c r="F206" s="55">
        <v>18617.099999999999</v>
      </c>
      <c r="G206" s="54">
        <f t="shared" si="28"/>
        <v>5.2266971917301168E-3</v>
      </c>
      <c r="K206" s="6"/>
      <c r="L206" s="7"/>
      <c r="W206" s="2">
        <v>45329</v>
      </c>
      <c r="X206" s="3">
        <v>1438</v>
      </c>
      <c r="Y206" s="1">
        <f t="shared" si="25"/>
        <v>9.8314606741574107E-3</v>
      </c>
      <c r="Z206" s="1"/>
      <c r="AA206" s="1"/>
      <c r="AB206" s="1"/>
      <c r="AC206" s="1"/>
      <c r="AD206" s="1"/>
      <c r="AE206" s="1"/>
      <c r="AF206" s="1"/>
      <c r="AG206" s="1"/>
      <c r="AH206" s="1"/>
      <c r="AI206" s="1"/>
      <c r="AJ206" s="1"/>
      <c r="AK206" s="1"/>
    </row>
    <row r="207" spans="1:37">
      <c r="A207" s="50">
        <v>45330</v>
      </c>
      <c r="B207" s="51">
        <v>1232.01</v>
      </c>
      <c r="C207" s="52">
        <f t="shared" si="26"/>
        <v>-3.1878312229459559E-3</v>
      </c>
      <c r="D207" s="53">
        <v>21930.5</v>
      </c>
      <c r="E207" s="54">
        <f t="shared" si="27"/>
        <v>5.016097111633445E-5</v>
      </c>
      <c r="F207" s="55">
        <v>18520.3</v>
      </c>
      <c r="G207" s="54">
        <f t="shared" si="28"/>
        <v>-2.3996962000769882E-3</v>
      </c>
      <c r="K207" s="6"/>
      <c r="L207" s="7"/>
      <c r="W207" s="2">
        <v>45328</v>
      </c>
      <c r="X207" s="3">
        <v>1424</v>
      </c>
      <c r="Y207" s="1">
        <f t="shared" si="25"/>
        <v>-5.8642837196314357E-3</v>
      </c>
      <c r="Z207" s="1"/>
      <c r="AA207" s="1"/>
      <c r="AB207" s="1"/>
      <c r="AC207" s="1"/>
      <c r="AD207" s="1"/>
      <c r="AE207" s="1"/>
      <c r="AF207" s="1"/>
      <c r="AG207" s="1"/>
      <c r="AH207" s="1"/>
      <c r="AI207" s="1"/>
      <c r="AJ207" s="1"/>
      <c r="AK207" s="1"/>
    </row>
    <row r="208" spans="1:37">
      <c r="A208" s="50">
        <v>45329</v>
      </c>
      <c r="B208" s="51">
        <v>1235.95</v>
      </c>
      <c r="C208" s="52">
        <f t="shared" si="26"/>
        <v>2.1324554860053429E-3</v>
      </c>
      <c r="D208" s="53">
        <v>21929.4</v>
      </c>
      <c r="E208" s="54">
        <f t="shared" si="27"/>
        <v>7.2433480160024582E-3</v>
      </c>
      <c r="F208" s="55">
        <v>18564.849999999999</v>
      </c>
      <c r="G208" s="54">
        <f t="shared" si="28"/>
        <v>4.1540346331819349E-3</v>
      </c>
      <c r="K208" s="6"/>
      <c r="L208" s="7"/>
      <c r="W208" s="2">
        <v>45327</v>
      </c>
      <c r="X208" s="3">
        <v>1432.4</v>
      </c>
      <c r="Y208" s="1">
        <f t="shared" si="25"/>
        <v>2.9762760603882166E-2</v>
      </c>
      <c r="Z208" s="1"/>
      <c r="AA208" s="1"/>
      <c r="AB208" s="1"/>
      <c r="AC208" s="1"/>
      <c r="AD208" s="1"/>
      <c r="AE208" s="1"/>
      <c r="AF208" s="1"/>
      <c r="AG208" s="1"/>
      <c r="AH208" s="1"/>
      <c r="AI208" s="1"/>
      <c r="AJ208" s="1"/>
      <c r="AK208" s="1"/>
    </row>
    <row r="209" spans="1:37">
      <c r="A209" s="50">
        <v>45328</v>
      </c>
      <c r="B209" s="51">
        <v>1233.32</v>
      </c>
      <c r="C209" s="52">
        <f t="shared" si="26"/>
        <v>1.1838640074165704E-2</v>
      </c>
      <c r="D209" s="53">
        <v>21771.7</v>
      </c>
      <c r="E209" s="54">
        <f t="shared" si="27"/>
        <v>-3.7567837172481923E-3</v>
      </c>
      <c r="F209" s="55">
        <v>18488.05</v>
      </c>
      <c r="G209" s="54">
        <f t="shared" si="28"/>
        <v>1.066531095312667E-2</v>
      </c>
      <c r="K209" s="6"/>
      <c r="L209" s="7"/>
      <c r="W209" s="2">
        <v>45324</v>
      </c>
      <c r="X209" s="3">
        <v>1391</v>
      </c>
      <c r="Y209" s="1">
        <f t="shared" si="25"/>
        <v>5.1304284991688931E-3</v>
      </c>
      <c r="Z209" s="1"/>
      <c r="AA209" s="1"/>
      <c r="AB209" s="1"/>
      <c r="AC209" s="1"/>
      <c r="AD209" s="1"/>
      <c r="AE209" s="1"/>
      <c r="AF209" s="1"/>
      <c r="AG209" s="1"/>
      <c r="AH209" s="1"/>
      <c r="AI209" s="1"/>
      <c r="AJ209" s="1"/>
      <c r="AK209" s="1"/>
    </row>
    <row r="210" spans="1:37">
      <c r="A210" s="50">
        <v>45327</v>
      </c>
      <c r="B210" s="51">
        <v>1218.8900000000001</v>
      </c>
      <c r="C210" s="52">
        <f t="shared" si="26"/>
        <v>9.0984353009355146E-3</v>
      </c>
      <c r="D210" s="53">
        <v>21853.8</v>
      </c>
      <c r="E210" s="54">
        <f t="shared" si="27"/>
        <v>7.2059159025599107E-3</v>
      </c>
      <c r="F210" s="55">
        <v>18292.95</v>
      </c>
      <c r="G210" s="54">
        <f t="shared" si="28"/>
        <v>1.7852671641043739E-2</v>
      </c>
      <c r="K210" s="6"/>
      <c r="L210" s="7"/>
      <c r="W210" s="2">
        <v>45323</v>
      </c>
      <c r="X210" s="3">
        <v>1383.9</v>
      </c>
      <c r="Y210" s="1">
        <f t="shared" si="25"/>
        <v>2.3594674556213002E-2</v>
      </c>
      <c r="Z210" s="1"/>
      <c r="AA210" s="1"/>
      <c r="AB210" s="1"/>
      <c r="AC210" s="1"/>
      <c r="AD210" s="1"/>
      <c r="AE210" s="1"/>
      <c r="AF210" s="1"/>
      <c r="AG210" s="1"/>
      <c r="AH210" s="1"/>
      <c r="AI210" s="1"/>
      <c r="AJ210" s="1"/>
      <c r="AK210" s="1"/>
    </row>
    <row r="211" spans="1:37">
      <c r="A211" s="50">
        <v>45324</v>
      </c>
      <c r="B211" s="51">
        <v>1207.9000000000001</v>
      </c>
      <c r="C211" s="52">
        <f t="shared" si="26"/>
        <v>7.7338294552947787E-3</v>
      </c>
      <c r="D211" s="53">
        <v>21697.45</v>
      </c>
      <c r="E211" s="54">
        <f t="shared" si="27"/>
        <v>-1.3003033273956651E-3</v>
      </c>
      <c r="F211" s="55">
        <v>17972.099999999999</v>
      </c>
      <c r="G211" s="54">
        <f t="shared" si="28"/>
        <v>7.4498856450960702E-3</v>
      </c>
      <c r="K211" s="6"/>
      <c r="L211" s="7"/>
      <c r="W211" s="2">
        <v>45322</v>
      </c>
      <c r="X211" s="3">
        <v>1352</v>
      </c>
      <c r="Y211" s="1">
        <f t="shared" si="25"/>
        <v>2.5796661608497695E-2</v>
      </c>
      <c r="Z211" s="1"/>
      <c r="AA211" s="1"/>
      <c r="AB211" s="1"/>
      <c r="AC211" s="1"/>
      <c r="AD211" s="1"/>
      <c r="AE211" s="1"/>
      <c r="AF211" s="1"/>
      <c r="AG211" s="1"/>
      <c r="AH211" s="1"/>
      <c r="AI211" s="1"/>
      <c r="AJ211" s="1"/>
      <c r="AK211" s="1"/>
    </row>
    <row r="212" spans="1:37">
      <c r="A212" s="50">
        <v>45323</v>
      </c>
      <c r="B212" s="51">
        <v>1198.6300000000001</v>
      </c>
      <c r="C212" s="52">
        <f t="shared" si="26"/>
        <v>-2.0911103305751296E-2</v>
      </c>
      <c r="D212" s="53">
        <v>21725.7</v>
      </c>
      <c r="E212" s="54">
        <f t="shared" si="27"/>
        <v>9.460043397252229E-3</v>
      </c>
      <c r="F212" s="55">
        <v>17839.2</v>
      </c>
      <c r="G212" s="54">
        <f t="shared" si="28"/>
        <v>-5.5438954436371028E-3</v>
      </c>
      <c r="K212" s="6"/>
      <c r="L212" s="7"/>
      <c r="W212" s="2">
        <v>45321</v>
      </c>
      <c r="X212" s="3">
        <v>1318</v>
      </c>
      <c r="Y212" s="1">
        <f t="shared" si="25"/>
        <v>-1.7554321493794434E-2</v>
      </c>
      <c r="Z212" s="1"/>
      <c r="AA212" s="1"/>
      <c r="AB212" s="1"/>
      <c r="AC212" s="1"/>
      <c r="AD212" s="1"/>
      <c r="AE212" s="1"/>
      <c r="AF212" s="1"/>
      <c r="AG212" s="1"/>
      <c r="AH212" s="1"/>
      <c r="AI212" s="1"/>
      <c r="AJ212" s="1"/>
      <c r="AK212" s="1"/>
    </row>
    <row r="213" spans="1:37">
      <c r="A213" s="50">
        <v>45322</v>
      </c>
      <c r="B213" s="51">
        <v>1224.23</v>
      </c>
      <c r="C213" s="52">
        <f t="shared" si="26"/>
        <v>4.7971648447598388E-2</v>
      </c>
      <c r="D213" s="53">
        <v>21522.1</v>
      </c>
      <c r="E213" s="54">
        <f t="shared" si="27"/>
        <v>-9.9136979243338742E-3</v>
      </c>
      <c r="F213" s="55">
        <v>17938.650000000001</v>
      </c>
      <c r="G213" s="54">
        <f t="shared" si="28"/>
        <v>2.6817171003111019E-2</v>
      </c>
      <c r="K213" s="6"/>
      <c r="L213" s="7"/>
      <c r="W213" s="2">
        <v>45320</v>
      </c>
      <c r="X213" s="3">
        <v>1341.55</v>
      </c>
      <c r="Y213" s="1">
        <f t="shared" si="25"/>
        <v>-2.4185336048879846E-2</v>
      </c>
      <c r="Z213" s="1"/>
      <c r="AA213" s="1"/>
      <c r="AB213" s="1"/>
      <c r="AC213" s="1"/>
      <c r="AD213" s="1"/>
      <c r="AE213" s="1"/>
      <c r="AF213" s="1"/>
      <c r="AG213" s="1"/>
      <c r="AH213" s="1"/>
      <c r="AI213" s="1"/>
      <c r="AJ213" s="1"/>
      <c r="AK213" s="1"/>
    </row>
    <row r="214" spans="1:37">
      <c r="A214" s="50">
        <v>45321</v>
      </c>
      <c r="B214" s="51">
        <v>1168.19</v>
      </c>
      <c r="C214" s="52">
        <f t="shared" si="26"/>
        <v>-4.7059226175193332E-4</v>
      </c>
      <c r="D214" s="53">
        <v>21737.599999999999</v>
      </c>
      <c r="E214" s="54">
        <f t="shared" si="27"/>
        <v>1.8030591122392591E-2</v>
      </c>
      <c r="F214" s="55">
        <v>17470.150000000001</v>
      </c>
      <c r="G214" s="54">
        <f t="shared" si="28"/>
        <v>-8.7070746045074272E-3</v>
      </c>
      <c r="K214" s="6"/>
      <c r="L214" s="7"/>
      <c r="W214" s="2">
        <v>45316</v>
      </c>
      <c r="X214" s="3">
        <v>1374.8</v>
      </c>
      <c r="Y214" s="1">
        <f t="shared" si="25"/>
        <v>-2.7447651386530825E-2</v>
      </c>
      <c r="Z214" s="1"/>
      <c r="AA214" s="1"/>
      <c r="AB214" s="1"/>
      <c r="AC214" s="1"/>
      <c r="AD214" s="1"/>
      <c r="AE214" s="1"/>
      <c r="AF214" s="1"/>
      <c r="AG214" s="1"/>
      <c r="AH214" s="1"/>
      <c r="AI214" s="1"/>
      <c r="AJ214" s="1"/>
      <c r="AK214" s="1"/>
    </row>
    <row r="215" spans="1:37">
      <c r="A215" s="50">
        <v>45320</v>
      </c>
      <c r="B215" s="51">
        <v>1168.74</v>
      </c>
      <c r="C215" s="52">
        <f t="shared" si="26"/>
        <v>-2.0151993851933226E-3</v>
      </c>
      <c r="D215" s="53">
        <v>21352.6</v>
      </c>
      <c r="E215" s="54">
        <f t="shared" si="27"/>
        <v>-4.7240717909756563E-3</v>
      </c>
      <c r="F215" s="55">
        <v>17623.599999999999</v>
      </c>
      <c r="G215" s="54">
        <f t="shared" si="28"/>
        <v>5.1931977949584785E-3</v>
      </c>
      <c r="K215" s="6"/>
      <c r="L215" s="7"/>
      <c r="W215" s="2">
        <v>45315</v>
      </c>
      <c r="X215" s="3">
        <v>1413.6</v>
      </c>
      <c r="Y215" s="1">
        <f t="shared" si="25"/>
        <v>4.0129265954045312E-3</v>
      </c>
      <c r="Z215" s="1"/>
      <c r="AA215" s="1"/>
      <c r="AB215" s="1"/>
      <c r="AC215" s="1"/>
      <c r="AD215" s="1"/>
      <c r="AE215" s="1"/>
      <c r="AF215" s="1"/>
      <c r="AG215" s="1"/>
      <c r="AH215" s="1"/>
      <c r="AI215" s="1"/>
      <c r="AJ215" s="1"/>
      <c r="AK215" s="1"/>
    </row>
    <row r="216" spans="1:37">
      <c r="A216" s="50">
        <v>45316</v>
      </c>
      <c r="B216" s="51">
        <v>1171.0999999999999</v>
      </c>
      <c r="C216" s="52">
        <f t="shared" si="26"/>
        <v>-7.8954948238763849E-3</v>
      </c>
      <c r="D216" s="53">
        <v>21453.95</v>
      </c>
      <c r="E216" s="54">
        <f t="shared" si="27"/>
        <v>1.0130045011959313E-2</v>
      </c>
      <c r="F216" s="55">
        <v>17532.55</v>
      </c>
      <c r="G216" s="54">
        <f t="shared" si="28"/>
        <v>-1.3012491766918009E-2</v>
      </c>
      <c r="K216" s="6"/>
      <c r="L216" s="7"/>
      <c r="W216" s="2">
        <v>45314</v>
      </c>
      <c r="X216" s="3">
        <v>1407.95</v>
      </c>
      <c r="Y216" s="1">
        <f t="shared" si="25"/>
        <v>7.2315308453922311E-2</v>
      </c>
      <c r="Z216" s="1"/>
      <c r="AA216" s="1"/>
      <c r="AB216" s="1"/>
      <c r="AC216" s="1"/>
      <c r="AD216" s="1"/>
      <c r="AE216" s="1"/>
      <c r="AF216" s="1"/>
      <c r="AG216" s="1"/>
      <c r="AH216" s="1"/>
      <c r="AI216" s="1"/>
      <c r="AJ216" s="1"/>
      <c r="AK216" s="1"/>
    </row>
    <row r="217" spans="1:37">
      <c r="A217" s="50">
        <v>45315</v>
      </c>
      <c r="B217" s="51">
        <v>1180.42</v>
      </c>
      <c r="C217" s="52">
        <f t="shared" si="26"/>
        <v>4.0127590582264165E-2</v>
      </c>
      <c r="D217" s="53">
        <v>21238.799999999999</v>
      </c>
      <c r="E217" s="54">
        <f t="shared" si="27"/>
        <v>-1.5436820293160515E-2</v>
      </c>
      <c r="F217" s="55">
        <v>17763.7</v>
      </c>
      <c r="G217" s="54">
        <f t="shared" si="28"/>
        <v>1.3892456179403405E-2</v>
      </c>
      <c r="K217" s="6"/>
      <c r="L217" s="7"/>
      <c r="W217" s="2">
        <v>45311</v>
      </c>
      <c r="X217" s="3">
        <v>1313</v>
      </c>
      <c r="Y217" s="1">
        <f t="shared" si="25"/>
        <v>-1.0550113036925435E-2</v>
      </c>
      <c r="Z217" s="1"/>
      <c r="AA217" s="1"/>
      <c r="AB217" s="1"/>
      <c r="AC217" s="1"/>
      <c r="AD217" s="1"/>
      <c r="AE217" s="1"/>
      <c r="AF217" s="1"/>
      <c r="AG217" s="1"/>
      <c r="AH217" s="1"/>
      <c r="AI217" s="1"/>
      <c r="AJ217" s="1"/>
      <c r="AK217" s="1"/>
    </row>
    <row r="218" spans="1:37">
      <c r="A218" s="50">
        <v>45314</v>
      </c>
      <c r="B218" s="51">
        <v>1134.8800000000001</v>
      </c>
      <c r="C218" s="52">
        <f t="shared" si="26"/>
        <v>6.9205380274693744E-3</v>
      </c>
      <c r="D218" s="53">
        <v>21571.8</v>
      </c>
      <c r="E218" s="54">
        <f t="shared" si="27"/>
        <v>-2.3401657540329558E-3</v>
      </c>
      <c r="F218" s="55">
        <v>17520.3</v>
      </c>
      <c r="G218" s="54">
        <f t="shared" si="28"/>
        <v>1.6559423031174986E-2</v>
      </c>
      <c r="K218" s="6"/>
      <c r="L218" s="7"/>
      <c r="W218" s="2">
        <v>45310</v>
      </c>
      <c r="X218" s="3">
        <v>1327</v>
      </c>
      <c r="Y218" s="1">
        <f t="shared" si="25"/>
        <v>5.3030303030303649E-3</v>
      </c>
      <c r="Z218" s="1"/>
      <c r="AA218" s="1"/>
      <c r="AB218" s="1"/>
      <c r="AC218" s="1"/>
      <c r="AD218" s="1"/>
      <c r="AE218" s="1"/>
      <c r="AF218" s="1"/>
      <c r="AG218" s="1"/>
      <c r="AH218" s="1"/>
      <c r="AI218" s="1"/>
      <c r="AJ218" s="1"/>
      <c r="AK218" s="1"/>
    </row>
    <row r="219" spans="1:37">
      <c r="A219" s="50">
        <v>45311</v>
      </c>
      <c r="B219" s="51">
        <v>1127.08</v>
      </c>
      <c r="C219" s="52">
        <f t="shared" si="26"/>
        <v>-5.7866694894324229E-3</v>
      </c>
      <c r="D219" s="53">
        <v>21622.400000000001</v>
      </c>
      <c r="E219" s="54">
        <f t="shared" si="27"/>
        <v>7.4619389858939043E-3</v>
      </c>
      <c r="F219" s="55">
        <v>17234.900000000001</v>
      </c>
      <c r="G219" s="54">
        <f t="shared" si="28"/>
        <v>-8.8049229353576348E-3</v>
      </c>
      <c r="K219" s="6"/>
      <c r="L219" s="7"/>
      <c r="W219" s="2">
        <v>45309</v>
      </c>
      <c r="X219" s="3">
        <v>1320</v>
      </c>
      <c r="Y219" s="1">
        <f t="shared" si="25"/>
        <v>2.1671826625387025E-2</v>
      </c>
      <c r="Z219" s="1"/>
      <c r="AA219" s="1"/>
      <c r="AB219" s="1"/>
      <c r="AC219" s="1"/>
      <c r="AD219" s="1"/>
      <c r="AE219" s="1"/>
      <c r="AF219" s="1"/>
      <c r="AG219" s="1"/>
      <c r="AH219" s="1"/>
      <c r="AI219" s="1"/>
      <c r="AJ219" s="1"/>
      <c r="AK219" s="1"/>
    </row>
    <row r="220" spans="1:37">
      <c r="A220" s="50">
        <v>45310</v>
      </c>
      <c r="B220" s="51">
        <v>1133.6400000000001</v>
      </c>
      <c r="C220" s="52">
        <f t="shared" si="26"/>
        <v>3.2301170806822103E-3</v>
      </c>
      <c r="D220" s="53">
        <v>21462.25</v>
      </c>
      <c r="E220" s="54">
        <f t="shared" si="27"/>
        <v>-5.0853075405793511E-3</v>
      </c>
      <c r="F220" s="55">
        <v>17388</v>
      </c>
      <c r="G220" s="54">
        <f t="shared" si="28"/>
        <v>3.2744320230796969E-3</v>
      </c>
      <c r="K220" s="6"/>
      <c r="L220" s="7"/>
      <c r="W220" s="2">
        <v>45308</v>
      </c>
      <c r="X220" s="3">
        <v>1292</v>
      </c>
      <c r="Y220" s="1">
        <f t="shared" si="25"/>
        <v>-7.2611318145145987E-3</v>
      </c>
      <c r="Z220" s="1"/>
      <c r="AA220" s="1"/>
      <c r="AB220" s="1"/>
      <c r="AC220" s="1"/>
      <c r="AD220" s="1"/>
      <c r="AE220" s="1"/>
      <c r="AF220" s="1"/>
      <c r="AG220" s="1"/>
      <c r="AH220" s="1"/>
      <c r="AI220" s="1"/>
      <c r="AJ220" s="1"/>
      <c r="AK220" s="1"/>
    </row>
    <row r="221" spans="1:37">
      <c r="A221" s="50">
        <v>45309</v>
      </c>
      <c r="B221" s="51">
        <v>1129.99</v>
      </c>
      <c r="C221" s="52">
        <f t="shared" si="26"/>
        <v>0</v>
      </c>
      <c r="D221" s="53">
        <v>21571.95</v>
      </c>
      <c r="E221" s="54">
        <f t="shared" si="27"/>
        <v>-2.0894323334377189E-2</v>
      </c>
      <c r="F221" s="55">
        <v>17331.25</v>
      </c>
      <c r="G221" s="54">
        <f t="shared" si="28"/>
        <v>1.0332866969802961E-2</v>
      </c>
      <c r="K221" s="6"/>
      <c r="L221" s="7"/>
      <c r="W221" s="2">
        <v>45307</v>
      </c>
      <c r="X221" s="3">
        <v>1301.45</v>
      </c>
      <c r="Y221" s="1">
        <f t="shared" si="25"/>
        <v>-1.0153635533921457E-2</v>
      </c>
      <c r="Z221" s="1"/>
      <c r="AA221" s="1"/>
      <c r="AB221" s="1"/>
      <c r="AC221" s="1"/>
      <c r="AD221" s="1"/>
      <c r="AE221" s="1"/>
      <c r="AF221" s="1"/>
      <c r="AG221" s="1"/>
      <c r="AH221" s="1"/>
      <c r="AI221" s="1"/>
      <c r="AJ221" s="1"/>
      <c r="AK221" s="1"/>
    </row>
    <row r="222" spans="1:37">
      <c r="A222" s="50">
        <v>45308</v>
      </c>
      <c r="B222" s="51">
        <v>1129.99</v>
      </c>
      <c r="C222" s="52">
        <f t="shared" si="26"/>
        <v>-1.8790757448138809E-2</v>
      </c>
      <c r="D222" s="53">
        <v>22032.3</v>
      </c>
      <c r="E222" s="54">
        <f t="shared" si="27"/>
        <v>-2.9483039898269463E-3</v>
      </c>
      <c r="F222" s="55">
        <v>17154</v>
      </c>
      <c r="G222" s="54">
        <f t="shared" si="28"/>
        <v>-9.592873040937951E-3</v>
      </c>
      <c r="K222" s="6"/>
      <c r="L222" s="7"/>
      <c r="W222" s="2">
        <v>45306</v>
      </c>
      <c r="X222" s="3">
        <v>1314.8</v>
      </c>
      <c r="Y222" s="1">
        <f t="shared" si="25"/>
        <v>3.8940215316483062E-3</v>
      </c>
      <c r="Z222" s="1"/>
      <c r="AA222" s="1"/>
      <c r="AB222" s="1"/>
      <c r="AC222" s="1"/>
      <c r="AD222" s="1"/>
      <c r="AE222" s="1"/>
      <c r="AF222" s="1"/>
      <c r="AG222" s="1"/>
      <c r="AH222" s="1"/>
      <c r="AI222" s="1"/>
      <c r="AJ222" s="1"/>
      <c r="AK222" s="1"/>
    </row>
    <row r="223" spans="1:37">
      <c r="A223" s="50">
        <v>45307</v>
      </c>
      <c r="B223" s="51">
        <v>1151.6300000000001</v>
      </c>
      <c r="C223" s="52">
        <f t="shared" si="26"/>
        <v>-4.3401201746422697E-3</v>
      </c>
      <c r="D223" s="53">
        <v>22097.45</v>
      </c>
      <c r="E223" s="54">
        <f t="shared" si="27"/>
        <v>9.2671463903118111E-3</v>
      </c>
      <c r="F223" s="55">
        <v>17320.150000000001</v>
      </c>
      <c r="G223" s="54">
        <f t="shared" si="28"/>
        <v>-1.1432354762577403E-2</v>
      </c>
      <c r="K223" s="6"/>
      <c r="L223" s="7"/>
      <c r="W223" s="2">
        <v>45303</v>
      </c>
      <c r="X223" s="3">
        <v>1309.7</v>
      </c>
      <c r="Y223" s="1">
        <f t="shared" si="25"/>
        <v>-1.2888151944528081E-2</v>
      </c>
      <c r="Z223" s="1"/>
      <c r="AA223" s="1"/>
      <c r="AB223" s="1"/>
      <c r="AC223" s="1"/>
      <c r="AD223" s="1"/>
      <c r="AE223" s="1"/>
      <c r="AF223" s="1"/>
      <c r="AG223" s="1"/>
      <c r="AH223" s="1"/>
      <c r="AI223" s="1"/>
      <c r="AJ223" s="1"/>
      <c r="AK223" s="1"/>
    </row>
    <row r="224" spans="1:37">
      <c r="A224" s="50">
        <v>45306</v>
      </c>
      <c r="B224" s="51">
        <v>1156.6500000000001</v>
      </c>
      <c r="C224" s="52">
        <f t="shared" si="26"/>
        <v>1.6593863434613419E-2</v>
      </c>
      <c r="D224" s="53">
        <v>21894.55</v>
      </c>
      <c r="E224" s="54">
        <f t="shared" si="27"/>
        <v>1.1426420045086596E-2</v>
      </c>
      <c r="F224" s="55">
        <v>17520.45</v>
      </c>
      <c r="G224" s="54">
        <f t="shared" si="28"/>
        <v>9.9726472766890808E-3</v>
      </c>
      <c r="K224" s="6"/>
      <c r="L224" s="7"/>
      <c r="W224" s="2">
        <v>45302</v>
      </c>
      <c r="X224" s="3">
        <v>1326.8</v>
      </c>
      <c r="Y224" s="1">
        <f t="shared" si="25"/>
        <v>-1.4299691427711592E-3</v>
      </c>
      <c r="Z224" s="1"/>
      <c r="AA224" s="1"/>
      <c r="AB224" s="1"/>
      <c r="AC224" s="1"/>
      <c r="AD224" s="1"/>
      <c r="AE224" s="1"/>
      <c r="AF224" s="1"/>
      <c r="AG224" s="1"/>
      <c r="AH224" s="1"/>
      <c r="AI224" s="1"/>
      <c r="AJ224" s="1"/>
      <c r="AK224" s="1"/>
    </row>
    <row r="225" spans="1:37">
      <c r="A225" s="50">
        <v>45303</v>
      </c>
      <c r="B225" s="51">
        <v>1137.77</v>
      </c>
      <c r="C225" s="52">
        <f t="shared" si="26"/>
        <v>-6.3241662201690598E-4</v>
      </c>
      <c r="D225" s="53">
        <v>21647.200000000001</v>
      </c>
      <c r="E225" s="54">
        <f t="shared" si="27"/>
        <v>1.3183031357112129E-3</v>
      </c>
      <c r="F225" s="55">
        <v>17347.45</v>
      </c>
      <c r="G225" s="54">
        <f t="shared" si="28"/>
        <v>-1.9044276504482623E-3</v>
      </c>
      <c r="K225" s="6"/>
      <c r="L225" s="7"/>
      <c r="W225" s="2">
        <v>45301</v>
      </c>
      <c r="X225" s="3">
        <v>1328.7</v>
      </c>
      <c r="Y225" s="1">
        <f t="shared" si="25"/>
        <v>2.8803716608594598E-2</v>
      </c>
      <c r="Z225" s="1"/>
      <c r="AA225" s="1"/>
      <c r="AB225" s="1"/>
      <c r="AC225" s="1"/>
      <c r="AD225" s="1"/>
      <c r="AE225" s="1"/>
      <c r="AF225" s="1"/>
      <c r="AG225" s="1"/>
      <c r="AH225" s="1"/>
      <c r="AI225" s="1"/>
      <c r="AJ225" s="1"/>
      <c r="AK225" s="1"/>
    </row>
    <row r="226" spans="1:37">
      <c r="A226" s="50">
        <v>45302</v>
      </c>
      <c r="B226" s="51">
        <v>1138.49</v>
      </c>
      <c r="C226" s="52">
        <f t="shared" si="26"/>
        <v>-1.6372338954935069E-2</v>
      </c>
      <c r="D226" s="53">
        <v>21618.7</v>
      </c>
      <c r="E226" s="54">
        <f t="shared" si="27"/>
        <v>3.4277333098166004E-3</v>
      </c>
      <c r="F226" s="55">
        <v>17380.55</v>
      </c>
      <c r="G226" s="54">
        <f t="shared" si="28"/>
        <v>-1.2268775248680994E-3</v>
      </c>
      <c r="K226" s="6"/>
      <c r="L226" s="7"/>
      <c r="W226" s="2">
        <v>45300</v>
      </c>
      <c r="X226" s="3">
        <v>1291.5</v>
      </c>
      <c r="Y226" s="1">
        <f t="shared" si="25"/>
        <v>1.6129032258064502E-2</v>
      </c>
      <c r="Z226" s="1"/>
      <c r="AA226" s="1"/>
      <c r="AB226" s="1"/>
      <c r="AC226" s="1"/>
      <c r="AD226" s="1"/>
      <c r="AE226" s="1"/>
      <c r="AF226" s="1"/>
      <c r="AG226" s="1"/>
      <c r="AH226" s="1"/>
      <c r="AI226" s="1"/>
      <c r="AJ226" s="1"/>
      <c r="AK226" s="1"/>
    </row>
    <row r="227" spans="1:37">
      <c r="A227" s="50">
        <v>45301</v>
      </c>
      <c r="B227" s="51">
        <v>1157.44</v>
      </c>
      <c r="C227" s="52">
        <f t="shared" si="26"/>
        <v>6.5045740721416554E-3</v>
      </c>
      <c r="D227" s="53">
        <v>21544.85</v>
      </c>
      <c r="E227" s="54">
        <f t="shared" si="27"/>
        <v>1.4805001626922579E-3</v>
      </c>
      <c r="F227" s="55">
        <v>17401.900000000001</v>
      </c>
      <c r="G227" s="54">
        <f t="shared" si="28"/>
        <v>3.2052945008446865E-3</v>
      </c>
      <c r="K227" s="6"/>
      <c r="L227" s="7"/>
      <c r="W227" s="2">
        <v>45299</v>
      </c>
      <c r="X227" s="3">
        <v>1271</v>
      </c>
      <c r="Y227" s="1">
        <f t="shared" si="25"/>
        <v>-1.2547100182573989E-2</v>
      </c>
      <c r="Z227" s="1"/>
      <c r="AA227" s="1"/>
      <c r="AB227" s="1"/>
      <c r="AC227" s="1"/>
      <c r="AD227" s="1"/>
      <c r="AE227" s="1"/>
      <c r="AF227" s="1"/>
      <c r="AG227" s="1"/>
      <c r="AH227" s="1"/>
      <c r="AI227" s="1"/>
      <c r="AJ227" s="1"/>
      <c r="AK227" s="1"/>
    </row>
    <row r="228" spans="1:37">
      <c r="A228" s="50">
        <v>45300</v>
      </c>
      <c r="B228" s="51">
        <v>1149.96</v>
      </c>
      <c r="C228" s="52">
        <f t="shared" si="26"/>
        <v>-2.0047384727537344E-3</v>
      </c>
      <c r="D228" s="53">
        <v>21513</v>
      </c>
      <c r="E228" s="54">
        <f t="shared" si="27"/>
        <v>-9.1106730290914789E-3</v>
      </c>
      <c r="F228" s="55">
        <v>17346.3</v>
      </c>
      <c r="G228" s="54">
        <f t="shared" si="28"/>
        <v>8.7433378208240046E-3</v>
      </c>
      <c r="K228" s="6"/>
      <c r="L228" s="7"/>
      <c r="W228" s="2">
        <v>45296</v>
      </c>
      <c r="X228" s="3">
        <v>1287.1500000000001</v>
      </c>
      <c r="Y228" s="1">
        <f t="shared" si="25"/>
        <v>-9.5036552520199047E-3</v>
      </c>
      <c r="Z228" s="1"/>
      <c r="AA228" s="1"/>
      <c r="AB228" s="1"/>
      <c r="AC228" s="1"/>
      <c r="AD228" s="1"/>
      <c r="AE228" s="1"/>
      <c r="AF228" s="1"/>
      <c r="AG228" s="1"/>
      <c r="AH228" s="1"/>
      <c r="AI228" s="1"/>
      <c r="AJ228" s="1"/>
      <c r="AK228" s="1"/>
    </row>
    <row r="229" spans="1:37">
      <c r="A229" s="50">
        <v>45299</v>
      </c>
      <c r="B229" s="51">
        <v>1152.27</v>
      </c>
      <c r="C229" s="52">
        <f t="shared" si="26"/>
        <v>-1.273208639997269E-2</v>
      </c>
      <c r="D229" s="53">
        <v>21710.799999999999</v>
      </c>
      <c r="E229" s="54">
        <f t="shared" si="27"/>
        <v>2.4101280784538581E-3</v>
      </c>
      <c r="F229" s="55">
        <v>17195.95</v>
      </c>
      <c r="G229" s="54">
        <f t="shared" si="28"/>
        <v>-9.369995276116613E-3</v>
      </c>
      <c r="K229" s="6"/>
      <c r="L229" s="7"/>
      <c r="W229" s="2">
        <v>45295</v>
      </c>
      <c r="X229" s="3">
        <v>1299.5</v>
      </c>
      <c r="Y229" s="1">
        <f t="shared" si="25"/>
        <v>-1.5750451384887176E-3</v>
      </c>
      <c r="Z229" s="1"/>
      <c r="AA229" s="1"/>
      <c r="AB229" s="1"/>
      <c r="AC229" s="1"/>
      <c r="AD229" s="1"/>
      <c r="AE229" s="1"/>
      <c r="AF229" s="1"/>
      <c r="AG229" s="1"/>
      <c r="AH229" s="1"/>
      <c r="AI229" s="1"/>
      <c r="AJ229" s="1"/>
      <c r="AK229" s="1"/>
    </row>
    <row r="230" spans="1:37">
      <c r="A230" s="50">
        <v>45296</v>
      </c>
      <c r="B230" s="51">
        <v>1167.1300000000001</v>
      </c>
      <c r="C230" s="52">
        <f t="shared" si="26"/>
        <v>-1.121152990311822E-3</v>
      </c>
      <c r="D230" s="53">
        <v>21658.6</v>
      </c>
      <c r="E230" s="54">
        <f t="shared" si="27"/>
        <v>6.5644700671783473E-3</v>
      </c>
      <c r="F230" s="55">
        <v>17358.599999999999</v>
      </c>
      <c r="G230" s="54">
        <f t="shared" si="28"/>
        <v>-3.1355523396045634E-3</v>
      </c>
      <c r="K230" s="6"/>
      <c r="L230" s="7"/>
      <c r="W230" s="2">
        <v>45294</v>
      </c>
      <c r="X230" s="3">
        <v>1301.55</v>
      </c>
      <c r="Y230" s="1">
        <f t="shared" si="25"/>
        <v>1.4576918579724873E-2</v>
      </c>
      <c r="Z230" s="1"/>
      <c r="AA230" s="1"/>
      <c r="AB230" s="1"/>
      <c r="AC230" s="1"/>
      <c r="AD230" s="1"/>
      <c r="AE230" s="1"/>
      <c r="AF230" s="1"/>
      <c r="AG230" s="1"/>
      <c r="AH230" s="1"/>
      <c r="AI230" s="1"/>
      <c r="AJ230" s="1"/>
      <c r="AK230" s="1"/>
    </row>
    <row r="231" spans="1:37">
      <c r="A231" s="50">
        <v>45295</v>
      </c>
      <c r="B231" s="51">
        <v>1168.44</v>
      </c>
      <c r="C231" s="52">
        <f t="shared" si="26"/>
        <v>-1.5121630506245936E-2</v>
      </c>
      <c r="D231" s="53">
        <v>21517.35</v>
      </c>
      <c r="E231" s="54">
        <f t="shared" si="27"/>
        <v>-6.8518125340398571E-3</v>
      </c>
      <c r="F231" s="55">
        <v>17413.2</v>
      </c>
      <c r="G231" s="54">
        <f t="shared" si="28"/>
        <v>1.921771251683072E-3</v>
      </c>
      <c r="K231" s="6"/>
      <c r="L231" s="7"/>
      <c r="W231" s="2">
        <v>45293</v>
      </c>
      <c r="X231" s="3">
        <v>1282.8499999999999</v>
      </c>
      <c r="Y231" s="1">
        <f t="shared" si="25"/>
        <v>2.6279999999999859E-2</v>
      </c>
      <c r="Z231" s="1"/>
      <c r="AA231" s="1"/>
      <c r="AB231" s="1"/>
      <c r="AC231" s="1"/>
      <c r="AD231" s="1"/>
      <c r="AE231" s="1"/>
      <c r="AF231" s="1"/>
      <c r="AG231" s="1"/>
      <c r="AH231" s="1"/>
      <c r="AI231" s="1"/>
      <c r="AJ231" s="1"/>
      <c r="AK231" s="1"/>
    </row>
    <row r="232" spans="1:37">
      <c r="A232" s="50">
        <v>45294</v>
      </c>
      <c r="B232" s="51">
        <v>1186.3800000000001</v>
      </c>
      <c r="C232" s="52">
        <f t="shared" si="26"/>
        <v>8.6049807653388786E-4</v>
      </c>
      <c r="D232" s="53">
        <v>21665.8</v>
      </c>
      <c r="E232" s="54">
        <f t="shared" si="27"/>
        <v>-3.5001540803702609E-3</v>
      </c>
      <c r="F232" s="55">
        <v>17379.8</v>
      </c>
      <c r="G232" s="54">
        <f t="shared" si="28"/>
        <v>6.1073386475862992E-3</v>
      </c>
      <c r="K232" s="6"/>
      <c r="L232" s="7"/>
      <c r="W232" s="2">
        <v>45292</v>
      </c>
      <c r="X232" s="3">
        <v>1250</v>
      </c>
      <c r="Y232" s="1">
        <f t="shared" si="25"/>
        <v>0</v>
      </c>
      <c r="Z232" s="1"/>
      <c r="AA232" s="1"/>
      <c r="AB232" s="1"/>
      <c r="AC232" s="1"/>
      <c r="AD232" s="1"/>
      <c r="AE232" s="1"/>
      <c r="AF232" s="1"/>
      <c r="AG232" s="1"/>
      <c r="AH232" s="1"/>
      <c r="AI232" s="1"/>
      <c r="AJ232" s="1"/>
      <c r="AK232" s="1"/>
    </row>
    <row r="233" spans="1:37">
      <c r="A233" s="50">
        <v>45293</v>
      </c>
      <c r="B233" s="51">
        <v>1185.3599999999999</v>
      </c>
      <c r="C233" s="52">
        <f t="shared" si="26"/>
        <v>1.8061889670454231E-2</v>
      </c>
      <c r="D233" s="53">
        <v>21741.9</v>
      </c>
      <c r="E233" s="54">
        <f t="shared" si="27"/>
        <v>4.8317181589773318E-4</v>
      </c>
      <c r="F233" s="55">
        <v>17274.3</v>
      </c>
      <c r="G233" s="54">
        <f t="shared" si="28"/>
        <v>2.4648921183361712E-2</v>
      </c>
      <c r="K233" s="6"/>
      <c r="L233" s="7"/>
      <c r="W233" s="2">
        <v>45289</v>
      </c>
      <c r="X233" s="3">
        <v>1250</v>
      </c>
      <c r="Y233" s="1">
        <f t="shared" si="25"/>
        <v>-9.5087163232963068E-3</v>
      </c>
      <c r="Z233" s="1"/>
      <c r="AA233" s="1"/>
      <c r="AB233" s="1"/>
      <c r="AC233" s="1"/>
      <c r="AD233" s="1"/>
      <c r="AE233" s="1"/>
      <c r="AF233" s="1"/>
      <c r="AG233" s="1"/>
      <c r="AH233" s="1"/>
      <c r="AI233" s="1"/>
      <c r="AJ233" s="1"/>
      <c r="AK233" s="1"/>
    </row>
    <row r="234" spans="1:37">
      <c r="A234" s="50">
        <v>45292</v>
      </c>
      <c r="B234" s="51">
        <v>1164.33</v>
      </c>
      <c r="C234" s="52">
        <f t="shared" si="26"/>
        <v>4.0963107331965024E-3</v>
      </c>
      <c r="D234" s="53">
        <v>21731.4</v>
      </c>
      <c r="E234" s="54">
        <f t="shared" si="27"/>
        <v>-2.1718468044465127E-3</v>
      </c>
      <c r="F234" s="55">
        <v>16858.75</v>
      </c>
      <c r="G234" s="54">
        <f t="shared" si="28"/>
        <v>1.6011359450564247E-3</v>
      </c>
      <c r="K234" s="6"/>
      <c r="L234" s="7"/>
      <c r="W234" s="2">
        <v>45288</v>
      </c>
      <c r="X234" s="3">
        <v>1262</v>
      </c>
      <c r="Y234" s="1">
        <f t="shared" si="25"/>
        <v>1.8111411399298172E-2</v>
      </c>
      <c r="Z234" s="1"/>
      <c r="AA234" s="1"/>
      <c r="AB234" s="1"/>
      <c r="AC234" s="1"/>
      <c r="AD234" s="1"/>
      <c r="AE234" s="1"/>
      <c r="AF234" s="1"/>
      <c r="AG234" s="1"/>
      <c r="AH234" s="1"/>
      <c r="AI234" s="1"/>
      <c r="AJ234" s="1"/>
      <c r="AK234" s="1"/>
    </row>
    <row r="235" spans="1:37">
      <c r="A235" s="50">
        <v>45289</v>
      </c>
      <c r="B235" s="51">
        <v>1159.58</v>
      </c>
      <c r="C235" s="52">
        <f t="shared" si="26"/>
        <v>-1.0352390949979183E-2</v>
      </c>
      <c r="D235" s="53">
        <v>21778.7</v>
      </c>
      <c r="E235" s="54">
        <f t="shared" si="27"/>
        <v>5.7239173853311969E-3</v>
      </c>
      <c r="F235" s="55">
        <v>16831.8</v>
      </c>
      <c r="G235" s="54">
        <f t="shared" si="28"/>
        <v>-1.7229261869952746E-3</v>
      </c>
      <c r="K235" s="6"/>
      <c r="L235" s="7"/>
      <c r="W235" s="2">
        <v>45287</v>
      </c>
      <c r="X235" s="3">
        <v>1239.55</v>
      </c>
      <c r="Y235" s="1">
        <f t="shared" si="25"/>
        <v>-5.9344801315209805E-3</v>
      </c>
      <c r="Z235" s="1"/>
      <c r="AA235" s="1"/>
      <c r="AB235" s="1"/>
      <c r="AC235" s="1"/>
      <c r="AD235" s="1"/>
      <c r="AE235" s="1"/>
      <c r="AF235" s="1"/>
      <c r="AG235" s="1"/>
      <c r="AH235" s="1"/>
      <c r="AI235" s="1"/>
      <c r="AJ235" s="1"/>
      <c r="AK235" s="1"/>
    </row>
    <row r="236" spans="1:37">
      <c r="A236" s="50">
        <v>45288</v>
      </c>
      <c r="B236" s="51">
        <v>1171.71</v>
      </c>
      <c r="C236" s="52">
        <f t="shared" si="26"/>
        <v>2.5207804707323426E-2</v>
      </c>
      <c r="D236" s="53">
        <v>21654.75</v>
      </c>
      <c r="E236" s="54">
        <f t="shared" si="27"/>
        <v>9.9527315211029848E-3</v>
      </c>
      <c r="F236" s="55">
        <v>16860.849999999999</v>
      </c>
      <c r="G236" s="54">
        <f t="shared" si="28"/>
        <v>1.230191012821231E-2</v>
      </c>
      <c r="K236" s="6"/>
      <c r="L236" s="7"/>
      <c r="W236" s="2">
        <v>45286</v>
      </c>
      <c r="X236" s="3">
        <v>1246.95</v>
      </c>
      <c r="Y236" s="1">
        <f t="shared" si="25"/>
        <v>5.6048387096774288E-3</v>
      </c>
      <c r="Z236" s="1"/>
      <c r="AA236" s="1"/>
      <c r="AB236" s="1"/>
      <c r="AC236" s="1"/>
      <c r="AD236" s="1"/>
      <c r="AE236" s="1"/>
      <c r="AF236" s="1"/>
      <c r="AG236" s="1"/>
      <c r="AH236" s="1"/>
      <c r="AI236" s="1"/>
      <c r="AJ236" s="1"/>
      <c r="AK236" s="1"/>
    </row>
    <row r="237" spans="1:37">
      <c r="A237" s="50">
        <v>45287</v>
      </c>
      <c r="B237" s="51">
        <v>1142.9000000000001</v>
      </c>
      <c r="C237" s="52">
        <f t="shared" si="26"/>
        <v>1.4621414557495828E-2</v>
      </c>
      <c r="D237" s="53">
        <v>21441.35</v>
      </c>
      <c r="E237" s="54">
        <f t="shared" si="27"/>
        <v>4.3069126064431357E-3</v>
      </c>
      <c r="F237" s="55">
        <v>16655.95</v>
      </c>
      <c r="G237" s="54">
        <f t="shared" si="28"/>
        <v>5.6361923852536553E-3</v>
      </c>
      <c r="K237" s="6"/>
      <c r="W237" s="2">
        <v>45282</v>
      </c>
      <c r="X237" s="3">
        <v>1240</v>
      </c>
      <c r="Y237" s="1">
        <f t="shared" si="25"/>
        <v>8.9503661513425925E-3</v>
      </c>
      <c r="Z237" s="1"/>
      <c r="AA237" s="1"/>
      <c r="AB237" s="1"/>
      <c r="AC237" s="1"/>
      <c r="AD237" s="1"/>
      <c r="AE237" s="1"/>
      <c r="AF237" s="1"/>
      <c r="AG237" s="1"/>
      <c r="AH237" s="1"/>
      <c r="AI237" s="1"/>
      <c r="AJ237" s="1"/>
      <c r="AK237" s="1"/>
    </row>
    <row r="238" spans="1:37">
      <c r="A238" s="50">
        <v>45286</v>
      </c>
      <c r="B238" s="51">
        <v>1126.43</v>
      </c>
      <c r="C238" s="52">
        <f t="shared" si="26"/>
        <v>7.9073155996241815E-4</v>
      </c>
      <c r="D238" s="53">
        <v>21349.4</v>
      </c>
      <c r="E238" s="54">
        <f t="shared" si="27"/>
        <v>4.4389450977533424E-3</v>
      </c>
      <c r="F238" s="55">
        <v>16562.599999999999</v>
      </c>
      <c r="G238" s="54">
        <f t="shared" si="28"/>
        <v>1.0262681960553485E-2</v>
      </c>
      <c r="W238" s="2">
        <v>45281</v>
      </c>
      <c r="X238" s="3">
        <v>1229</v>
      </c>
      <c r="Y238" s="1">
        <f t="shared" si="25"/>
        <v>-7.2697899838448654E-3</v>
      </c>
      <c r="Z238" s="1"/>
      <c r="AA238" s="1"/>
      <c r="AB238" s="1"/>
      <c r="AC238" s="1"/>
      <c r="AD238" s="1"/>
      <c r="AE238" s="1"/>
      <c r="AF238" s="1"/>
      <c r="AG238" s="1"/>
      <c r="AH238" s="1"/>
      <c r="AI238" s="1"/>
      <c r="AJ238" s="1"/>
      <c r="AK238" s="1"/>
    </row>
    <row r="239" spans="1:37">
      <c r="A239" s="50">
        <v>45282</v>
      </c>
      <c r="B239" s="51">
        <v>1125.54</v>
      </c>
      <c r="C239" s="52">
        <f t="shared" si="26"/>
        <v>1.3178503915743876E-2</v>
      </c>
      <c r="D239" s="53">
        <v>21255.05</v>
      </c>
      <c r="E239" s="54">
        <f t="shared" si="27"/>
        <v>4.9597756989902108E-3</v>
      </c>
      <c r="F239" s="55">
        <v>16394.349999999999</v>
      </c>
      <c r="G239" s="54">
        <f t="shared" si="28"/>
        <v>9.6193223981795289E-3</v>
      </c>
      <c r="I239" s="7"/>
      <c r="W239" s="2">
        <v>45280</v>
      </c>
      <c r="X239" s="3">
        <v>1238</v>
      </c>
      <c r="Y239" s="1">
        <f t="shared" si="25"/>
        <v>-1.612903225806428E-3</v>
      </c>
      <c r="Z239" s="1"/>
      <c r="AA239" s="1"/>
      <c r="AB239" s="1"/>
      <c r="AC239" s="1"/>
      <c r="AD239" s="1"/>
      <c r="AE239" s="1"/>
      <c r="AF239" s="1"/>
      <c r="AG239" s="1"/>
      <c r="AH239" s="1"/>
      <c r="AI239" s="1"/>
      <c r="AJ239" s="1"/>
      <c r="AK239" s="1"/>
    </row>
    <row r="240" spans="1:37">
      <c r="A240" s="50">
        <v>45281</v>
      </c>
      <c r="B240" s="51">
        <v>1110.9000000000001</v>
      </c>
      <c r="C240" s="52">
        <f t="shared" si="26"/>
        <v>-4.4182357527578903E-3</v>
      </c>
      <c r="D240" s="53">
        <v>21150.15</v>
      </c>
      <c r="E240" s="54">
        <f t="shared" si="27"/>
        <v>-1.4121502253753401E-2</v>
      </c>
      <c r="F240" s="55">
        <v>16238.15</v>
      </c>
      <c r="G240" s="54">
        <f t="shared" si="28"/>
        <v>7.2512987516476475E-3</v>
      </c>
      <c r="W240" s="2">
        <v>45279</v>
      </c>
      <c r="X240" s="3">
        <v>1240</v>
      </c>
      <c r="Y240" s="1">
        <f t="shared" si="25"/>
        <v>2.0576131687242816E-2</v>
      </c>
      <c r="Z240" s="1"/>
      <c r="AA240" s="1"/>
      <c r="AB240" s="1"/>
      <c r="AC240" s="1"/>
      <c r="AD240" s="1"/>
      <c r="AE240" s="1"/>
      <c r="AF240" s="1"/>
      <c r="AG240" s="1"/>
      <c r="AH240" s="1"/>
      <c r="AI240" s="1"/>
      <c r="AJ240" s="1"/>
      <c r="AK240" s="1"/>
    </row>
    <row r="241" spans="1:37">
      <c r="A241" s="50">
        <v>45280</v>
      </c>
      <c r="B241" s="51">
        <v>1115.83</v>
      </c>
      <c r="C241" s="52">
        <f t="shared" si="26"/>
        <v>-1.0341555135744071E-2</v>
      </c>
      <c r="D241" s="53">
        <v>21453.1</v>
      </c>
      <c r="E241" s="54">
        <f t="shared" si="27"/>
        <v>1.6084113611267324E-3</v>
      </c>
      <c r="F241" s="55">
        <v>16121.25</v>
      </c>
      <c r="G241" s="54">
        <f t="shared" si="28"/>
        <v>-1.6472203157172273E-2</v>
      </c>
      <c r="W241" s="2">
        <v>45278</v>
      </c>
      <c r="X241" s="3">
        <v>1215</v>
      </c>
      <c r="Y241" s="1">
        <f t="shared" si="25"/>
        <v>8.1732564411067798E-3</v>
      </c>
      <c r="Z241" s="1"/>
      <c r="AA241" s="1"/>
      <c r="AB241" s="1"/>
      <c r="AC241" s="1"/>
      <c r="AD241" s="1"/>
      <c r="AE241" s="1"/>
      <c r="AF241" s="1"/>
      <c r="AG241" s="1"/>
      <c r="AH241" s="1"/>
      <c r="AI241" s="1"/>
      <c r="AJ241" s="1"/>
      <c r="AK241" s="1"/>
    </row>
    <row r="242" spans="1:37">
      <c r="A242" s="50">
        <v>45279</v>
      </c>
      <c r="B242" s="51">
        <v>1127.49</v>
      </c>
      <c r="C242" s="52">
        <f t="shared" si="26"/>
        <v>8.2989778306400159E-3</v>
      </c>
      <c r="D242" s="53">
        <v>21418.65</v>
      </c>
      <c r="E242" s="54">
        <f t="shared" si="27"/>
        <v>-1.7710127163373592E-3</v>
      </c>
      <c r="F242" s="55">
        <v>16391.25</v>
      </c>
      <c r="G242" s="54">
        <f t="shared" si="28"/>
        <v>3.6186295129545325E-3</v>
      </c>
      <c r="W242" s="2">
        <v>45275</v>
      </c>
      <c r="X242" s="3">
        <v>1205.1500000000001</v>
      </c>
      <c r="Y242" s="1">
        <f t="shared" si="25"/>
        <v>1.2448132780096266E-4</v>
      </c>
      <c r="Z242" s="1"/>
      <c r="AA242" s="1"/>
      <c r="AB242" s="1"/>
      <c r="AC242" s="1"/>
      <c r="AD242" s="1"/>
      <c r="AE242" s="1"/>
      <c r="AF242" s="1"/>
      <c r="AG242" s="1"/>
      <c r="AH242" s="1"/>
      <c r="AI242" s="1"/>
      <c r="AJ242" s="1"/>
      <c r="AK242" s="1"/>
    </row>
    <row r="243" spans="1:37">
      <c r="A243" s="50">
        <v>45278</v>
      </c>
      <c r="B243" s="51">
        <v>1118.21</v>
      </c>
      <c r="C243" s="52">
        <f t="shared" si="26"/>
        <v>2.8625356698775041E-4</v>
      </c>
      <c r="D243" s="53">
        <v>21456.65</v>
      </c>
      <c r="E243" s="54">
        <f t="shared" si="27"/>
        <v>1.2932723401643828E-2</v>
      </c>
      <c r="F243" s="55">
        <v>16332.15</v>
      </c>
      <c r="G243" s="54">
        <f t="shared" si="28"/>
        <v>9.4160620032386292E-3</v>
      </c>
      <c r="W243" s="2">
        <v>45274</v>
      </c>
      <c r="X243" s="3">
        <v>1205</v>
      </c>
      <c r="Y243" s="1">
        <f t="shared" si="25"/>
        <v>-6.5952184666117075E-3</v>
      </c>
      <c r="Z243" s="1"/>
      <c r="AA243" s="1"/>
      <c r="AB243" s="1"/>
      <c r="AC243" s="1"/>
      <c r="AD243" s="1"/>
      <c r="AE243" s="1"/>
      <c r="AF243" s="1"/>
      <c r="AG243" s="1"/>
      <c r="AH243" s="1"/>
      <c r="AI243" s="1"/>
      <c r="AJ243" s="1"/>
      <c r="AK243" s="1"/>
    </row>
    <row r="244" spans="1:37">
      <c r="A244" s="50">
        <v>45275</v>
      </c>
      <c r="B244" s="51">
        <v>1117.8900000000001</v>
      </c>
      <c r="C244" s="52">
        <f t="shared" si="26"/>
        <v>2.8887473422627569E-3</v>
      </c>
      <c r="D244" s="53">
        <v>21182.7</v>
      </c>
      <c r="E244" s="54">
        <f t="shared" si="27"/>
        <v>1.2250105727945973E-2</v>
      </c>
      <c r="F244" s="55">
        <v>16179.8</v>
      </c>
      <c r="G244" s="54">
        <f t="shared" si="28"/>
        <v>1.4917335677190431E-3</v>
      </c>
      <c r="W244" s="2">
        <v>45273</v>
      </c>
      <c r="X244" s="3">
        <v>1213</v>
      </c>
      <c r="Y244" s="1">
        <f t="shared" si="25"/>
        <v>1.2520868113522488E-2</v>
      </c>
      <c r="Z244" s="1"/>
      <c r="AA244" s="1"/>
      <c r="AB244" s="1"/>
      <c r="AC244" s="1"/>
      <c r="AD244" s="1"/>
      <c r="AE244" s="1"/>
      <c r="AF244" s="1"/>
      <c r="AG244" s="1"/>
      <c r="AH244" s="1"/>
      <c r="AI244" s="1"/>
      <c r="AJ244" s="1"/>
      <c r="AK244" s="1"/>
    </row>
    <row r="245" spans="1:37">
      <c r="A245" s="50">
        <v>45274</v>
      </c>
      <c r="B245" s="51">
        <v>1114.67</v>
      </c>
      <c r="C245" s="52">
        <f t="shared" si="26"/>
        <v>-4.5189465317531418E-3</v>
      </c>
      <c r="D245" s="53">
        <v>20926.349999999999</v>
      </c>
      <c r="E245" s="54">
        <f t="shared" si="27"/>
        <v>9.5425324302591977E-4</v>
      </c>
      <c r="F245" s="55">
        <v>16155.7</v>
      </c>
      <c r="G245" s="54">
        <f t="shared" si="28"/>
        <v>8.2391713747652709E-4</v>
      </c>
      <c r="W245" s="2">
        <v>45272</v>
      </c>
      <c r="X245" s="3">
        <v>1198</v>
      </c>
      <c r="Y245" s="1">
        <f t="shared" si="25"/>
        <v>-4.983388704318914E-3</v>
      </c>
      <c r="Z245" s="1"/>
      <c r="AA245" s="1"/>
      <c r="AB245" s="1"/>
      <c r="AC245" s="1"/>
      <c r="AD245" s="1"/>
      <c r="AE245" s="1"/>
      <c r="AF245" s="1"/>
      <c r="AG245" s="1"/>
      <c r="AH245" s="1"/>
      <c r="AI245" s="1"/>
      <c r="AJ245" s="1"/>
      <c r="AK245" s="1"/>
    </row>
    <row r="246" spans="1:37">
      <c r="A246" s="50">
        <v>45273</v>
      </c>
      <c r="B246" s="51">
        <v>1119.73</v>
      </c>
      <c r="C246" s="52">
        <f t="shared" si="26"/>
        <v>1.0522800906080015E-2</v>
      </c>
      <c r="D246" s="53">
        <v>20906.400000000001</v>
      </c>
      <c r="E246" s="54">
        <f t="shared" si="27"/>
        <v>-4.3196441413336653E-3</v>
      </c>
      <c r="F246" s="55">
        <v>16142.4</v>
      </c>
      <c r="G246" s="54">
        <f t="shared" si="28"/>
        <v>1.1206815547968782E-2</v>
      </c>
      <c r="W246" s="2">
        <v>45271</v>
      </c>
      <c r="X246" s="3">
        <v>1204</v>
      </c>
      <c r="Y246" s="1">
        <f t="shared" si="25"/>
        <v>-1.2305168170631653E-2</v>
      </c>
      <c r="Z246" s="1"/>
      <c r="AA246" s="1"/>
      <c r="AB246" s="1"/>
      <c r="AC246" s="1"/>
      <c r="AD246" s="1"/>
      <c r="AE246" s="1"/>
      <c r="AF246" s="1"/>
      <c r="AG246" s="1"/>
      <c r="AH246" s="1"/>
      <c r="AI246" s="1"/>
      <c r="AJ246" s="1"/>
      <c r="AK246" s="1"/>
    </row>
    <row r="247" spans="1:37">
      <c r="A247" s="50">
        <v>45272</v>
      </c>
      <c r="B247" s="51">
        <v>1108.07</v>
      </c>
      <c r="C247" s="52">
        <f t="shared" si="26"/>
        <v>1.2213391796839217E-2</v>
      </c>
      <c r="D247" s="53">
        <v>20997.1</v>
      </c>
      <c r="E247" s="54">
        <f t="shared" si="27"/>
        <v>1.3209724646388113E-3</v>
      </c>
      <c r="F247" s="55">
        <v>15963.5</v>
      </c>
      <c r="G247" s="54">
        <f t="shared" si="28"/>
        <v>-4.7631219646007538E-3</v>
      </c>
      <c r="W247" s="2">
        <v>45268</v>
      </c>
      <c r="X247" s="3">
        <v>1219</v>
      </c>
      <c r="Y247" s="1">
        <f t="shared" si="25"/>
        <v>-4.0442828546918275E-3</v>
      </c>
      <c r="Z247" s="1"/>
      <c r="AA247" s="1"/>
      <c r="AB247" s="1"/>
      <c r="AC247" s="1"/>
      <c r="AD247" s="1"/>
      <c r="AE247" s="1"/>
      <c r="AF247" s="1"/>
      <c r="AG247" s="1"/>
      <c r="AH247" s="1"/>
      <c r="AI247" s="1"/>
      <c r="AJ247" s="1"/>
      <c r="AK247" s="1"/>
    </row>
    <row r="248" spans="1:37">
      <c r="A248" s="50">
        <v>45271</v>
      </c>
      <c r="B248" s="51">
        <v>1094.7</v>
      </c>
      <c r="C248" s="52">
        <f t="shared" si="26"/>
        <v>-5.0382553479414914E-2</v>
      </c>
      <c r="D248" s="53">
        <v>20969.400000000001</v>
      </c>
      <c r="E248" s="54">
        <f t="shared" si="27"/>
        <v>3.2653705657344212E-3</v>
      </c>
      <c r="F248" s="55">
        <v>16039.9</v>
      </c>
      <c r="G248" s="54">
        <f t="shared" si="28"/>
        <v>-7.6253700547232444E-3</v>
      </c>
      <c r="L248" s="7"/>
      <c r="W248" s="2">
        <v>45267</v>
      </c>
      <c r="X248" s="3">
        <v>1223.95</v>
      </c>
      <c r="Y248" s="1">
        <f t="shared" si="25"/>
        <v>1.4043082021541142E-2</v>
      </c>
      <c r="Z248" s="1"/>
      <c r="AA248" s="1"/>
      <c r="AB248" s="1"/>
      <c r="AC248" s="1"/>
      <c r="AD248" s="1"/>
      <c r="AE248" s="1"/>
      <c r="AF248" s="1"/>
      <c r="AG248" s="1"/>
      <c r="AH248" s="1"/>
      <c r="AI248" s="1"/>
      <c r="AJ248" s="1"/>
      <c r="AK248" s="1"/>
    </row>
    <row r="249" spans="1:37">
      <c r="A249" s="50">
        <v>45268</v>
      </c>
      <c r="B249" s="51">
        <v>1152.78</v>
      </c>
      <c r="C249" s="52">
        <f t="shared" si="26"/>
        <v>-3.6645866104302511E-3</v>
      </c>
      <c r="D249" s="53">
        <v>20901.150000000001</v>
      </c>
      <c r="E249" s="54">
        <f t="shared" si="27"/>
        <v>-1.7456549668778934E-3</v>
      </c>
      <c r="F249" s="55">
        <v>16163.15</v>
      </c>
      <c r="G249" s="54">
        <f t="shared" si="28"/>
        <v>-8.0427391341705082E-3</v>
      </c>
      <c r="K249" s="6"/>
      <c r="L249" s="7"/>
      <c r="W249" s="2">
        <v>45266</v>
      </c>
      <c r="X249" s="3">
        <v>1207</v>
      </c>
      <c r="Y249" s="1">
        <f t="shared" si="25"/>
        <v>-1.1870650839132191E-2</v>
      </c>
      <c r="Z249" s="1"/>
      <c r="AA249" s="1"/>
      <c r="AB249" s="1"/>
      <c r="AC249" s="1"/>
      <c r="AD249" s="1"/>
      <c r="AE249" s="1"/>
      <c r="AF249" s="1"/>
      <c r="AG249" s="1"/>
      <c r="AH249" s="1"/>
      <c r="AI249" s="1"/>
      <c r="AJ249" s="1"/>
      <c r="AK249" s="1"/>
    </row>
    <row r="250" spans="1:37">
      <c r="A250" s="50">
        <v>45267</v>
      </c>
      <c r="B250" s="51">
        <v>1157.02</v>
      </c>
      <c r="C250" s="52">
        <f t="shared" si="26"/>
        <v>9.5543902204926808E-3</v>
      </c>
      <c r="D250" s="53">
        <v>20937.7</v>
      </c>
      <c r="E250" s="54">
        <f t="shared" si="27"/>
        <v>3.9606619004465184E-3</v>
      </c>
      <c r="F250" s="55">
        <v>16294.2</v>
      </c>
      <c r="G250" s="54">
        <f t="shared" si="28"/>
        <v>7.7089343859291981E-3</v>
      </c>
      <c r="K250" s="46"/>
      <c r="L250" s="7"/>
      <c r="W250" s="2">
        <v>45265</v>
      </c>
      <c r="X250" s="3">
        <v>1221.5</v>
      </c>
      <c r="Y250" s="1">
        <f t="shared" si="25"/>
        <v>2.4620434961017956E-3</v>
      </c>
      <c r="Z250" s="1"/>
      <c r="AA250" s="1"/>
      <c r="AB250" s="1"/>
      <c r="AC250" s="1"/>
      <c r="AD250" s="1"/>
      <c r="AE250" s="1"/>
      <c r="AF250" s="1"/>
      <c r="AG250" s="1"/>
      <c r="AH250" s="1"/>
      <c r="AI250" s="1"/>
      <c r="AJ250" s="1"/>
      <c r="AK250" s="1"/>
    </row>
    <row r="251" spans="1:37">
      <c r="A251" s="50">
        <v>45266</v>
      </c>
      <c r="B251" s="51">
        <v>1146.07</v>
      </c>
      <c r="C251" s="52">
        <f t="shared" si="26"/>
        <v>-7.9806801755403639E-3</v>
      </c>
      <c r="D251" s="53">
        <v>20855.099999999999</v>
      </c>
      <c r="E251" s="54">
        <f t="shared" si="27"/>
        <v>8.1356227159347649E-3</v>
      </c>
      <c r="F251" s="55">
        <v>16169.55</v>
      </c>
      <c r="G251" s="54">
        <f t="shared" si="28"/>
        <v>-3.7030989577717553E-3</v>
      </c>
      <c r="K251" s="6"/>
      <c r="L251" s="7"/>
      <c r="W251" s="2">
        <v>45264</v>
      </c>
      <c r="X251" s="3">
        <v>1218.5</v>
      </c>
      <c r="Y251" s="1">
        <f t="shared" si="25"/>
        <v>1.1287243754668275E-2</v>
      </c>
      <c r="Z251" s="1"/>
      <c r="AA251" s="1"/>
      <c r="AB251" s="1"/>
      <c r="AC251" s="1"/>
      <c r="AD251" s="1"/>
      <c r="AE251" s="1"/>
      <c r="AF251" s="1"/>
      <c r="AG251" s="1"/>
      <c r="AH251" s="1"/>
      <c r="AI251" s="1"/>
      <c r="AJ251" s="1"/>
      <c r="AK251" s="1"/>
    </row>
    <row r="252" spans="1:37">
      <c r="A252" s="50">
        <v>45265</v>
      </c>
      <c r="B252" s="51">
        <v>1155.29</v>
      </c>
      <c r="C252" s="52">
        <f t="shared" si="26"/>
        <v>3.552814454482208E-3</v>
      </c>
      <c r="D252" s="53">
        <v>20686.8</v>
      </c>
      <c r="E252" s="54">
        <f t="shared" si="27"/>
        <v>2.0668150129021644E-2</v>
      </c>
      <c r="F252" s="55">
        <v>16229.65</v>
      </c>
      <c r="G252" s="54">
        <f t="shared" si="28"/>
        <v>7.7025461536565532E-5</v>
      </c>
      <c r="K252" s="6"/>
      <c r="L252" s="7"/>
      <c r="W252" s="2">
        <v>45261</v>
      </c>
      <c r="X252" s="3">
        <v>1204.9000000000001</v>
      </c>
      <c r="Y252" s="1">
        <f t="shared" si="25"/>
        <v>-7.0869386073341145E-3</v>
      </c>
      <c r="Z252" s="1"/>
      <c r="AA252" s="1"/>
      <c r="AB252" s="1"/>
      <c r="AC252" s="1"/>
      <c r="AD252" s="1"/>
      <c r="AE252" s="1"/>
      <c r="AF252" s="1"/>
      <c r="AG252" s="1"/>
      <c r="AH252" s="1"/>
      <c r="AI252" s="1"/>
      <c r="AJ252" s="1"/>
      <c r="AK252" s="1"/>
    </row>
    <row r="253" spans="1:37">
      <c r="A253" s="50">
        <v>45264</v>
      </c>
      <c r="B253" s="51">
        <v>1151.2</v>
      </c>
      <c r="C253" s="52">
        <f t="shared" si="26"/>
        <v>1.1479458726127388E-3</v>
      </c>
      <c r="D253" s="53">
        <v>20267.900000000001</v>
      </c>
      <c r="E253" s="54">
        <f t="shared" si="27"/>
        <v>6.6929417403635292E-3</v>
      </c>
      <c r="F253" s="55">
        <v>16228.4</v>
      </c>
      <c r="G253" s="54">
        <f t="shared" si="28"/>
        <v>-1.7623123506416993E-3</v>
      </c>
      <c r="K253" s="6"/>
      <c r="L253" s="7"/>
      <c r="W253" s="2">
        <v>45260</v>
      </c>
      <c r="X253" s="3">
        <v>1213.5</v>
      </c>
      <c r="Y253" s="1">
        <f t="shared" si="25"/>
        <v>1.0323869786029505E-2</v>
      </c>
      <c r="Z253" s="1"/>
      <c r="AA253" s="1"/>
      <c r="AB253" s="1"/>
      <c r="AC253" s="1"/>
      <c r="AD253" s="1"/>
      <c r="AE253" s="1"/>
      <c r="AF253" s="1"/>
      <c r="AG253" s="1"/>
      <c r="AH253" s="1"/>
      <c r="AI253" s="1"/>
      <c r="AJ253" s="1"/>
      <c r="AK253" s="1"/>
    </row>
    <row r="254" spans="1:37">
      <c r="A254" s="50">
        <v>45261</v>
      </c>
      <c r="B254" s="51">
        <v>1149.8800000000001</v>
      </c>
      <c r="C254" s="52">
        <f t="shared" si="26"/>
        <v>-6.6947124728972121E-3</v>
      </c>
      <c r="D254" s="53">
        <v>20133.150000000001</v>
      </c>
      <c r="E254" s="54">
        <f t="shared" si="27"/>
        <v>1.8187156036345905E-3</v>
      </c>
      <c r="F254" s="55">
        <v>16257.05</v>
      </c>
      <c r="G254" s="54">
        <f t="shared" si="28"/>
        <v>1.1176865428076802E-3</v>
      </c>
      <c r="K254" s="6"/>
      <c r="L254" s="7"/>
      <c r="W254" s="2">
        <v>45259</v>
      </c>
      <c r="X254" s="3">
        <v>1201.0999999999999</v>
      </c>
      <c r="Y254" s="1">
        <f t="shared" si="25"/>
        <v>8.0570709190095346E-3</v>
      </c>
      <c r="Z254" s="1"/>
      <c r="AA254" s="1"/>
      <c r="AB254" s="1"/>
      <c r="AC254" s="1"/>
      <c r="AD254" s="1"/>
      <c r="AE254" s="1"/>
      <c r="AF254" s="1"/>
      <c r="AG254" s="1"/>
      <c r="AH254" s="1"/>
      <c r="AI254" s="1"/>
      <c r="AJ254" s="1"/>
      <c r="AK254" s="1"/>
    </row>
    <row r="255" spans="1:37">
      <c r="A255" s="50">
        <v>45260</v>
      </c>
      <c r="B255" s="51">
        <v>1157.6300000000001</v>
      </c>
      <c r="C255" s="52">
        <f t="shared" si="26"/>
        <v>1.2737627616856512E-2</v>
      </c>
      <c r="D255" s="53">
        <v>20096.599999999999</v>
      </c>
      <c r="E255" s="54">
        <f t="shared" si="27"/>
        <v>1.0402369065395546E-2</v>
      </c>
      <c r="F255" s="55">
        <v>16238.9</v>
      </c>
      <c r="G255" s="54">
        <f t="shared" si="28"/>
        <v>1.5559627519527662E-2</v>
      </c>
      <c r="K255" s="6"/>
      <c r="L255" s="7"/>
      <c r="W255" s="2">
        <v>45258</v>
      </c>
      <c r="X255" s="3">
        <v>1191.5</v>
      </c>
      <c r="Y255" s="1">
        <f t="shared" si="25"/>
        <v>-3.9707419017763756E-3</v>
      </c>
      <c r="Z255" s="1"/>
      <c r="AA255" s="1"/>
      <c r="AB255" s="1"/>
      <c r="AC255" s="1"/>
      <c r="AD255" s="1"/>
      <c r="AE255" s="1"/>
      <c r="AF255" s="1"/>
      <c r="AG255" s="1"/>
      <c r="AH255" s="1"/>
      <c r="AI255" s="1"/>
      <c r="AJ255" s="1"/>
      <c r="AK255" s="1"/>
    </row>
    <row r="256" spans="1:37">
      <c r="A256" s="50">
        <v>45259</v>
      </c>
      <c r="B256" s="51">
        <v>1143.07</v>
      </c>
      <c r="C256" s="52">
        <f t="shared" si="26"/>
        <v>6.9681806969941274E-3</v>
      </c>
      <c r="D256" s="53">
        <v>19889.7</v>
      </c>
      <c r="E256" s="54">
        <f t="shared" si="27"/>
        <v>4.7992644495748861E-3</v>
      </c>
      <c r="F256" s="55">
        <v>15990.1</v>
      </c>
      <c r="G256" s="65">
        <f t="shared" si="28"/>
        <v>5.6476921819085864E-3</v>
      </c>
      <c r="K256" s="6"/>
      <c r="L256" s="7"/>
      <c r="W256" s="2">
        <v>45254</v>
      </c>
      <c r="X256" s="3">
        <v>1196.25</v>
      </c>
      <c r="Y256" s="1">
        <f t="shared" si="25"/>
        <v>1.8605245231607448E-2</v>
      </c>
      <c r="Z256" s="1"/>
      <c r="AA256" s="1"/>
      <c r="AB256" s="1"/>
      <c r="AC256" s="1"/>
      <c r="AD256" s="1"/>
      <c r="AE256" s="1"/>
      <c r="AF256" s="1"/>
      <c r="AG256" s="1"/>
      <c r="AH256" s="1"/>
      <c r="AI256" s="1"/>
      <c r="AJ256" s="1"/>
      <c r="AK256" s="1"/>
    </row>
    <row r="257" spans="1:37">
      <c r="A257" s="50">
        <v>45258</v>
      </c>
      <c r="B257" s="51">
        <v>1135.1600000000001</v>
      </c>
      <c r="C257" s="52">
        <f t="shared" si="26"/>
        <v>5.2513659750449988E-3</v>
      </c>
      <c r="D257" s="53">
        <v>19794.7</v>
      </c>
      <c r="E257" s="54">
        <f t="shared" si="27"/>
        <v>-3.6864963135033191E-4</v>
      </c>
      <c r="F257" s="55">
        <v>15900.3</v>
      </c>
      <c r="G257" s="65">
        <f t="shared" si="28"/>
        <v>-3.3971606756714864E-3</v>
      </c>
      <c r="H257" s="37"/>
      <c r="K257" s="6"/>
      <c r="L257" s="7"/>
      <c r="W257" s="2">
        <v>45253</v>
      </c>
      <c r="X257" s="3">
        <v>1174.4000000000001</v>
      </c>
      <c r="Y257" s="1">
        <f t="shared" si="25"/>
        <v>-7.7382355251787271E-2</v>
      </c>
      <c r="Z257" s="1"/>
      <c r="AA257" s="1"/>
      <c r="AB257" s="1"/>
      <c r="AC257" s="1"/>
      <c r="AD257" s="1"/>
      <c r="AE257" s="1"/>
      <c r="AF257" s="1"/>
      <c r="AG257" s="1"/>
      <c r="AH257" s="1"/>
      <c r="AI257" s="1"/>
      <c r="AJ257" s="1"/>
      <c r="AK257" s="1"/>
    </row>
    <row r="258" spans="1:37">
      <c r="A258" s="58">
        <v>45254</v>
      </c>
      <c r="B258" s="59">
        <v>1129.23</v>
      </c>
      <c r="C258" s="60">
        <f t="shared" si="26"/>
        <v>2.6573835401659491E-4</v>
      </c>
      <c r="D258" s="61">
        <v>19802</v>
      </c>
      <c r="E258" s="62">
        <f t="shared" si="27"/>
        <v>-4.9717719445677947E-4</v>
      </c>
      <c r="F258" s="63">
        <v>15954.5</v>
      </c>
      <c r="G258" s="66">
        <f t="shared" si="28"/>
        <v>8.6644813165206325E-3</v>
      </c>
      <c r="H258" s="37"/>
      <c r="K258" s="6"/>
      <c r="L258" s="7"/>
      <c r="W258" s="2">
        <v>45252</v>
      </c>
      <c r="X258" s="3">
        <v>1272.9000000000001</v>
      </c>
      <c r="Y258" s="1">
        <f t="shared" si="25"/>
        <v>1.5071770334928347E-2</v>
      </c>
      <c r="Z258" s="1"/>
      <c r="AA258" s="1"/>
      <c r="AB258" s="1"/>
      <c r="AC258" s="1"/>
      <c r="AD258" s="1"/>
      <c r="AE258" s="1"/>
      <c r="AF258" s="1"/>
      <c r="AG258" s="1"/>
      <c r="AH258" s="1"/>
      <c r="AI258" s="1"/>
      <c r="AJ258" s="1"/>
      <c r="AK258" s="1"/>
    </row>
    <row r="259" spans="1:37">
      <c r="A259" s="50">
        <v>45253</v>
      </c>
      <c r="B259" s="51">
        <v>1128.93</v>
      </c>
      <c r="C259" s="52">
        <f t="shared" si="26"/>
        <v>-3.5130769434465383E-3</v>
      </c>
      <c r="D259" s="53">
        <v>19811.849999999999</v>
      </c>
      <c r="E259" s="54">
        <f t="shared" si="27"/>
        <v>1.4380743451579145E-3</v>
      </c>
      <c r="F259" s="55">
        <v>15817.45</v>
      </c>
      <c r="G259" s="65">
        <f t="shared" si="28"/>
        <v>-1.5703369052508343E-2</v>
      </c>
      <c r="H259" s="37"/>
      <c r="K259" s="6"/>
      <c r="L259" s="7"/>
      <c r="W259" s="2">
        <v>45251</v>
      </c>
      <c r="X259" s="3">
        <v>1254</v>
      </c>
      <c r="Y259" s="1">
        <f t="shared" si="25"/>
        <v>4.2042042042043093E-3</v>
      </c>
      <c r="Z259" s="1"/>
      <c r="AA259" s="1"/>
      <c r="AB259" s="1"/>
      <c r="AC259" s="1"/>
      <c r="AD259" s="1"/>
      <c r="AE259" s="1"/>
      <c r="AF259" s="1"/>
      <c r="AG259" s="1"/>
      <c r="AH259" s="1"/>
      <c r="AI259" s="1"/>
      <c r="AJ259" s="1"/>
      <c r="AK259" s="1"/>
    </row>
    <row r="260" spans="1:37">
      <c r="A260" s="50">
        <v>45252</v>
      </c>
      <c r="B260" s="51">
        <v>1132.9100000000001</v>
      </c>
      <c r="C260" s="52">
        <f t="shared" si="26"/>
        <v>3.2055539321167443E-3</v>
      </c>
      <c r="D260" s="53">
        <v>19783.400000000001</v>
      </c>
      <c r="E260" s="54">
        <f t="shared" si="27"/>
        <v>4.5394536407028256E-3</v>
      </c>
      <c r="F260" s="55">
        <v>16069.8</v>
      </c>
      <c r="G260" s="65">
        <f t="shared" si="28"/>
        <v>6.3185316458866693E-3</v>
      </c>
      <c r="H260" s="37"/>
      <c r="K260" s="6"/>
      <c r="L260" s="7"/>
      <c r="W260" s="2">
        <v>45250</v>
      </c>
      <c r="X260" s="3">
        <v>1248.75</v>
      </c>
      <c r="Y260" s="1"/>
      <c r="Z260" s="1"/>
      <c r="AA260" s="1"/>
      <c r="AB260" s="1"/>
      <c r="AC260" s="1"/>
      <c r="AD260" s="1"/>
      <c r="AE260" s="1"/>
      <c r="AF260" s="1"/>
      <c r="AG260" s="1"/>
      <c r="AH260" s="1"/>
      <c r="AI260" s="1"/>
      <c r="AJ260" s="1"/>
      <c r="AK260" s="1"/>
    </row>
    <row r="261" spans="1:37">
      <c r="A261" s="50">
        <v>45251</v>
      </c>
      <c r="B261" s="51">
        <v>1129.29</v>
      </c>
      <c r="C261" s="52">
        <f t="shared" si="26"/>
        <v>7.5479778378523387E-3</v>
      </c>
      <c r="D261" s="53">
        <v>19694</v>
      </c>
      <c r="E261" s="54">
        <f t="shared" si="27"/>
        <v>-1.9156893947840173E-3</v>
      </c>
      <c r="F261" s="55">
        <v>15968.9</v>
      </c>
      <c r="G261" s="65">
        <f t="shared" si="28"/>
        <v>1.0258275736631479E-2</v>
      </c>
      <c r="H261" s="37"/>
      <c r="K261" s="6"/>
      <c r="L261" s="7"/>
    </row>
    <row r="262" spans="1:37">
      <c r="A262" s="50">
        <v>45250</v>
      </c>
      <c r="B262" s="51">
        <v>1120.83</v>
      </c>
      <c r="C262" s="52">
        <f t="shared" si="26"/>
        <v>-1.3187087346633445E-3</v>
      </c>
      <c r="D262" s="53">
        <v>19731.8</v>
      </c>
      <c r="E262" s="54">
        <f t="shared" si="27"/>
        <v>-1.6898387064133657E-3</v>
      </c>
      <c r="F262" s="55">
        <v>15806.75</v>
      </c>
      <c r="G262" s="65">
        <f t="shared" si="28"/>
        <v>1.4236451643519251E-4</v>
      </c>
      <c r="H262" s="39"/>
      <c r="K262" s="6"/>
      <c r="L262" s="7"/>
    </row>
    <row r="263" spans="1:37">
      <c r="A263" s="58">
        <v>45247</v>
      </c>
      <c r="B263" s="59">
        <v>1122.31</v>
      </c>
      <c r="C263" s="60">
        <f t="shared" si="26"/>
        <v>1.2138702259097297E-2</v>
      </c>
      <c r="D263" s="61">
        <v>19765.2</v>
      </c>
      <c r="E263" s="62">
        <f t="shared" si="27"/>
        <v>4.5615220998757337E-3</v>
      </c>
      <c r="F263" s="63">
        <v>15804.5</v>
      </c>
      <c r="G263" s="66">
        <f t="shared" si="28"/>
        <v>9.8012280287008355E-3</v>
      </c>
      <c r="H263" s="37"/>
      <c r="K263" s="6"/>
      <c r="L263" s="7"/>
    </row>
    <row r="264" spans="1:37">
      <c r="A264" s="50">
        <v>45246</v>
      </c>
      <c r="B264" s="51">
        <v>1108.8499999999999</v>
      </c>
      <c r="C264" s="52">
        <f t="shared" si="26"/>
        <v>2.2933790902130002E-2</v>
      </c>
      <c r="D264" s="53">
        <v>19675.45</v>
      </c>
      <c r="E264" s="54">
        <f t="shared" si="27"/>
        <v>1.1926834348665828E-2</v>
      </c>
      <c r="F264" s="55">
        <v>15651.1</v>
      </c>
      <c r="G264" s="65">
        <f t="shared" si="28"/>
        <v>8.6908885845484798E-3</v>
      </c>
      <c r="H264" s="37"/>
      <c r="K264" s="6"/>
      <c r="L264" s="7"/>
    </row>
    <row r="265" spans="1:37">
      <c r="A265" s="50">
        <v>45245</v>
      </c>
      <c r="B265" s="51">
        <v>1083.99</v>
      </c>
      <c r="C265" s="52">
        <f t="shared" si="26"/>
        <v>1.8450695129922239E-5</v>
      </c>
      <c r="D265" s="53">
        <v>19443.55</v>
      </c>
      <c r="E265" s="54">
        <f t="shared" si="27"/>
        <v>-4.1996256187405738E-3</v>
      </c>
      <c r="F265" s="55">
        <v>15516.25</v>
      </c>
      <c r="G265" s="65">
        <f t="shared" si="28"/>
        <v>1.2324846826674816E-3</v>
      </c>
      <c r="H265" s="37"/>
      <c r="K265" s="6"/>
      <c r="L265" s="7"/>
    </row>
    <row r="266" spans="1:37">
      <c r="A266" s="58">
        <v>45243</v>
      </c>
      <c r="B266" s="59">
        <v>1083.97</v>
      </c>
      <c r="C266" s="60">
        <f t="shared" ref="C266:C329" si="29">(B266-B267)/B267</f>
        <v>-5.4864902059727676E-3</v>
      </c>
      <c r="D266" s="61">
        <v>19525.55</v>
      </c>
      <c r="E266" s="62">
        <f t="shared" ref="E266:E329" si="30">(D266-D267)/D267</f>
        <v>5.1582082176125903E-3</v>
      </c>
      <c r="F266" s="63">
        <v>15497.15</v>
      </c>
      <c r="G266" s="66">
        <f t="shared" ref="G266:G329" si="31">(F266-F267)/F267</f>
        <v>-1.2470595817355953E-3</v>
      </c>
      <c r="H266" s="37"/>
      <c r="K266" s="6"/>
      <c r="L266" s="7"/>
    </row>
    <row r="267" spans="1:37">
      <c r="A267" s="50">
        <v>45242</v>
      </c>
      <c r="B267" s="51">
        <v>1089.95</v>
      </c>
      <c r="C267" s="52">
        <f t="shared" si="29"/>
        <v>4.5807295987023051E-3</v>
      </c>
      <c r="D267" s="53">
        <v>19425.349999999999</v>
      </c>
      <c r="E267" s="54">
        <f t="shared" si="30"/>
        <v>1.5493444288048792E-3</v>
      </c>
      <c r="F267" s="55">
        <v>15516.5</v>
      </c>
      <c r="G267" s="65">
        <f t="shared" si="31"/>
        <v>1.5911592224298347E-3</v>
      </c>
      <c r="H267" s="37"/>
      <c r="K267" s="6"/>
      <c r="L267" s="7"/>
    </row>
    <row r="268" spans="1:37">
      <c r="A268" s="50">
        <v>45240</v>
      </c>
      <c r="B268" s="51">
        <v>1084.98</v>
      </c>
      <c r="C268" s="52">
        <f t="shared" si="29"/>
        <v>-6.0553870958875589E-3</v>
      </c>
      <c r="D268" s="53">
        <v>19395.3</v>
      </c>
      <c r="E268" s="54">
        <f t="shared" si="30"/>
        <v>-2.4789775503381967E-3</v>
      </c>
      <c r="F268" s="55">
        <v>15491.85</v>
      </c>
      <c r="G268" s="65">
        <f t="shared" si="31"/>
        <v>-3.4844891835645914E-4</v>
      </c>
      <c r="K268" s="6"/>
      <c r="L268" s="7"/>
    </row>
    <row r="269" spans="1:37">
      <c r="A269" s="50">
        <v>45239</v>
      </c>
      <c r="B269" s="51">
        <v>1091.5899999999999</v>
      </c>
      <c r="C269" s="52">
        <f t="shared" si="29"/>
        <v>8.0681391020517065E-4</v>
      </c>
      <c r="D269" s="53">
        <v>19443.5</v>
      </c>
      <c r="E269" s="54">
        <f t="shared" si="30"/>
        <v>1.8962523252278477E-3</v>
      </c>
      <c r="F269" s="55">
        <v>15497.25</v>
      </c>
      <c r="G269" s="54">
        <f t="shared" si="31"/>
        <v>1.4765825789447837E-2</v>
      </c>
      <c r="K269" s="6"/>
      <c r="L269" s="7"/>
    </row>
    <row r="270" spans="1:37">
      <c r="A270" s="50">
        <v>45238</v>
      </c>
      <c r="B270" s="51">
        <v>1090.71</v>
      </c>
      <c r="C270" s="52">
        <f t="shared" si="29"/>
        <v>9.1037775125594623E-3</v>
      </c>
      <c r="D270" s="53">
        <v>19406.7</v>
      </c>
      <c r="E270" s="54">
        <f t="shared" si="30"/>
        <v>-2.6015171223610817E-4</v>
      </c>
      <c r="F270" s="55">
        <v>15271.75</v>
      </c>
      <c r="G270" s="54">
        <f t="shared" si="31"/>
        <v>1.3232884164991457E-2</v>
      </c>
      <c r="K270" s="6"/>
      <c r="L270" s="7"/>
    </row>
    <row r="271" spans="1:37">
      <c r="A271" s="50">
        <v>45237</v>
      </c>
      <c r="B271" s="51">
        <v>1080.8699999999999</v>
      </c>
      <c r="C271" s="52">
        <f t="shared" si="29"/>
        <v>1.2410782862816359E-2</v>
      </c>
      <c r="D271" s="53">
        <v>19411.75</v>
      </c>
      <c r="E271" s="54">
        <f t="shared" si="30"/>
        <v>9.4198828949695525E-3</v>
      </c>
      <c r="F271" s="55">
        <v>15072.3</v>
      </c>
      <c r="G271" s="54">
        <f t="shared" si="31"/>
        <v>1.2763441257597014E-2</v>
      </c>
      <c r="K271" s="6"/>
      <c r="L271" s="7"/>
    </row>
    <row r="272" spans="1:37">
      <c r="A272" s="50">
        <v>45236</v>
      </c>
      <c r="B272" s="51">
        <v>1067.6199999999999</v>
      </c>
      <c r="C272" s="52">
        <f t="shared" si="29"/>
        <v>1.4259792325742671E-2</v>
      </c>
      <c r="D272" s="53">
        <v>19230.599999999999</v>
      </c>
      <c r="E272" s="54">
        <f t="shared" si="30"/>
        <v>5.0880012543607876E-3</v>
      </c>
      <c r="F272" s="55">
        <v>14882.35</v>
      </c>
      <c r="G272" s="54">
        <f t="shared" si="31"/>
        <v>3.2289704033516332E-3</v>
      </c>
      <c r="K272" s="6"/>
      <c r="L272" s="7"/>
    </row>
    <row r="273" spans="1:12">
      <c r="A273" s="50">
        <v>45233</v>
      </c>
      <c r="B273" s="51">
        <v>1052.6099999999999</v>
      </c>
      <c r="C273" s="52">
        <f t="shared" si="29"/>
        <v>-1.4133183478505333E-2</v>
      </c>
      <c r="D273" s="53">
        <v>19133.25</v>
      </c>
      <c r="E273" s="54">
        <f t="shared" si="30"/>
        <v>7.5885439843278151E-3</v>
      </c>
      <c r="F273" s="55">
        <v>14834.45</v>
      </c>
      <c r="G273" s="54">
        <f t="shared" si="31"/>
        <v>6.7321558846983069E-3</v>
      </c>
      <c r="K273" s="6"/>
      <c r="L273" s="7"/>
    </row>
    <row r="274" spans="1:12">
      <c r="A274" s="50">
        <v>45232</v>
      </c>
      <c r="B274" s="51">
        <v>1067.7</v>
      </c>
      <c r="C274" s="52">
        <f t="shared" si="29"/>
        <v>-1.4869679881041795E-3</v>
      </c>
      <c r="D274" s="53">
        <v>18989.150000000001</v>
      </c>
      <c r="E274" s="54">
        <f t="shared" si="30"/>
        <v>-4.7406654227550417E-3</v>
      </c>
      <c r="F274" s="55">
        <v>14735.25</v>
      </c>
      <c r="G274" s="54">
        <f t="shared" si="31"/>
        <v>3.5141126354823471E-3</v>
      </c>
      <c r="K274" s="6"/>
      <c r="L274" s="7"/>
    </row>
    <row r="275" spans="1:12">
      <c r="A275" s="50">
        <v>45231</v>
      </c>
      <c r="B275" s="51">
        <v>1069.29</v>
      </c>
      <c r="C275" s="52">
        <f t="shared" si="29"/>
        <v>-3.9310299857477126E-3</v>
      </c>
      <c r="D275" s="53">
        <v>19079.599999999999</v>
      </c>
      <c r="E275" s="54">
        <f t="shared" si="30"/>
        <v>-3.2025662325179541E-3</v>
      </c>
      <c r="F275" s="55">
        <v>14683.65</v>
      </c>
      <c r="G275" s="54">
        <f t="shared" si="31"/>
        <v>-6.223097539186275E-3</v>
      </c>
      <c r="K275" s="6"/>
      <c r="L275" s="7"/>
    </row>
    <row r="276" spans="1:12">
      <c r="A276" s="50">
        <v>45230</v>
      </c>
      <c r="B276" s="51">
        <v>1073.51</v>
      </c>
      <c r="C276" s="52">
        <f t="shared" si="29"/>
        <v>4.1531424509153331E-3</v>
      </c>
      <c r="D276" s="53">
        <v>19140.900000000001</v>
      </c>
      <c r="E276" s="54">
        <f t="shared" si="30"/>
        <v>4.9167202614551417E-3</v>
      </c>
      <c r="F276" s="55">
        <v>14775.6</v>
      </c>
      <c r="G276" s="54">
        <f t="shared" si="31"/>
        <v>2.5172168131085502E-3</v>
      </c>
      <c r="K276" s="6"/>
      <c r="L276" s="7"/>
    </row>
    <row r="277" spans="1:12">
      <c r="A277" s="50">
        <v>45229</v>
      </c>
      <c r="B277" s="51">
        <v>1069.07</v>
      </c>
      <c r="C277" s="52">
        <f t="shared" si="29"/>
        <v>-9.625182961851388E-3</v>
      </c>
      <c r="D277" s="53">
        <v>19047.25</v>
      </c>
      <c r="E277" s="54">
        <f t="shared" si="30"/>
        <v>1.007570032746026E-2</v>
      </c>
      <c r="F277" s="55">
        <v>14738.5</v>
      </c>
      <c r="G277" s="54">
        <f t="shared" si="31"/>
        <v>6.1405395073233001E-3</v>
      </c>
      <c r="K277" s="6"/>
      <c r="L277" s="7"/>
    </row>
    <row r="278" spans="1:12">
      <c r="A278" s="50">
        <v>45226</v>
      </c>
      <c r="B278" s="51">
        <v>1079.46</v>
      </c>
      <c r="C278" s="52">
        <f t="shared" si="29"/>
        <v>-4.5463348057433791E-3</v>
      </c>
      <c r="D278" s="53">
        <v>18857.25</v>
      </c>
      <c r="E278" s="54">
        <f t="shared" si="30"/>
        <v>-1.3853044767455618E-2</v>
      </c>
      <c r="F278" s="55">
        <v>14648.55</v>
      </c>
      <c r="G278" s="54">
        <f t="shared" si="31"/>
        <v>-1.0243139427640961E-2</v>
      </c>
      <c r="K278" s="6"/>
      <c r="L278" s="7"/>
    </row>
    <row r="279" spans="1:12">
      <c r="A279" s="50">
        <v>45225</v>
      </c>
      <c r="B279" s="51">
        <v>1084.3900000000001</v>
      </c>
      <c r="C279" s="52">
        <f t="shared" si="29"/>
        <v>-1.6667120070368146E-2</v>
      </c>
      <c r="D279" s="53">
        <v>19122.150000000001</v>
      </c>
      <c r="E279" s="54">
        <f t="shared" si="30"/>
        <v>-8.2772569917148875E-3</v>
      </c>
      <c r="F279" s="55">
        <v>14800.15</v>
      </c>
      <c r="G279" s="54">
        <f t="shared" si="31"/>
        <v>-7.4773750725104201E-3</v>
      </c>
      <c r="K279" s="6"/>
      <c r="L279" s="7"/>
    </row>
    <row r="280" spans="1:12">
      <c r="A280" s="50">
        <v>45224</v>
      </c>
      <c r="B280" s="51">
        <v>1102.77</v>
      </c>
      <c r="C280" s="52">
        <f t="shared" si="29"/>
        <v>-6.8624537324724804E-3</v>
      </c>
      <c r="D280" s="53">
        <v>19281.75</v>
      </c>
      <c r="E280" s="54">
        <f t="shared" si="30"/>
        <v>-1.335028770407296E-2</v>
      </c>
      <c r="F280" s="55">
        <v>14911.65</v>
      </c>
      <c r="G280" s="54">
        <f t="shared" si="31"/>
        <v>-1.2940892226528498E-2</v>
      </c>
      <c r="K280" s="6"/>
      <c r="L280" s="7"/>
    </row>
    <row r="281" spans="1:12">
      <c r="A281" s="50">
        <v>45222</v>
      </c>
      <c r="B281" s="51">
        <v>1110.3900000000001</v>
      </c>
      <c r="C281" s="52">
        <f t="shared" si="29"/>
        <v>-3.1152927656974846E-3</v>
      </c>
      <c r="D281" s="53">
        <v>19542.650000000001</v>
      </c>
      <c r="E281" s="54">
        <f t="shared" si="30"/>
        <v>-4.1809556324427519E-3</v>
      </c>
      <c r="F281" s="55">
        <v>15107.15</v>
      </c>
      <c r="G281" s="54">
        <f t="shared" si="31"/>
        <v>-1.0884937211099035E-2</v>
      </c>
      <c r="K281" s="6"/>
      <c r="L281" s="7"/>
    </row>
    <row r="282" spans="1:12">
      <c r="A282" s="50">
        <v>45219</v>
      </c>
      <c r="B282" s="51">
        <v>1113.8599999999999</v>
      </c>
      <c r="C282" s="52">
        <f t="shared" si="29"/>
        <v>-1.0939636647782915E-2</v>
      </c>
      <c r="D282" s="53">
        <v>19624.7</v>
      </c>
      <c r="E282" s="54">
        <f t="shared" si="30"/>
        <v>-2.3587903065917931E-3</v>
      </c>
      <c r="F282" s="55">
        <v>15273.4</v>
      </c>
      <c r="G282" s="54">
        <f t="shared" si="31"/>
        <v>-3.7765877648992347E-3</v>
      </c>
      <c r="K282" s="6"/>
      <c r="L282" s="7"/>
    </row>
    <row r="283" spans="1:12">
      <c r="A283" s="50">
        <v>45218</v>
      </c>
      <c r="B283" s="51">
        <v>1126.18</v>
      </c>
      <c r="C283" s="52">
        <f t="shared" si="29"/>
        <v>-8.1991034707482625E-3</v>
      </c>
      <c r="D283" s="53">
        <v>19671.099999999999</v>
      </c>
      <c r="E283" s="54">
        <f t="shared" si="30"/>
        <v>-7.0867930242536634E-3</v>
      </c>
      <c r="F283" s="55">
        <v>15331.3</v>
      </c>
      <c r="G283" s="54">
        <f t="shared" si="31"/>
        <v>7.8458054358578975E-3</v>
      </c>
      <c r="K283" s="6"/>
      <c r="L283" s="7"/>
    </row>
    <row r="284" spans="1:12">
      <c r="A284" s="50">
        <v>45217</v>
      </c>
      <c r="B284" s="51">
        <v>1135.49</v>
      </c>
      <c r="C284" s="52">
        <f t="shared" si="29"/>
        <v>2.4052596453887985E-2</v>
      </c>
      <c r="D284" s="53">
        <v>19811.5</v>
      </c>
      <c r="E284" s="54">
        <f t="shared" si="30"/>
        <v>4.0417094276990126E-3</v>
      </c>
      <c r="F284" s="55">
        <v>15211.95</v>
      </c>
      <c r="G284" s="54">
        <f t="shared" si="31"/>
        <v>3.112481247630243E-3</v>
      </c>
      <c r="K284" s="6"/>
      <c r="L284" s="7"/>
    </row>
    <row r="285" spans="1:12">
      <c r="A285" s="50">
        <v>45216</v>
      </c>
      <c r="B285" s="51">
        <v>1108.82</v>
      </c>
      <c r="C285" s="52">
        <f t="shared" si="29"/>
        <v>9.2843749431104905E-3</v>
      </c>
      <c r="D285" s="53">
        <v>19731.75</v>
      </c>
      <c r="E285" s="54">
        <f t="shared" si="30"/>
        <v>-9.7716323942267751E-4</v>
      </c>
      <c r="F285" s="55">
        <v>15164.75</v>
      </c>
      <c r="G285" s="54">
        <f t="shared" si="31"/>
        <v>-4.6143596509364447E-3</v>
      </c>
      <c r="K285" s="6"/>
      <c r="L285" s="7"/>
    </row>
    <row r="286" spans="1:12">
      <c r="A286" s="50">
        <v>45215</v>
      </c>
      <c r="B286" s="51">
        <v>1098.6199999999999</v>
      </c>
      <c r="C286" s="52">
        <f t="shared" si="29"/>
        <v>6.0254203142741363E-3</v>
      </c>
      <c r="D286" s="53">
        <v>19751.05</v>
      </c>
      <c r="E286" s="54">
        <f t="shared" si="30"/>
        <v>-2.1698494493281161E-3</v>
      </c>
      <c r="F286" s="55">
        <v>15235.05</v>
      </c>
      <c r="G286" s="54">
        <f t="shared" si="31"/>
        <v>3.2167362473823958E-3</v>
      </c>
      <c r="K286" s="6"/>
      <c r="L286" s="7"/>
    </row>
    <row r="287" spans="1:12">
      <c r="A287" s="50">
        <v>45212</v>
      </c>
      <c r="B287" s="51">
        <v>1092.04</v>
      </c>
      <c r="C287" s="52">
        <f t="shared" si="29"/>
        <v>-1.265777006256555E-2</v>
      </c>
      <c r="D287" s="53">
        <v>19794</v>
      </c>
      <c r="E287" s="54">
        <f t="shared" si="30"/>
        <v>-8.7576061197235653E-4</v>
      </c>
      <c r="F287" s="55">
        <v>15186.2</v>
      </c>
      <c r="G287" s="54">
        <f t="shared" si="31"/>
        <v>6.3255274567428565E-4</v>
      </c>
      <c r="K287" s="6"/>
      <c r="L287" s="7"/>
    </row>
    <row r="288" spans="1:12">
      <c r="A288" s="50">
        <v>45211</v>
      </c>
      <c r="B288" s="51">
        <v>1106.04</v>
      </c>
      <c r="C288" s="52">
        <f t="shared" si="29"/>
        <v>-6.7174365974567302E-3</v>
      </c>
      <c r="D288" s="53">
        <v>19811.349999999999</v>
      </c>
      <c r="E288" s="54">
        <f t="shared" si="30"/>
        <v>6.1706920062875037E-3</v>
      </c>
      <c r="F288" s="55">
        <v>15176.6</v>
      </c>
      <c r="G288" s="54">
        <f t="shared" si="31"/>
        <v>4.627085994955856E-3</v>
      </c>
      <c r="K288" s="6"/>
      <c r="L288" s="7"/>
    </row>
    <row r="289" spans="1:12">
      <c r="A289" s="50">
        <v>45210</v>
      </c>
      <c r="B289" s="51">
        <v>1113.52</v>
      </c>
      <c r="C289" s="52">
        <f t="shared" si="29"/>
        <v>1.625430086427973E-2</v>
      </c>
      <c r="D289" s="53">
        <v>19689.849999999999</v>
      </c>
      <c r="E289" s="54">
        <f t="shared" si="30"/>
        <v>9.0968027941278218E-3</v>
      </c>
      <c r="F289" s="55">
        <v>15106.7</v>
      </c>
      <c r="G289" s="54">
        <f t="shared" si="31"/>
        <v>1.8869361123159749E-4</v>
      </c>
      <c r="K289" s="6"/>
      <c r="L289" s="7"/>
    </row>
    <row r="290" spans="1:12">
      <c r="A290" s="50">
        <v>45209</v>
      </c>
      <c r="B290" s="51">
        <v>1095.71</v>
      </c>
      <c r="C290" s="52">
        <f t="shared" si="29"/>
        <v>-2.9664140058418254E-3</v>
      </c>
      <c r="D290" s="53">
        <v>19512.349999999999</v>
      </c>
      <c r="E290" s="54">
        <f t="shared" si="30"/>
        <v>-7.1819268832524208E-3</v>
      </c>
      <c r="F290" s="55">
        <v>15103.85</v>
      </c>
      <c r="G290" s="54">
        <f t="shared" si="31"/>
        <v>-1.6260753745426903E-3</v>
      </c>
      <c r="K290" s="6"/>
      <c r="L290" s="7"/>
    </row>
    <row r="291" spans="1:12">
      <c r="A291" s="50">
        <v>45208</v>
      </c>
      <c r="B291" s="51">
        <v>1098.97</v>
      </c>
      <c r="C291" s="52">
        <f t="shared" si="29"/>
        <v>1.2894246898560351E-2</v>
      </c>
      <c r="D291" s="53">
        <v>19653.5</v>
      </c>
      <c r="E291" s="54">
        <f t="shared" si="30"/>
        <v>5.512707366051443E-3</v>
      </c>
      <c r="F291" s="55">
        <v>15128.45</v>
      </c>
      <c r="G291" s="54">
        <f t="shared" si="31"/>
        <v>7.1264995273410663E-3</v>
      </c>
      <c r="K291" s="6"/>
      <c r="L291" s="7"/>
    </row>
    <row r="292" spans="1:12">
      <c r="A292" s="50">
        <v>45205</v>
      </c>
      <c r="B292" s="51">
        <v>1084.98</v>
      </c>
      <c r="C292" s="52">
        <f t="shared" si="29"/>
        <v>3.2641361135512252E-3</v>
      </c>
      <c r="D292" s="53">
        <v>19545.75</v>
      </c>
      <c r="E292" s="54">
        <f t="shared" si="30"/>
        <v>5.6415638939911542E-3</v>
      </c>
      <c r="F292" s="55">
        <v>15021.4</v>
      </c>
      <c r="G292" s="54">
        <f t="shared" si="31"/>
        <v>-3.0364070179164609E-3</v>
      </c>
      <c r="K292" s="6"/>
      <c r="L292" s="7"/>
    </row>
    <row r="293" spans="1:12">
      <c r="A293" s="50">
        <v>45204</v>
      </c>
      <c r="B293" s="51">
        <v>1081.45</v>
      </c>
      <c r="C293" s="52">
        <f t="shared" si="29"/>
        <v>-1.9472848757797446E-3</v>
      </c>
      <c r="D293" s="53">
        <v>19436.099999999999</v>
      </c>
      <c r="E293" s="54">
        <f t="shared" si="30"/>
        <v>-4.744287268770477E-3</v>
      </c>
      <c r="F293" s="55">
        <v>15067.15</v>
      </c>
      <c r="G293" s="54">
        <f t="shared" si="31"/>
        <v>-1.4013860077349416E-2</v>
      </c>
      <c r="K293" s="6"/>
      <c r="L293" s="7"/>
    </row>
    <row r="294" spans="1:12">
      <c r="A294" s="50">
        <v>45203</v>
      </c>
      <c r="B294" s="51">
        <v>1083.56</v>
      </c>
      <c r="C294" s="52">
        <f t="shared" si="29"/>
        <v>-8.0377904315505917E-3</v>
      </c>
      <c r="D294" s="53">
        <v>19528.75</v>
      </c>
      <c r="E294" s="54">
        <f t="shared" si="30"/>
        <v>-5.578385094432781E-3</v>
      </c>
      <c r="F294" s="55">
        <v>15281.3</v>
      </c>
      <c r="G294" s="54">
        <f t="shared" si="31"/>
        <v>-9.1715161044561271E-3</v>
      </c>
      <c r="K294" s="6"/>
      <c r="L294" s="7"/>
    </row>
    <row r="295" spans="1:12">
      <c r="A295" s="50">
        <v>45202</v>
      </c>
      <c r="B295" s="51">
        <v>1092.3399999999999</v>
      </c>
      <c r="C295" s="52">
        <f t="shared" si="29"/>
        <v>-2.2427062824413972E-2</v>
      </c>
      <c r="D295" s="53">
        <v>19638.3</v>
      </c>
      <c r="E295" s="54">
        <f t="shared" si="30"/>
        <v>5.8775171523621477E-3</v>
      </c>
      <c r="F295" s="55">
        <v>15422.75</v>
      </c>
      <c r="G295" s="54">
        <f t="shared" si="31"/>
        <v>2.6598948955445453E-2</v>
      </c>
      <c r="K295" s="6"/>
      <c r="L295" s="7"/>
    </row>
    <row r="296" spans="1:12">
      <c r="A296" s="50">
        <v>45198</v>
      </c>
      <c r="B296" s="51">
        <v>1117.4000000000001</v>
      </c>
      <c r="C296" s="52">
        <f t="shared" si="29"/>
        <v>2.9084010241108248E-2</v>
      </c>
      <c r="D296" s="53">
        <v>19523.55</v>
      </c>
      <c r="E296" s="54">
        <f t="shared" si="30"/>
        <v>-9.7837085276508418E-3</v>
      </c>
      <c r="F296" s="55">
        <v>15023.15</v>
      </c>
      <c r="G296" s="54">
        <f t="shared" si="31"/>
        <v>-9.0139711605693763E-3</v>
      </c>
      <c r="K296" s="6"/>
      <c r="L296" s="7"/>
    </row>
    <row r="297" spans="1:12">
      <c r="A297" s="50">
        <v>45197</v>
      </c>
      <c r="B297" s="51">
        <v>1085.82</v>
      </c>
      <c r="C297" s="52">
        <f t="shared" si="29"/>
        <v>-1.2253363534645114E-2</v>
      </c>
      <c r="D297" s="53">
        <v>19716.45</v>
      </c>
      <c r="E297" s="54">
        <f t="shared" si="30"/>
        <v>2.6316190941128009E-3</v>
      </c>
      <c r="F297" s="55">
        <v>15159.8</v>
      </c>
      <c r="G297" s="54">
        <f t="shared" si="31"/>
        <v>1.1891213584618492E-2</v>
      </c>
      <c r="K297" s="6"/>
      <c r="L297" s="7"/>
    </row>
    <row r="298" spans="1:12">
      <c r="A298" s="50">
        <v>45196</v>
      </c>
      <c r="B298" s="51">
        <v>1099.29</v>
      </c>
      <c r="C298" s="52">
        <f t="shared" si="29"/>
        <v>5.2489598097937998E-3</v>
      </c>
      <c r="D298" s="53">
        <v>19664.7</v>
      </c>
      <c r="E298" s="54">
        <f t="shared" si="30"/>
        <v>-5.0064677464026089E-4</v>
      </c>
      <c r="F298" s="55">
        <v>14981.65</v>
      </c>
      <c r="G298" s="54">
        <f t="shared" si="31"/>
        <v>-2.3805718699641751E-3</v>
      </c>
      <c r="K298" s="6"/>
      <c r="L298" s="7"/>
    </row>
    <row r="299" spans="1:12">
      <c r="A299" s="50">
        <v>45195</v>
      </c>
      <c r="B299" s="51">
        <v>1093.55</v>
      </c>
      <c r="C299" s="52">
        <f t="shared" si="29"/>
        <v>5.3321075614800777E-3</v>
      </c>
      <c r="D299" s="53">
        <v>19674.55</v>
      </c>
      <c r="E299" s="54">
        <f t="shared" si="30"/>
        <v>1.5248357624777179E-5</v>
      </c>
      <c r="F299" s="55">
        <v>15017.4</v>
      </c>
      <c r="G299" s="54">
        <f t="shared" si="31"/>
        <v>-3.4308618298372648E-3</v>
      </c>
      <c r="K299" s="6"/>
      <c r="L299" s="7"/>
    </row>
    <row r="300" spans="1:12">
      <c r="A300" s="50">
        <v>45194</v>
      </c>
      <c r="B300" s="51">
        <v>1087.75</v>
      </c>
      <c r="C300" s="52">
        <f t="shared" si="29"/>
        <v>-1.4192367297740713E-2</v>
      </c>
      <c r="D300" s="53">
        <v>19674.25</v>
      </c>
      <c r="E300" s="54">
        <f t="shared" si="30"/>
        <v>-3.449437377009249E-3</v>
      </c>
      <c r="F300" s="55">
        <v>15069.1</v>
      </c>
      <c r="G300" s="54">
        <f t="shared" si="31"/>
        <v>-1.5522614280021191E-2</v>
      </c>
      <c r="K300" s="6"/>
      <c r="L300" s="7"/>
    </row>
    <row r="301" spans="1:12">
      <c r="A301" s="50">
        <v>45191</v>
      </c>
      <c r="B301" s="51">
        <v>1103.4100000000001</v>
      </c>
      <c r="C301" s="52">
        <f t="shared" si="29"/>
        <v>-2.6717826585516417E-2</v>
      </c>
      <c r="D301" s="53">
        <v>19742.349999999999</v>
      </c>
      <c r="E301" s="54">
        <f t="shared" si="30"/>
        <v>-7.9919000673320927E-3</v>
      </c>
      <c r="F301" s="55">
        <v>15306.7</v>
      </c>
      <c r="G301" s="54">
        <f t="shared" si="31"/>
        <v>-9.928720197668852E-3</v>
      </c>
      <c r="K301" s="6"/>
      <c r="L301" s="7"/>
    </row>
    <row r="302" spans="1:12">
      <c r="A302" s="50">
        <v>45190</v>
      </c>
      <c r="B302" s="51">
        <v>1133.7</v>
      </c>
      <c r="C302" s="52">
        <f t="shared" si="29"/>
        <v>9.5190603823652985E-3</v>
      </c>
      <c r="D302" s="53">
        <v>19901.400000000001</v>
      </c>
      <c r="E302" s="54">
        <f t="shared" si="30"/>
        <v>-1.1518230990448552E-2</v>
      </c>
      <c r="F302" s="55">
        <v>15460.2</v>
      </c>
      <c r="G302" s="54">
        <f t="shared" si="31"/>
        <v>-2.7897016470527529E-3</v>
      </c>
      <c r="K302" s="6"/>
      <c r="L302" s="7"/>
    </row>
    <row r="303" spans="1:12">
      <c r="A303" s="50">
        <v>45189</v>
      </c>
      <c r="B303" s="51">
        <v>1123.01</v>
      </c>
      <c r="C303" s="52">
        <f t="shared" si="29"/>
        <v>-1.9718924581005517E-2</v>
      </c>
      <c r="D303" s="53">
        <v>20133.3</v>
      </c>
      <c r="E303" s="54">
        <f t="shared" si="30"/>
        <v>-2.9243748251193782E-3</v>
      </c>
      <c r="F303" s="55">
        <v>15503.45</v>
      </c>
      <c r="G303" s="54">
        <f t="shared" si="31"/>
        <v>-5.1400354861375324E-3</v>
      </c>
      <c r="K303" s="6"/>
      <c r="L303" s="7"/>
    </row>
    <row r="304" spans="1:12">
      <c r="A304" s="50">
        <v>45187</v>
      </c>
      <c r="B304" s="51">
        <v>1145.5999999999999</v>
      </c>
      <c r="C304" s="52">
        <f t="shared" si="29"/>
        <v>-1.5723000257754256E-2</v>
      </c>
      <c r="D304" s="53">
        <v>20192.349999999999</v>
      </c>
      <c r="E304" s="54">
        <f t="shared" si="30"/>
        <v>4.4396137909078707E-3</v>
      </c>
      <c r="F304" s="55">
        <v>15583.55</v>
      </c>
      <c r="G304" s="54">
        <f t="shared" si="31"/>
        <v>6.0848456676544458E-3</v>
      </c>
      <c r="K304" s="6"/>
      <c r="L304" s="7"/>
    </row>
    <row r="305" spans="1:12">
      <c r="A305" s="50">
        <v>45184</v>
      </c>
      <c r="B305" s="51">
        <v>1163.9000000000001</v>
      </c>
      <c r="C305" s="52">
        <f t="shared" si="29"/>
        <v>1.3029514417762638E-2</v>
      </c>
      <c r="D305" s="53">
        <v>20103.099999999999</v>
      </c>
      <c r="E305" s="54">
        <f t="shared" si="30"/>
        <v>1.6492277030392898E-3</v>
      </c>
      <c r="F305" s="55">
        <v>15489.3</v>
      </c>
      <c r="G305" s="54">
        <f t="shared" si="31"/>
        <v>2.6118279883097909E-3</v>
      </c>
      <c r="K305" s="6"/>
      <c r="L305" s="7"/>
    </row>
    <row r="306" spans="1:12">
      <c r="A306" s="50">
        <v>45183</v>
      </c>
      <c r="B306" s="51">
        <v>1148.93</v>
      </c>
      <c r="C306" s="52">
        <f t="shared" si="29"/>
        <v>1.0019341685689688E-3</v>
      </c>
      <c r="D306" s="53">
        <v>20070</v>
      </c>
      <c r="E306" s="54">
        <f t="shared" si="30"/>
        <v>3.841306044054942E-3</v>
      </c>
      <c r="F306" s="55">
        <v>15448.95</v>
      </c>
      <c r="G306" s="54">
        <f t="shared" si="31"/>
        <v>7.8480492411269805E-3</v>
      </c>
      <c r="K306" s="6"/>
      <c r="L306" s="7"/>
    </row>
    <row r="307" spans="1:12">
      <c r="A307" s="50">
        <v>45182</v>
      </c>
      <c r="B307" s="51">
        <v>1147.78</v>
      </c>
      <c r="C307" s="52">
        <f t="shared" si="29"/>
        <v>1.1473791815009324E-2</v>
      </c>
      <c r="D307" s="53">
        <v>19993.2</v>
      </c>
      <c r="E307" s="54">
        <f t="shared" si="30"/>
        <v>-1.5752874899658276E-4</v>
      </c>
      <c r="F307" s="55">
        <v>15328.65</v>
      </c>
      <c r="G307" s="54">
        <f t="shared" si="31"/>
        <v>1.221427894931003E-3</v>
      </c>
      <c r="K307" s="6"/>
      <c r="L307" s="7"/>
    </row>
    <row r="308" spans="1:12">
      <c r="A308" s="50">
        <v>45181</v>
      </c>
      <c r="B308" s="51">
        <v>1134.76</v>
      </c>
      <c r="C308" s="52">
        <f t="shared" si="29"/>
        <v>1.0687947557803983E-2</v>
      </c>
      <c r="D308" s="53">
        <v>19996.349999999999</v>
      </c>
      <c r="E308" s="54">
        <f t="shared" si="30"/>
        <v>8.9001233605532706E-3</v>
      </c>
      <c r="F308" s="55">
        <v>15309.95</v>
      </c>
      <c r="G308" s="54">
        <f t="shared" si="31"/>
        <v>3.89494149391343E-3</v>
      </c>
      <c r="K308" s="6"/>
      <c r="L308" s="7"/>
    </row>
    <row r="309" spans="1:12">
      <c r="A309" s="50">
        <v>45180</v>
      </c>
      <c r="B309" s="51">
        <v>1122.76</v>
      </c>
      <c r="C309" s="52">
        <f t="shared" si="29"/>
        <v>5.3726852680969946E-3</v>
      </c>
      <c r="D309" s="53">
        <v>19819.95</v>
      </c>
      <c r="E309" s="54">
        <f t="shared" si="30"/>
        <v>4.709269759036524E-3</v>
      </c>
      <c r="F309" s="55">
        <v>15250.55</v>
      </c>
      <c r="G309" s="54">
        <f t="shared" si="31"/>
        <v>-3.6325267947851267E-3</v>
      </c>
      <c r="K309" s="6"/>
      <c r="L309" s="7"/>
    </row>
    <row r="310" spans="1:12">
      <c r="A310" s="50">
        <v>45177</v>
      </c>
      <c r="B310" s="51">
        <v>1116.76</v>
      </c>
      <c r="C310" s="52">
        <f t="shared" si="29"/>
        <v>-5.5831099792525421E-3</v>
      </c>
      <c r="D310" s="53">
        <v>19727.05</v>
      </c>
      <c r="E310" s="54">
        <f t="shared" si="30"/>
        <v>5.9150325964188559E-3</v>
      </c>
      <c r="F310" s="55">
        <v>15306.15</v>
      </c>
      <c r="G310" s="54">
        <f t="shared" si="31"/>
        <v>-3.2008492181852285E-3</v>
      </c>
      <c r="K310" s="6"/>
      <c r="L310" s="7"/>
    </row>
    <row r="311" spans="1:12">
      <c r="A311" s="50">
        <v>45176</v>
      </c>
      <c r="B311" s="51">
        <v>1123.03</v>
      </c>
      <c r="C311" s="52">
        <f t="shared" si="29"/>
        <v>5.7045116687262825E-3</v>
      </c>
      <c r="D311" s="53">
        <v>19611.05</v>
      </c>
      <c r="E311" s="54">
        <f t="shared" si="30"/>
        <v>1.8467527292603187E-3</v>
      </c>
      <c r="F311" s="55">
        <v>15355.3</v>
      </c>
      <c r="G311" s="54">
        <f t="shared" si="31"/>
        <v>9.0056346820428946E-3</v>
      </c>
      <c r="K311" s="6"/>
      <c r="L311" s="7"/>
    </row>
    <row r="312" spans="1:12">
      <c r="A312" s="50">
        <v>45175</v>
      </c>
      <c r="B312" s="51">
        <v>1116.6600000000001</v>
      </c>
      <c r="C312" s="52">
        <f t="shared" si="29"/>
        <v>7.8868594167318747E-4</v>
      </c>
      <c r="D312" s="53">
        <v>19574.900000000001</v>
      </c>
      <c r="E312" s="54">
        <f t="shared" si="30"/>
        <v>2.3606161156856636E-3</v>
      </c>
      <c r="F312" s="55">
        <v>15218.25</v>
      </c>
      <c r="G312" s="54">
        <f t="shared" si="31"/>
        <v>1.100474336659445E-2</v>
      </c>
      <c r="K312" s="6"/>
      <c r="L312" s="7"/>
    </row>
    <row r="313" spans="1:12">
      <c r="A313" s="50">
        <v>45174</v>
      </c>
      <c r="B313" s="51">
        <v>1115.78</v>
      </c>
      <c r="C313" s="52">
        <f t="shared" si="29"/>
        <v>-1.423283181227869E-2</v>
      </c>
      <c r="D313" s="53">
        <v>19528.8</v>
      </c>
      <c r="E313" s="54">
        <f t="shared" si="30"/>
        <v>4.8108338950260607E-3</v>
      </c>
      <c r="F313" s="55">
        <v>15052.6</v>
      </c>
      <c r="G313" s="54">
        <f t="shared" si="31"/>
        <v>2.717861948600507E-3</v>
      </c>
      <c r="K313" s="6"/>
      <c r="L313" s="7"/>
    </row>
    <row r="314" spans="1:12">
      <c r="A314" s="50">
        <v>45173</v>
      </c>
      <c r="B314" s="51">
        <v>1131.8900000000001</v>
      </c>
      <c r="C314" s="52">
        <f t="shared" si="29"/>
        <v>1.4501976320011529E-2</v>
      </c>
      <c r="D314" s="53">
        <v>19435.3</v>
      </c>
      <c r="E314" s="54">
        <f t="shared" si="30"/>
        <v>9.4267105714196681E-3</v>
      </c>
      <c r="F314" s="55">
        <v>15011.8</v>
      </c>
      <c r="G314" s="54">
        <f t="shared" si="31"/>
        <v>-5.5710490928000556E-3</v>
      </c>
      <c r="K314" s="6"/>
      <c r="L314" s="7"/>
    </row>
    <row r="315" spans="1:12">
      <c r="A315" s="50">
        <v>45170</v>
      </c>
      <c r="B315" s="51">
        <v>1115.71</v>
      </c>
      <c r="C315" s="52">
        <f t="shared" si="29"/>
        <v>-5.224818780816088E-3</v>
      </c>
      <c r="D315" s="53">
        <v>19253.8</v>
      </c>
      <c r="E315" s="54">
        <f t="shared" si="30"/>
        <v>-4.8404311679317667E-3</v>
      </c>
      <c r="F315" s="55">
        <v>15095.9</v>
      </c>
      <c r="G315" s="54">
        <f t="shared" si="31"/>
        <v>-1.9569601004925698E-3</v>
      </c>
      <c r="K315" s="6"/>
      <c r="L315" s="7"/>
    </row>
    <row r="316" spans="1:12">
      <c r="A316" s="50">
        <v>45169</v>
      </c>
      <c r="B316" s="51">
        <v>1121.57</v>
      </c>
      <c r="C316" s="52">
        <f t="shared" si="29"/>
        <v>-7.4162573565202967E-3</v>
      </c>
      <c r="D316" s="53">
        <v>19347.45</v>
      </c>
      <c r="E316" s="54">
        <f t="shared" si="30"/>
        <v>2.4815627641503477E-4</v>
      </c>
      <c r="F316" s="55">
        <v>15125.5</v>
      </c>
      <c r="G316" s="54">
        <f t="shared" si="31"/>
        <v>2.9098412152552634E-4</v>
      </c>
      <c r="K316" s="6"/>
      <c r="L316" s="7"/>
    </row>
    <row r="317" spans="1:12">
      <c r="A317" s="50">
        <v>45168</v>
      </c>
      <c r="B317" s="51">
        <v>1129.95</v>
      </c>
      <c r="C317" s="52">
        <f t="shared" si="29"/>
        <v>-1.2937209546105687E-2</v>
      </c>
      <c r="D317" s="53">
        <v>19342.650000000001</v>
      </c>
      <c r="E317" s="54">
        <f t="shared" si="30"/>
        <v>1.8957787843708156E-3</v>
      </c>
      <c r="F317" s="55">
        <v>15121.1</v>
      </c>
      <c r="G317" s="54">
        <f t="shared" si="31"/>
        <v>-2.6843778443192043E-3</v>
      </c>
      <c r="K317" s="6"/>
      <c r="L317" s="7"/>
    </row>
    <row r="318" spans="1:12">
      <c r="A318" s="50">
        <v>45167</v>
      </c>
      <c r="B318" s="51">
        <v>1144.76</v>
      </c>
      <c r="C318" s="52">
        <f t="shared" si="29"/>
        <v>-9.0202392700705278E-3</v>
      </c>
      <c r="D318" s="53">
        <v>19306.05</v>
      </c>
      <c r="E318" s="54">
        <f t="shared" si="30"/>
        <v>2.0891943236200938E-3</v>
      </c>
      <c r="F318" s="55">
        <v>15161.8</v>
      </c>
      <c r="G318" s="54">
        <f t="shared" si="31"/>
        <v>9.0913931262145281E-3</v>
      </c>
      <c r="K318" s="6"/>
      <c r="L318" s="7"/>
    </row>
    <row r="319" spans="1:12">
      <c r="A319" s="50">
        <v>45166</v>
      </c>
      <c r="B319" s="51">
        <v>1155.18</v>
      </c>
      <c r="C319" s="52">
        <f t="shared" si="29"/>
        <v>-5.7965999048306043E-4</v>
      </c>
      <c r="D319" s="53">
        <v>19265.8</v>
      </c>
      <c r="E319" s="54">
        <f t="shared" si="30"/>
        <v>-6.2362341192674078E-3</v>
      </c>
      <c r="F319" s="55">
        <v>15025.2</v>
      </c>
      <c r="G319" s="54">
        <f t="shared" si="31"/>
        <v>-1.1054323823565153E-2</v>
      </c>
      <c r="K319" s="6"/>
      <c r="L319" s="7"/>
    </row>
    <row r="320" spans="1:12">
      <c r="A320" s="50">
        <v>45163</v>
      </c>
      <c r="B320" s="51">
        <v>1155.8499999999999</v>
      </c>
      <c r="C320" s="52">
        <f t="shared" si="29"/>
        <v>-2.1651727144223656E-2</v>
      </c>
      <c r="D320" s="53">
        <v>19386.7</v>
      </c>
      <c r="E320" s="54">
        <f t="shared" si="30"/>
        <v>-2.9469245011314168E-3</v>
      </c>
      <c r="F320" s="55">
        <v>15193.15</v>
      </c>
      <c r="G320" s="54">
        <f t="shared" si="31"/>
        <v>-5.8465565188941838E-3</v>
      </c>
      <c r="K320" s="6"/>
      <c r="L320" s="7"/>
    </row>
    <row r="321" spans="1:12">
      <c r="A321" s="50">
        <v>45162</v>
      </c>
      <c r="B321" s="51">
        <v>1181.43</v>
      </c>
      <c r="C321" s="52">
        <f t="shared" si="29"/>
        <v>-7.7603366171987275E-3</v>
      </c>
      <c r="D321" s="53">
        <v>19444</v>
      </c>
      <c r="E321" s="54">
        <f t="shared" si="30"/>
        <v>2.4514795233147959E-3</v>
      </c>
      <c r="F321" s="55">
        <v>15282.5</v>
      </c>
      <c r="G321" s="54">
        <f t="shared" si="31"/>
        <v>-1.3135022806582126E-3</v>
      </c>
      <c r="K321" s="6"/>
      <c r="L321" s="7"/>
    </row>
    <row r="322" spans="1:12">
      <c r="A322" s="50">
        <v>45161</v>
      </c>
      <c r="B322" s="51">
        <v>1190.67</v>
      </c>
      <c r="C322" s="52">
        <f t="shared" si="29"/>
        <v>4.6915476200522933E-3</v>
      </c>
      <c r="D322" s="53">
        <v>19396.45</v>
      </c>
      <c r="E322" s="54">
        <f t="shared" si="30"/>
        <v>1.4695569672480525E-4</v>
      </c>
      <c r="F322" s="55">
        <v>15302.6</v>
      </c>
      <c r="G322" s="54">
        <f t="shared" si="31"/>
        <v>-2.0054326027906491E-3</v>
      </c>
      <c r="K322" s="6"/>
      <c r="L322" s="7"/>
    </row>
    <row r="323" spans="1:12">
      <c r="A323" s="50">
        <v>45160</v>
      </c>
      <c r="B323" s="51">
        <v>1185.1099999999999</v>
      </c>
      <c r="C323" s="52">
        <f t="shared" si="29"/>
        <v>2.4869519612237046E-3</v>
      </c>
      <c r="D323" s="53">
        <v>19393.599999999999</v>
      </c>
      <c r="E323" s="54">
        <f t="shared" si="30"/>
        <v>4.3215614586109936E-3</v>
      </c>
      <c r="F323" s="55">
        <v>15333.35</v>
      </c>
      <c r="G323" s="54">
        <f t="shared" si="31"/>
        <v>4.0500278296172849E-3</v>
      </c>
      <c r="K323" s="6"/>
      <c r="L323" s="7"/>
    </row>
    <row r="324" spans="1:12">
      <c r="A324" s="50">
        <v>45159</v>
      </c>
      <c r="B324" s="51">
        <v>1182.17</v>
      </c>
      <c r="C324" s="52">
        <f t="shared" si="29"/>
        <v>6.1963247623181509E-3</v>
      </c>
      <c r="D324" s="53">
        <v>19310.150000000001</v>
      </c>
      <c r="E324" s="54">
        <f t="shared" si="30"/>
        <v>-2.8453027975367498E-3</v>
      </c>
      <c r="F324" s="55">
        <v>15271.5</v>
      </c>
      <c r="G324" s="54">
        <f t="shared" si="31"/>
        <v>-5.6613785896363709E-3</v>
      </c>
      <c r="K324" s="6"/>
      <c r="L324" s="7"/>
    </row>
    <row r="325" spans="1:12">
      <c r="A325" s="50">
        <v>45156</v>
      </c>
      <c r="B325" s="51">
        <v>1174.8900000000001</v>
      </c>
      <c r="C325" s="52">
        <f t="shared" si="29"/>
        <v>-1.0543052213615918E-3</v>
      </c>
      <c r="D325" s="53">
        <v>19365.25</v>
      </c>
      <c r="E325" s="54">
        <f t="shared" si="30"/>
        <v>-5.124582584125353E-3</v>
      </c>
      <c r="F325" s="55">
        <v>15358.45</v>
      </c>
      <c r="G325" s="54">
        <f t="shared" si="31"/>
        <v>-2.6203340520039578E-3</v>
      </c>
      <c r="K325" s="6"/>
      <c r="L325" s="7"/>
    </row>
    <row r="326" spans="1:12">
      <c r="A326" s="50">
        <v>45155</v>
      </c>
      <c r="B326" s="51">
        <v>1176.1300000000001</v>
      </c>
      <c r="C326" s="52">
        <f t="shared" si="29"/>
        <v>3.8922130133070779E-3</v>
      </c>
      <c r="D326" s="53">
        <v>19465</v>
      </c>
      <c r="E326" s="54">
        <f t="shared" si="30"/>
        <v>1.5667972759853318E-3</v>
      </c>
      <c r="F326" s="55">
        <v>15398.8</v>
      </c>
      <c r="G326" s="54">
        <f t="shared" si="31"/>
        <v>6.1024213676218611E-3</v>
      </c>
      <c r="K326" s="6"/>
      <c r="L326" s="7"/>
    </row>
    <row r="327" spans="1:12">
      <c r="A327" s="50">
        <v>45154</v>
      </c>
      <c r="B327" s="51">
        <v>1171.57</v>
      </c>
      <c r="C327" s="52">
        <f t="shared" si="29"/>
        <v>5.9244249444047352E-3</v>
      </c>
      <c r="D327" s="53">
        <v>19434.55</v>
      </c>
      <c r="E327" s="54">
        <f t="shared" si="30"/>
        <v>3.2169567074834135E-4</v>
      </c>
      <c r="F327" s="55">
        <v>15305.4</v>
      </c>
      <c r="G327" s="54">
        <f t="shared" si="31"/>
        <v>-3.2626746117026709E-3</v>
      </c>
      <c r="K327" s="6"/>
      <c r="L327" s="7"/>
    </row>
    <row r="328" spans="1:12">
      <c r="A328" s="50">
        <v>45152</v>
      </c>
      <c r="B328" s="51">
        <v>1164.67</v>
      </c>
      <c r="C328" s="52">
        <f t="shared" si="29"/>
        <v>6.0106474326089402E-5</v>
      </c>
      <c r="D328" s="53">
        <v>19428.3</v>
      </c>
      <c r="E328" s="54">
        <f t="shared" si="30"/>
        <v>-5.8741960077981119E-3</v>
      </c>
      <c r="F328" s="55">
        <v>15355.5</v>
      </c>
      <c r="G328" s="54">
        <f t="shared" si="31"/>
        <v>-1.4453779355227988E-2</v>
      </c>
      <c r="K328" s="6"/>
      <c r="L328" s="7"/>
    </row>
    <row r="329" spans="1:12">
      <c r="A329" s="50">
        <v>45149</v>
      </c>
      <c r="B329" s="51">
        <v>1164.5999999999999</v>
      </c>
      <c r="C329" s="52">
        <f t="shared" si="29"/>
        <v>-4.8110200558865428E-3</v>
      </c>
      <c r="D329" s="53">
        <v>19543.099999999999</v>
      </c>
      <c r="E329" s="54">
        <f t="shared" si="30"/>
        <v>-4.5562089489139587E-3</v>
      </c>
      <c r="F329" s="55">
        <v>15580.7</v>
      </c>
      <c r="G329" s="54">
        <f t="shared" si="31"/>
        <v>-7.3995737998387981E-3</v>
      </c>
      <c r="K329" s="6"/>
      <c r="L329" s="7"/>
    </row>
    <row r="330" spans="1:12">
      <c r="A330" s="50">
        <v>45148</v>
      </c>
      <c r="B330" s="51">
        <v>1170.23</v>
      </c>
      <c r="C330" s="52">
        <f t="shared" ref="C330:C393" si="32">(B330-B331)/B331</f>
        <v>-3.3810253789814571E-3</v>
      </c>
      <c r="D330" s="53">
        <v>19632.55</v>
      </c>
      <c r="E330" s="54">
        <f t="shared" ref="E330:E393" si="33">(D330-D331)/D331</f>
        <v>3.1526479432421551E-3</v>
      </c>
      <c r="F330" s="55">
        <v>15696.85</v>
      </c>
      <c r="G330" s="54">
        <f t="shared" ref="G330:G393" si="34">(F330-F331)/F331</f>
        <v>7.5970086978849292E-3</v>
      </c>
      <c r="K330" s="6"/>
      <c r="L330" s="7"/>
    </row>
    <row r="331" spans="1:12">
      <c r="A331" s="50">
        <v>45147</v>
      </c>
      <c r="B331" s="51">
        <v>1174.2</v>
      </c>
      <c r="C331" s="52">
        <f t="shared" si="32"/>
        <v>3.7654981044371309E-2</v>
      </c>
      <c r="D331" s="53">
        <v>19570.849999999999</v>
      </c>
      <c r="E331" s="54">
        <f t="shared" si="33"/>
        <v>-1.3496757206350226E-3</v>
      </c>
      <c r="F331" s="55">
        <v>15578.5</v>
      </c>
      <c r="G331" s="54">
        <f t="shared" si="34"/>
        <v>6.4118093576885186E-3</v>
      </c>
      <c r="K331" s="6"/>
      <c r="L331" s="7"/>
    </row>
    <row r="332" spans="1:12">
      <c r="A332" s="50">
        <v>45146</v>
      </c>
      <c r="B332" s="51">
        <v>1131.5899999999999</v>
      </c>
      <c r="C332" s="52">
        <f t="shared" si="32"/>
        <v>4.8395403768623953E-3</v>
      </c>
      <c r="D332" s="53">
        <v>19597.3</v>
      </c>
      <c r="E332" s="54">
        <f t="shared" si="33"/>
        <v>4.1143618383972574E-3</v>
      </c>
      <c r="F332" s="55">
        <v>15479.25</v>
      </c>
      <c r="G332" s="54">
        <f t="shared" si="34"/>
        <v>1.563217636638016E-2</v>
      </c>
      <c r="K332" s="6"/>
      <c r="L332" s="7"/>
    </row>
    <row r="333" spans="1:12">
      <c r="A333" s="50">
        <v>45145</v>
      </c>
      <c r="B333" s="51">
        <v>1126.1400000000001</v>
      </c>
      <c r="C333" s="52">
        <f t="shared" si="32"/>
        <v>-3.3365489286757187E-3</v>
      </c>
      <c r="D333" s="53">
        <v>19517</v>
      </c>
      <c r="E333" s="54">
        <f t="shared" si="33"/>
        <v>6.9834095652330187E-3</v>
      </c>
      <c r="F333" s="55">
        <v>15241</v>
      </c>
      <c r="G333" s="54">
        <f t="shared" si="34"/>
        <v>9.3912260252198305E-3</v>
      </c>
      <c r="K333" s="6"/>
      <c r="L333" s="7"/>
    </row>
    <row r="334" spans="1:12">
      <c r="A334" s="50">
        <v>45142</v>
      </c>
      <c r="B334" s="51">
        <v>1129.9100000000001</v>
      </c>
      <c r="C334" s="52">
        <f t="shared" si="32"/>
        <v>-1.7581058397385008E-3</v>
      </c>
      <c r="D334" s="53">
        <v>19381.650000000001</v>
      </c>
      <c r="E334" s="54">
        <f t="shared" si="33"/>
        <v>-7.4206657089961013E-3</v>
      </c>
      <c r="F334" s="55">
        <v>15099.2</v>
      </c>
      <c r="G334" s="54">
        <f t="shared" si="34"/>
        <v>1.0426007468180006E-2</v>
      </c>
      <c r="K334" s="6"/>
      <c r="L334" s="7"/>
    </row>
    <row r="335" spans="1:12">
      <c r="A335" s="50">
        <v>45141</v>
      </c>
      <c r="B335" s="51">
        <v>1131.9000000000001</v>
      </c>
      <c r="C335" s="52">
        <f t="shared" si="32"/>
        <v>-1.6783117949971046E-4</v>
      </c>
      <c r="D335" s="53">
        <v>19526.55</v>
      </c>
      <c r="E335" s="54">
        <f t="shared" si="33"/>
        <v>-1.0489749690248334E-2</v>
      </c>
      <c r="F335" s="55">
        <v>14943.4</v>
      </c>
      <c r="G335" s="54">
        <f t="shared" si="34"/>
        <v>-3.8596654956570189E-3</v>
      </c>
      <c r="K335" s="6"/>
      <c r="L335" s="7"/>
    </row>
    <row r="336" spans="1:12">
      <c r="A336" s="50">
        <v>45140</v>
      </c>
      <c r="B336" s="51">
        <v>1132.0899999999999</v>
      </c>
      <c r="C336" s="52">
        <f t="shared" si="32"/>
        <v>-1.1646270987552285E-3</v>
      </c>
      <c r="D336" s="53">
        <v>19733.55</v>
      </c>
      <c r="E336" s="54">
        <f t="shared" si="33"/>
        <v>-1.0251192175682654E-3</v>
      </c>
      <c r="F336" s="55">
        <v>15001.3</v>
      </c>
      <c r="G336" s="54">
        <f t="shared" si="34"/>
        <v>6.1031940048623023E-4</v>
      </c>
      <c r="K336" s="6"/>
      <c r="L336" s="7"/>
    </row>
    <row r="337" spans="1:12">
      <c r="A337" s="50">
        <v>45139</v>
      </c>
      <c r="B337" s="51">
        <v>1133.4100000000001</v>
      </c>
      <c r="C337" s="52">
        <f t="shared" si="32"/>
        <v>4.7159357852655055E-3</v>
      </c>
      <c r="D337" s="53">
        <v>19753.8</v>
      </c>
      <c r="E337" s="54">
        <f t="shared" si="33"/>
        <v>5.4845630546598431E-3</v>
      </c>
      <c r="F337" s="55">
        <v>14992.15</v>
      </c>
      <c r="G337" s="54">
        <f t="shared" si="34"/>
        <v>1.978272420142313E-3</v>
      </c>
      <c r="K337" s="6"/>
      <c r="L337" s="7"/>
    </row>
    <row r="338" spans="1:12">
      <c r="A338" s="50">
        <v>45138</v>
      </c>
      <c r="B338" s="51">
        <v>1128.0899999999999</v>
      </c>
      <c r="C338" s="52">
        <f t="shared" si="32"/>
        <v>1.029016657710909E-2</v>
      </c>
      <c r="D338" s="53">
        <v>19646.05</v>
      </c>
      <c r="E338" s="54">
        <f t="shared" si="33"/>
        <v>-7.0447967690589379E-4</v>
      </c>
      <c r="F338" s="55">
        <v>14962.55</v>
      </c>
      <c r="G338" s="54">
        <f t="shared" si="34"/>
        <v>2.8552374505275515E-3</v>
      </c>
      <c r="K338" s="6"/>
      <c r="L338" s="7"/>
    </row>
    <row r="339" spans="1:12">
      <c r="A339" s="50">
        <v>45135</v>
      </c>
      <c r="B339" s="51">
        <v>1116.5999999999999</v>
      </c>
      <c r="C339" s="52">
        <f t="shared" si="32"/>
        <v>1.3800617396041236E-2</v>
      </c>
      <c r="D339" s="53">
        <v>19659.900000000001</v>
      </c>
      <c r="E339" s="54">
        <f t="shared" si="33"/>
        <v>-5.9863587871555098E-3</v>
      </c>
      <c r="F339" s="55">
        <v>14919.95</v>
      </c>
      <c r="G339" s="54">
        <f t="shared" si="34"/>
        <v>3.0500713133748001E-2</v>
      </c>
      <c r="K339" s="6"/>
      <c r="L339" s="7"/>
    </row>
    <row r="340" spans="1:12">
      <c r="A340" s="50">
        <v>45134</v>
      </c>
      <c r="B340" s="51">
        <v>1101.4000000000001</v>
      </c>
      <c r="C340" s="52">
        <f t="shared" si="32"/>
        <v>5.7253476756184028E-3</v>
      </c>
      <c r="D340" s="53">
        <v>19778.3</v>
      </c>
      <c r="E340" s="54">
        <f t="shared" si="33"/>
        <v>4.9642795443228726E-3</v>
      </c>
      <c r="F340" s="55">
        <v>14478.35</v>
      </c>
      <c r="G340" s="54">
        <f t="shared" si="34"/>
        <v>6.6118575426277349E-3</v>
      </c>
      <c r="K340" s="6"/>
      <c r="L340" s="7"/>
    </row>
    <row r="341" spans="1:12">
      <c r="A341" s="50">
        <v>45133</v>
      </c>
      <c r="B341" s="51">
        <v>1095.1300000000001</v>
      </c>
      <c r="C341" s="52">
        <f t="shared" si="32"/>
        <v>9.2619898993624265E-3</v>
      </c>
      <c r="D341" s="53">
        <v>19680.599999999999</v>
      </c>
      <c r="E341" s="54">
        <f t="shared" si="33"/>
        <v>4.1937033450502868E-4</v>
      </c>
      <c r="F341" s="55">
        <v>14383.25</v>
      </c>
      <c r="G341" s="54">
        <f t="shared" si="34"/>
        <v>3.5724128788275737E-3</v>
      </c>
      <c r="K341" s="6"/>
      <c r="L341" s="7"/>
    </row>
    <row r="342" spans="1:12">
      <c r="A342" s="50">
        <v>45132</v>
      </c>
      <c r="B342" s="51">
        <v>1085.08</v>
      </c>
      <c r="C342" s="52">
        <f t="shared" si="32"/>
        <v>6.2503477567372161E-3</v>
      </c>
      <c r="D342" s="53">
        <v>19672.349999999999</v>
      </c>
      <c r="E342" s="54">
        <f t="shared" si="33"/>
        <v>-3.6794125094961488E-3</v>
      </c>
      <c r="F342" s="55">
        <v>14332.05</v>
      </c>
      <c r="G342" s="54">
        <f t="shared" si="34"/>
        <v>4.0668348045396719E-3</v>
      </c>
      <c r="K342" s="6"/>
      <c r="L342" s="7"/>
    </row>
    <row r="343" spans="1:12">
      <c r="A343" s="50">
        <v>45131</v>
      </c>
      <c r="B343" s="51">
        <v>1078.3399999999999</v>
      </c>
      <c r="C343" s="52">
        <f t="shared" si="32"/>
        <v>1.9571877009190098E-2</v>
      </c>
      <c r="D343" s="53">
        <v>19745</v>
      </c>
      <c r="E343" s="54">
        <f t="shared" si="33"/>
        <v>-1.1719717805812631E-2</v>
      </c>
      <c r="F343" s="55">
        <v>14274</v>
      </c>
      <c r="G343" s="54">
        <f t="shared" si="34"/>
        <v>-1.7518646343637706E-3</v>
      </c>
      <c r="K343" s="6"/>
      <c r="L343" s="7"/>
    </row>
    <row r="344" spans="1:12">
      <c r="A344" s="50">
        <v>45128</v>
      </c>
      <c r="B344" s="51">
        <v>1057.6400000000001</v>
      </c>
      <c r="C344" s="52">
        <f t="shared" si="32"/>
        <v>-9.5705429550688309E-3</v>
      </c>
      <c r="D344" s="53">
        <v>19979.150000000001</v>
      </c>
      <c r="E344" s="54">
        <f t="shared" si="33"/>
        <v>7.3614125844860745E-3</v>
      </c>
      <c r="F344" s="55">
        <v>14299.05</v>
      </c>
      <c r="G344" s="54">
        <f t="shared" si="34"/>
        <v>1.4649532378695124E-2</v>
      </c>
      <c r="K344" s="6"/>
      <c r="L344" s="7"/>
    </row>
    <row r="345" spans="1:12">
      <c r="A345" s="50">
        <v>45127</v>
      </c>
      <c r="B345" s="51">
        <v>1067.8599999999999</v>
      </c>
      <c r="C345" s="52">
        <f t="shared" si="32"/>
        <v>2.2589943213919692E-2</v>
      </c>
      <c r="D345" s="53">
        <v>19833.150000000001</v>
      </c>
      <c r="E345" s="54">
        <f t="shared" si="33"/>
        <v>4.248262592250412E-3</v>
      </c>
      <c r="F345" s="55">
        <v>14092.6</v>
      </c>
      <c r="G345" s="54">
        <f t="shared" si="34"/>
        <v>5.382691916687824E-3</v>
      </c>
      <c r="K345" s="6"/>
      <c r="L345" s="7"/>
    </row>
    <row r="346" spans="1:12">
      <c r="A346" s="50">
        <v>45126</v>
      </c>
      <c r="B346" s="51">
        <v>1044.27</v>
      </c>
      <c r="C346" s="52">
        <f t="shared" si="32"/>
        <v>5.8466576767481565E-3</v>
      </c>
      <c r="D346" s="53">
        <v>19749.25</v>
      </c>
      <c r="E346" s="54">
        <f t="shared" si="33"/>
        <v>1.9176671427012864E-3</v>
      </c>
      <c r="F346" s="55">
        <v>14017.15</v>
      </c>
      <c r="G346" s="54">
        <f t="shared" si="34"/>
        <v>-2.6007385955300801E-3</v>
      </c>
      <c r="K346" s="6"/>
      <c r="L346" s="7"/>
    </row>
    <row r="347" spans="1:12">
      <c r="A347" s="50">
        <v>45125</v>
      </c>
      <c r="B347" s="51">
        <v>1038.2</v>
      </c>
      <c r="C347" s="52">
        <f t="shared" si="32"/>
        <v>-7.4095320043979151E-3</v>
      </c>
      <c r="D347" s="53">
        <v>19711.45</v>
      </c>
      <c r="E347" s="54">
        <f t="shared" si="33"/>
        <v>7.511053183061194E-3</v>
      </c>
      <c r="F347" s="55">
        <v>14053.7</v>
      </c>
      <c r="G347" s="54">
        <f t="shared" si="34"/>
        <v>7.7479357362332411E-3</v>
      </c>
      <c r="K347" s="6"/>
      <c r="L347" s="7"/>
    </row>
    <row r="348" spans="1:12">
      <c r="A348" s="50">
        <v>45124</v>
      </c>
      <c r="B348" s="51">
        <v>1045.95</v>
      </c>
      <c r="C348" s="52">
        <f t="shared" si="32"/>
        <v>2.7042153945856854E-2</v>
      </c>
      <c r="D348" s="53">
        <v>19564.5</v>
      </c>
      <c r="E348" s="54">
        <f t="shared" si="33"/>
        <v>7.7651149314274673E-3</v>
      </c>
      <c r="F348" s="55">
        <v>13945.65</v>
      </c>
      <c r="G348" s="54">
        <f t="shared" si="34"/>
        <v>4.9796238978708947E-3</v>
      </c>
      <c r="K348" s="6"/>
      <c r="L348" s="7"/>
    </row>
    <row r="349" spans="1:12">
      <c r="A349" s="50">
        <v>45121</v>
      </c>
      <c r="B349" s="51">
        <v>1018.41</v>
      </c>
      <c r="C349" s="52">
        <f t="shared" si="32"/>
        <v>-9.8007758947583744E-3</v>
      </c>
      <c r="D349" s="53">
        <v>19413.75</v>
      </c>
      <c r="E349" s="54">
        <f t="shared" si="33"/>
        <v>1.5192707500400185E-3</v>
      </c>
      <c r="F349" s="55">
        <v>13876.55</v>
      </c>
      <c r="G349" s="54">
        <f t="shared" si="34"/>
        <v>-4.3159427985105117E-3</v>
      </c>
      <c r="K349" s="6"/>
      <c r="L349" s="7"/>
    </row>
    <row r="350" spans="1:12">
      <c r="A350" s="50">
        <v>45120</v>
      </c>
      <c r="B350" s="51">
        <v>1028.49</v>
      </c>
      <c r="C350" s="52">
        <f t="shared" si="32"/>
        <v>-8.9708999807284126E-3</v>
      </c>
      <c r="D350" s="53">
        <v>19384.3</v>
      </c>
      <c r="E350" s="54">
        <f t="shared" si="33"/>
        <v>-2.8344496229308611E-3</v>
      </c>
      <c r="F350" s="55">
        <v>13936.7</v>
      </c>
      <c r="G350" s="54">
        <f t="shared" si="34"/>
        <v>2.9722066295321541E-3</v>
      </c>
      <c r="K350" s="6"/>
      <c r="L350" s="7"/>
    </row>
    <row r="351" spans="1:12">
      <c r="A351" s="50">
        <v>45119</v>
      </c>
      <c r="B351" s="51">
        <v>1037.8</v>
      </c>
      <c r="C351" s="52">
        <f t="shared" si="32"/>
        <v>4.4813535042634621E-3</v>
      </c>
      <c r="D351" s="53">
        <v>19439.400000000001</v>
      </c>
      <c r="E351" s="54">
        <f t="shared" si="33"/>
        <v>4.3139301194984473E-3</v>
      </c>
      <c r="F351" s="55">
        <v>13895.4</v>
      </c>
      <c r="G351" s="54">
        <f t="shared" si="34"/>
        <v>1.0442269375645397E-2</v>
      </c>
      <c r="K351" s="6"/>
      <c r="L351" s="7"/>
    </row>
    <row r="352" spans="1:12">
      <c r="A352" s="50">
        <v>45118</v>
      </c>
      <c r="B352" s="51">
        <v>1033.17</v>
      </c>
      <c r="C352" s="52">
        <f t="shared" si="32"/>
        <v>2.114472497308474E-3</v>
      </c>
      <c r="D352" s="53">
        <v>19355.900000000001</v>
      </c>
      <c r="E352" s="54">
        <f t="shared" si="33"/>
        <v>1.2466505964267261E-3</v>
      </c>
      <c r="F352" s="55">
        <v>13751.8</v>
      </c>
      <c r="G352" s="54">
        <f t="shared" si="34"/>
        <v>-1.2491829472002852E-3</v>
      </c>
      <c r="K352" s="6"/>
      <c r="L352" s="7"/>
    </row>
    <row r="353" spans="1:12">
      <c r="A353" s="50">
        <v>45117</v>
      </c>
      <c r="B353" s="51">
        <v>1030.99</v>
      </c>
      <c r="C353" s="52">
        <f t="shared" si="32"/>
        <v>-5.315967197298592E-3</v>
      </c>
      <c r="D353" s="53">
        <v>19331.8</v>
      </c>
      <c r="E353" s="54">
        <f t="shared" si="33"/>
        <v>-8.4883547978438049E-3</v>
      </c>
      <c r="F353" s="55">
        <v>13769</v>
      </c>
      <c r="G353" s="54">
        <f t="shared" si="34"/>
        <v>-7.3964070474927448E-3</v>
      </c>
      <c r="K353" s="6"/>
      <c r="L353" s="7"/>
    </row>
    <row r="354" spans="1:12">
      <c r="A354" s="50">
        <v>45114</v>
      </c>
      <c r="B354" s="51">
        <v>1036.5</v>
      </c>
      <c r="C354" s="52">
        <f t="shared" si="32"/>
        <v>-9.4231430865093276E-3</v>
      </c>
      <c r="D354" s="53">
        <v>19497.3</v>
      </c>
      <c r="E354" s="54">
        <f t="shared" si="33"/>
        <v>5.0931773075237399E-3</v>
      </c>
      <c r="F354" s="55">
        <v>13871.6</v>
      </c>
      <c r="G354" s="54">
        <f t="shared" si="34"/>
        <v>7.232065059541124E-3</v>
      </c>
      <c r="K354" s="6"/>
      <c r="L354" s="7"/>
    </row>
    <row r="355" spans="1:12">
      <c r="A355" s="50">
        <v>45113</v>
      </c>
      <c r="B355" s="51">
        <v>1046.3599999999999</v>
      </c>
      <c r="C355" s="52">
        <f t="shared" si="32"/>
        <v>1.0321820657158967E-2</v>
      </c>
      <c r="D355" s="53">
        <v>19398.5</v>
      </c>
      <c r="E355" s="54">
        <f t="shared" si="33"/>
        <v>4.8996853886224153E-4</v>
      </c>
      <c r="F355" s="55">
        <v>13772</v>
      </c>
      <c r="G355" s="54">
        <f t="shared" si="34"/>
        <v>7.0600967427031118E-3</v>
      </c>
      <c r="K355" s="6"/>
      <c r="L355" s="7"/>
    </row>
    <row r="356" spans="1:12">
      <c r="A356" s="50">
        <v>45112</v>
      </c>
      <c r="B356" s="51">
        <v>1035.67</v>
      </c>
      <c r="C356" s="52">
        <f t="shared" si="32"/>
        <v>-1.9370133374450608E-3</v>
      </c>
      <c r="D356" s="53">
        <v>19389</v>
      </c>
      <c r="E356" s="54">
        <f t="shared" si="33"/>
        <v>3.4389870902132862E-3</v>
      </c>
      <c r="F356" s="55">
        <v>13675.45</v>
      </c>
      <c r="G356" s="54">
        <f t="shared" si="34"/>
        <v>4.5137358601440225E-3</v>
      </c>
      <c r="K356" s="6"/>
      <c r="L356" s="7"/>
    </row>
    <row r="357" spans="1:12">
      <c r="A357" s="50">
        <v>45111</v>
      </c>
      <c r="B357" s="51">
        <v>1037.68</v>
      </c>
      <c r="C357" s="52">
        <f t="shared" si="32"/>
        <v>1.7672557519173151E-2</v>
      </c>
      <c r="D357" s="53">
        <v>19322.55</v>
      </c>
      <c r="E357" s="54">
        <f t="shared" si="33"/>
        <v>6.9570927169401303E-3</v>
      </c>
      <c r="F357" s="55">
        <v>13614</v>
      </c>
      <c r="G357" s="54">
        <f t="shared" si="34"/>
        <v>-1.1149446159433448E-2</v>
      </c>
      <c r="K357" s="6"/>
      <c r="L357" s="7"/>
    </row>
    <row r="358" spans="1:12">
      <c r="A358" s="50">
        <v>45110</v>
      </c>
      <c r="B358" s="51">
        <v>1019.66</v>
      </c>
      <c r="C358" s="52">
        <f t="shared" si="32"/>
        <v>-1.1880765950849003E-2</v>
      </c>
      <c r="D358" s="53">
        <v>19189.05</v>
      </c>
      <c r="E358" s="54">
        <f t="shared" si="33"/>
        <v>1.1435212759789414E-2</v>
      </c>
      <c r="F358" s="55">
        <v>13767.5</v>
      </c>
      <c r="G358" s="54">
        <f t="shared" si="34"/>
        <v>1.0625607898552054E-2</v>
      </c>
      <c r="K358" s="6"/>
      <c r="L358" s="7"/>
    </row>
    <row r="359" spans="1:12">
      <c r="A359" s="50">
        <v>45107</v>
      </c>
      <c r="B359" s="51">
        <v>1031.92</v>
      </c>
      <c r="C359" s="52">
        <f t="shared" si="32"/>
        <v>1.0131464314731269E-2</v>
      </c>
      <c r="D359" s="53">
        <v>18972.099999999999</v>
      </c>
      <c r="E359" s="54">
        <f t="shared" si="33"/>
        <v>8.2211145004090404E-3</v>
      </c>
      <c r="F359" s="55">
        <v>13622.75</v>
      </c>
      <c r="G359" s="54">
        <f t="shared" si="34"/>
        <v>1.4586390008118059E-2</v>
      </c>
      <c r="K359" s="6"/>
      <c r="L359" s="7"/>
    </row>
    <row r="360" spans="1:12">
      <c r="A360" s="50">
        <v>45105</v>
      </c>
      <c r="B360" s="51">
        <v>1021.57</v>
      </c>
      <c r="C360" s="52">
        <f t="shared" si="32"/>
        <v>1.636620503024519E-2</v>
      </c>
      <c r="D360" s="53">
        <v>18817.400000000001</v>
      </c>
      <c r="E360" s="54">
        <f t="shared" si="33"/>
        <v>6.7518404382811547E-3</v>
      </c>
      <c r="F360" s="55">
        <v>13426.9</v>
      </c>
      <c r="G360" s="54">
        <f t="shared" si="34"/>
        <v>2.8606426362725954E-3</v>
      </c>
      <c r="K360" s="6"/>
      <c r="L360" s="7"/>
    </row>
    <row r="361" spans="1:12">
      <c r="A361" s="50">
        <v>45104</v>
      </c>
      <c r="B361" s="51">
        <v>1005.12</v>
      </c>
      <c r="C361" s="52">
        <f t="shared" si="32"/>
        <v>-3.1735956839099148E-3</v>
      </c>
      <c r="D361" s="53">
        <v>18691.2</v>
      </c>
      <c r="E361" s="54">
        <f t="shared" si="33"/>
        <v>1.3768717687713014E-3</v>
      </c>
      <c r="F361" s="55">
        <v>13388.6</v>
      </c>
      <c r="G361" s="54">
        <f t="shared" si="34"/>
        <v>1.5341680380394887E-2</v>
      </c>
      <c r="K361" s="6"/>
      <c r="L361" s="7"/>
    </row>
    <row r="362" spans="1:12">
      <c r="A362" s="50">
        <v>45103</v>
      </c>
      <c r="B362" s="51">
        <v>1008.32</v>
      </c>
      <c r="C362" s="52">
        <f t="shared" si="32"/>
        <v>9.5516530166804281E-3</v>
      </c>
      <c r="D362" s="53">
        <v>18665.5</v>
      </c>
      <c r="E362" s="54">
        <f t="shared" si="33"/>
        <v>-5.6336152360657917E-3</v>
      </c>
      <c r="F362" s="55">
        <v>13186.3</v>
      </c>
      <c r="G362" s="54">
        <f t="shared" si="34"/>
        <v>1.4771946213406326E-3</v>
      </c>
      <c r="K362" s="6"/>
      <c r="L362" s="7"/>
    </row>
    <row r="363" spans="1:12">
      <c r="A363" s="50">
        <v>45100</v>
      </c>
      <c r="B363" s="49">
        <v>998.78</v>
      </c>
      <c r="C363" s="52">
        <f t="shared" si="32"/>
        <v>1.9277674024635403E-2</v>
      </c>
      <c r="D363" s="53">
        <v>18771.25</v>
      </c>
      <c r="E363" s="54">
        <f t="shared" si="33"/>
        <v>-4.5394644386521901E-3</v>
      </c>
      <c r="F363" s="55">
        <v>13166.85</v>
      </c>
      <c r="G363" s="54">
        <f t="shared" si="34"/>
        <v>-6.1029461717883376E-3</v>
      </c>
      <c r="K363" s="6"/>
      <c r="L363" s="7"/>
    </row>
    <row r="364" spans="1:12">
      <c r="A364" s="50">
        <v>45099</v>
      </c>
      <c r="B364" s="49">
        <v>979.89</v>
      </c>
      <c r="C364" s="52">
        <f t="shared" si="32"/>
        <v>-2.2299608993157933E-3</v>
      </c>
      <c r="D364" s="53">
        <v>18856.849999999999</v>
      </c>
      <c r="E364" s="54">
        <f t="shared" si="33"/>
        <v>2.1337428985952808E-3</v>
      </c>
      <c r="F364" s="55">
        <v>13247.7</v>
      </c>
      <c r="G364" s="54">
        <f t="shared" si="34"/>
        <v>6.6848706647483459E-4</v>
      </c>
      <c r="K364" s="6"/>
      <c r="L364" s="7"/>
    </row>
    <row r="365" spans="1:12">
      <c r="A365" s="50">
        <v>45098</v>
      </c>
      <c r="B365" s="49">
        <v>982.08</v>
      </c>
      <c r="C365" s="52">
        <f t="shared" si="32"/>
        <v>1.8770913245736063E-3</v>
      </c>
      <c r="D365" s="53">
        <v>18816.7</v>
      </c>
      <c r="E365" s="54">
        <f t="shared" si="33"/>
        <v>3.2657174314665869E-3</v>
      </c>
      <c r="F365" s="55">
        <v>13238.85</v>
      </c>
      <c r="G365" s="54">
        <f t="shared" si="34"/>
        <v>-1.9450192805689763E-3</v>
      </c>
      <c r="K365" s="6"/>
      <c r="L365" s="7"/>
    </row>
    <row r="366" spans="1:12">
      <c r="A366" s="50">
        <v>45097</v>
      </c>
      <c r="B366" s="49">
        <v>980.24</v>
      </c>
      <c r="C366" s="52">
        <f t="shared" si="32"/>
        <v>4.5501127280180922E-3</v>
      </c>
      <c r="D366" s="53">
        <v>18755.45</v>
      </c>
      <c r="E366" s="54">
        <f t="shared" si="33"/>
        <v>-3.7474768936576687E-3</v>
      </c>
      <c r="F366" s="55">
        <v>13264.65</v>
      </c>
      <c r="G366" s="54">
        <f t="shared" si="34"/>
        <v>1.714249034318881E-3</v>
      </c>
      <c r="K366" s="6"/>
      <c r="L366" s="7"/>
    </row>
    <row r="367" spans="1:12">
      <c r="A367" s="50">
        <v>45096</v>
      </c>
      <c r="B367" s="49">
        <v>975.8</v>
      </c>
      <c r="C367" s="52">
        <f t="shared" si="32"/>
        <v>-7.3346151107313625E-3</v>
      </c>
      <c r="D367" s="53">
        <v>18826</v>
      </c>
      <c r="E367" s="54">
        <f t="shared" si="33"/>
        <v>7.3790272954447735E-3</v>
      </c>
      <c r="F367" s="55">
        <v>13241.95</v>
      </c>
      <c r="G367" s="54">
        <f t="shared" si="34"/>
        <v>6.1813291187332161E-3</v>
      </c>
      <c r="K367" s="6"/>
      <c r="L367" s="7"/>
    </row>
    <row r="368" spans="1:12">
      <c r="A368" s="50">
        <v>45093</v>
      </c>
      <c r="B368" s="49">
        <v>983.01</v>
      </c>
      <c r="C368" s="52">
        <f t="shared" si="32"/>
        <v>2.3233301064859564E-2</v>
      </c>
      <c r="D368" s="53">
        <v>18688.099999999999</v>
      </c>
      <c r="E368" s="54">
        <f t="shared" si="33"/>
        <v>-3.6148625232595025E-3</v>
      </c>
      <c r="F368" s="55">
        <v>13160.6</v>
      </c>
      <c r="G368" s="54">
        <f t="shared" si="34"/>
        <v>1.4163738363849416E-2</v>
      </c>
      <c r="K368" s="6"/>
      <c r="L368" s="7"/>
    </row>
    <row r="369" spans="1:12">
      <c r="A369" s="50">
        <v>45092</v>
      </c>
      <c r="B369" s="49">
        <v>960.69</v>
      </c>
      <c r="C369" s="52">
        <f t="shared" si="32"/>
        <v>2.2228133645456588E-2</v>
      </c>
      <c r="D369" s="53">
        <v>18755.900000000001</v>
      </c>
      <c r="E369" s="54">
        <f t="shared" si="33"/>
        <v>2.1238342287275961E-3</v>
      </c>
      <c r="F369" s="55">
        <v>12976.8</v>
      </c>
      <c r="G369" s="54">
        <f t="shared" si="34"/>
        <v>-1.3044733044733604E-3</v>
      </c>
      <c r="K369" s="6"/>
      <c r="L369" s="7"/>
    </row>
    <row r="370" spans="1:12">
      <c r="A370" s="50">
        <v>45091</v>
      </c>
      <c r="B370" s="49">
        <v>939.8</v>
      </c>
      <c r="C370" s="52">
        <f t="shared" si="32"/>
        <v>-6.3802637175672347E-4</v>
      </c>
      <c r="D370" s="53">
        <v>18716.150000000001</v>
      </c>
      <c r="E370" s="54">
        <f t="shared" si="33"/>
        <v>6.1634814396689221E-3</v>
      </c>
      <c r="F370" s="55">
        <v>12993.75</v>
      </c>
      <c r="G370" s="54">
        <f t="shared" si="34"/>
        <v>1.0710910427386386E-2</v>
      </c>
      <c r="K370" s="6"/>
      <c r="L370" s="7"/>
    </row>
    <row r="371" spans="1:12">
      <c r="A371" s="50">
        <v>45090</v>
      </c>
      <c r="B371" s="49">
        <v>940.4</v>
      </c>
      <c r="C371" s="52">
        <f t="shared" si="32"/>
        <v>5.6355800797749855E-3</v>
      </c>
      <c r="D371" s="53">
        <v>18601.5</v>
      </c>
      <c r="E371" s="54">
        <f t="shared" si="33"/>
        <v>2.0524257409740964E-3</v>
      </c>
      <c r="F371" s="55">
        <v>12856.05</v>
      </c>
      <c r="G371" s="54">
        <f t="shared" si="34"/>
        <v>-3.8877074577892167E-4</v>
      </c>
      <c r="K371" s="6"/>
      <c r="L371" s="7"/>
    </row>
    <row r="372" spans="1:12">
      <c r="A372" s="50">
        <v>45089</v>
      </c>
      <c r="B372" s="49">
        <v>935.13</v>
      </c>
      <c r="C372" s="52">
        <f t="shared" si="32"/>
        <v>1.8963743893031433E-3</v>
      </c>
      <c r="D372" s="53">
        <v>18563.400000000001</v>
      </c>
      <c r="E372" s="54">
        <f t="shared" si="33"/>
        <v>-3.8181764518058028E-3</v>
      </c>
      <c r="F372" s="55">
        <v>12861.05</v>
      </c>
      <c r="G372" s="54">
        <f t="shared" si="34"/>
        <v>-3.8957971087454908E-3</v>
      </c>
      <c r="K372" s="6"/>
      <c r="L372" s="7"/>
    </row>
    <row r="373" spans="1:12">
      <c r="A373" s="50">
        <v>45086</v>
      </c>
      <c r="B373" s="49">
        <v>933.36</v>
      </c>
      <c r="C373" s="52">
        <f t="shared" si="32"/>
        <v>3.7424183765647377E-3</v>
      </c>
      <c r="D373" s="53">
        <v>18634.55</v>
      </c>
      <c r="E373" s="54">
        <f t="shared" si="33"/>
        <v>-4.9048402255640264E-3</v>
      </c>
      <c r="F373" s="55">
        <v>12911.35</v>
      </c>
      <c r="G373" s="54">
        <f t="shared" si="34"/>
        <v>-1.0294619279223286E-2</v>
      </c>
      <c r="K373" s="6"/>
      <c r="L373" s="7"/>
    </row>
    <row r="374" spans="1:12">
      <c r="A374" s="50">
        <v>45085</v>
      </c>
      <c r="B374" s="49">
        <v>929.88</v>
      </c>
      <c r="C374" s="52">
        <f t="shared" si="32"/>
        <v>-5.209949184273875E-3</v>
      </c>
      <c r="D374" s="53">
        <v>18726.400000000001</v>
      </c>
      <c r="E374" s="54">
        <f t="shared" si="33"/>
        <v>6.8498306360557804E-3</v>
      </c>
      <c r="F374" s="55">
        <v>13045.65</v>
      </c>
      <c r="G374" s="54">
        <f t="shared" si="34"/>
        <v>2.5167333953231025E-3</v>
      </c>
      <c r="K374" s="6"/>
      <c r="L374" s="7"/>
    </row>
    <row r="375" spans="1:12">
      <c r="A375" s="50">
        <v>45084</v>
      </c>
      <c r="B375" s="49">
        <v>934.75</v>
      </c>
      <c r="C375" s="52">
        <f t="shared" si="32"/>
        <v>8.0014665760839813E-3</v>
      </c>
      <c r="D375" s="53">
        <v>18599</v>
      </c>
      <c r="E375" s="54">
        <f t="shared" si="33"/>
        <v>2.7697330031174045E-4</v>
      </c>
      <c r="F375" s="55">
        <v>13012.9</v>
      </c>
      <c r="G375" s="54">
        <f t="shared" si="34"/>
        <v>6.0613089025474227E-3</v>
      </c>
      <c r="K375" s="6"/>
      <c r="L375" s="7"/>
    </row>
    <row r="376" spans="1:12">
      <c r="A376" s="50">
        <v>45083</v>
      </c>
      <c r="B376" s="49">
        <v>927.33</v>
      </c>
      <c r="C376" s="52">
        <f t="shared" si="32"/>
        <v>7.1901032898524014E-3</v>
      </c>
      <c r="D376" s="53">
        <v>18593.849999999999</v>
      </c>
      <c r="E376" s="54">
        <f t="shared" si="33"/>
        <v>3.2237875051931309E-3</v>
      </c>
      <c r="F376" s="55">
        <v>12934.5</v>
      </c>
      <c r="G376" s="54">
        <f t="shared" si="34"/>
        <v>2.6277847541974508E-3</v>
      </c>
      <c r="K376" s="6"/>
      <c r="L376" s="7"/>
    </row>
    <row r="377" spans="1:12">
      <c r="A377" s="50">
        <v>45082</v>
      </c>
      <c r="B377" s="49">
        <v>920.71</v>
      </c>
      <c r="C377" s="52">
        <f t="shared" si="32"/>
        <v>-1.4966001149562358E-3</v>
      </c>
      <c r="D377" s="53">
        <v>18534.099999999999</v>
      </c>
      <c r="E377" s="54">
        <f t="shared" si="33"/>
        <v>2.5070654893104105E-3</v>
      </c>
      <c r="F377" s="55">
        <v>12900.6</v>
      </c>
      <c r="G377" s="54">
        <f t="shared" si="34"/>
        <v>6.8525224775225629E-3</v>
      </c>
      <c r="K377" s="6"/>
      <c r="L377" s="7"/>
    </row>
    <row r="378" spans="1:12">
      <c r="A378" s="50">
        <v>45079</v>
      </c>
      <c r="B378" s="49">
        <v>922.09</v>
      </c>
      <c r="C378" s="52">
        <f t="shared" si="32"/>
        <v>1.2829384562999159E-2</v>
      </c>
      <c r="D378" s="53">
        <v>18487.75</v>
      </c>
      <c r="E378" s="54">
        <f t="shared" si="33"/>
        <v>-2.5169414709945537E-3</v>
      </c>
      <c r="F378" s="55">
        <v>12812.8</v>
      </c>
      <c r="G378" s="54">
        <f t="shared" si="34"/>
        <v>1.060070671378089E-2</v>
      </c>
      <c r="K378" s="6"/>
      <c r="L378" s="7"/>
    </row>
    <row r="379" spans="1:12">
      <c r="A379" s="50">
        <v>45078</v>
      </c>
      <c r="B379" s="49">
        <v>910.41</v>
      </c>
      <c r="C379" s="52">
        <f t="shared" si="32"/>
        <v>1.1330689505781907E-2</v>
      </c>
      <c r="D379" s="53">
        <v>18534.400000000001</v>
      </c>
      <c r="E379" s="54">
        <f t="shared" si="33"/>
        <v>-5.3370613158309791E-3</v>
      </c>
      <c r="F379" s="55">
        <v>12678.4</v>
      </c>
      <c r="G379" s="54">
        <f t="shared" si="34"/>
        <v>5.8470253159534861E-3</v>
      </c>
      <c r="K379" s="6"/>
      <c r="L379" s="7"/>
    </row>
    <row r="380" spans="1:12">
      <c r="A380" s="50">
        <v>45077</v>
      </c>
      <c r="B380" s="49">
        <v>900.21</v>
      </c>
      <c r="C380" s="52">
        <f t="shared" si="32"/>
        <v>-3.9500763460133398E-3</v>
      </c>
      <c r="D380" s="53">
        <v>18633.849999999999</v>
      </c>
      <c r="E380" s="54">
        <f t="shared" si="33"/>
        <v>1.8926104851694659E-3</v>
      </c>
      <c r="F380" s="55">
        <v>12604.7</v>
      </c>
      <c r="G380" s="54">
        <f t="shared" si="34"/>
        <v>-1.5446523344053483E-3</v>
      </c>
      <c r="K380" s="6"/>
      <c r="L380" s="7"/>
    </row>
    <row r="381" spans="1:12">
      <c r="A381" s="50">
        <v>45076</v>
      </c>
      <c r="B381" s="49">
        <v>903.78</v>
      </c>
      <c r="C381" s="52">
        <f t="shared" si="32"/>
        <v>-8.1975308641975605E-3</v>
      </c>
      <c r="D381" s="53">
        <v>18598.650000000001</v>
      </c>
      <c r="E381" s="54">
        <f t="shared" si="33"/>
        <v>5.3677561644059337E-3</v>
      </c>
      <c r="F381" s="55">
        <v>12624.2</v>
      </c>
      <c r="G381" s="54">
        <f t="shared" si="34"/>
        <v>1.7973979391425227E-3</v>
      </c>
      <c r="K381" s="6"/>
      <c r="L381" s="7"/>
    </row>
    <row r="382" spans="1:12">
      <c r="A382" s="50">
        <v>45075</v>
      </c>
      <c r="B382" s="49">
        <v>911.25</v>
      </c>
      <c r="C382" s="52">
        <f t="shared" si="32"/>
        <v>5.5838179631202568E-3</v>
      </c>
      <c r="D382" s="53">
        <v>18499.349999999999</v>
      </c>
      <c r="E382" s="54">
        <f t="shared" si="33"/>
        <v>9.7264636772253412E-3</v>
      </c>
      <c r="F382" s="55">
        <v>12601.55</v>
      </c>
      <c r="G382" s="54">
        <f t="shared" si="34"/>
        <v>1.1725743647384631E-2</v>
      </c>
      <c r="K382" s="6"/>
      <c r="L382" s="7"/>
    </row>
    <row r="383" spans="1:12">
      <c r="A383" s="50">
        <v>45072</v>
      </c>
      <c r="B383" s="49">
        <v>906.19</v>
      </c>
      <c r="C383" s="52">
        <f t="shared" si="32"/>
        <v>5.9947379522420222E-3</v>
      </c>
      <c r="D383" s="53">
        <v>18321.150000000001</v>
      </c>
      <c r="E383" s="54">
        <f t="shared" si="33"/>
        <v>1.9551117284828333E-3</v>
      </c>
      <c r="F383" s="55">
        <v>12455.5</v>
      </c>
      <c r="G383" s="54">
        <f t="shared" si="34"/>
        <v>1.209763312420312E-3</v>
      </c>
      <c r="K383" s="6"/>
      <c r="L383" s="7"/>
    </row>
    <row r="384" spans="1:12">
      <c r="A384" s="50">
        <v>45071</v>
      </c>
      <c r="B384" s="49">
        <v>900.79</v>
      </c>
      <c r="C384" s="52">
        <f t="shared" si="32"/>
        <v>-3.3855175084361996E-3</v>
      </c>
      <c r="D384" s="53">
        <v>18285.400000000001</v>
      </c>
      <c r="E384" s="54">
        <f t="shared" si="33"/>
        <v>-3.4118160017439802E-3</v>
      </c>
      <c r="F384" s="55">
        <v>12440.45</v>
      </c>
      <c r="G384" s="54">
        <f t="shared" si="34"/>
        <v>1.025239154796901E-2</v>
      </c>
      <c r="K384" s="6"/>
      <c r="L384" s="7"/>
    </row>
    <row r="385" spans="1:12">
      <c r="A385" s="50">
        <v>45070</v>
      </c>
      <c r="B385" s="49">
        <v>903.85</v>
      </c>
      <c r="C385" s="52">
        <f t="shared" si="32"/>
        <v>1.3159812130791057E-2</v>
      </c>
      <c r="D385" s="53">
        <v>18348</v>
      </c>
      <c r="E385" s="54">
        <f t="shared" si="33"/>
        <v>1.8346219368365079E-3</v>
      </c>
      <c r="F385" s="55">
        <v>12314.2</v>
      </c>
      <c r="G385" s="54">
        <f t="shared" si="34"/>
        <v>5.7169925352411749E-3</v>
      </c>
      <c r="K385" s="6"/>
      <c r="L385" s="7"/>
    </row>
    <row r="386" spans="1:12">
      <c r="A386" s="50">
        <v>45069</v>
      </c>
      <c r="B386" s="49">
        <v>892.11</v>
      </c>
      <c r="C386" s="52">
        <f t="shared" si="32"/>
        <v>6.5056700279299739E-4</v>
      </c>
      <c r="D386" s="53">
        <v>18314.400000000001</v>
      </c>
      <c r="E386" s="54">
        <f t="shared" si="33"/>
        <v>6.0977619565575659E-3</v>
      </c>
      <c r="F386" s="55">
        <v>12244.2</v>
      </c>
      <c r="G386" s="54">
        <f t="shared" si="34"/>
        <v>9.8933954677609525E-3</v>
      </c>
      <c r="K386" s="6"/>
      <c r="L386" s="7"/>
    </row>
    <row r="387" spans="1:12">
      <c r="A387" s="50">
        <v>45068</v>
      </c>
      <c r="B387" s="49">
        <v>891.53</v>
      </c>
      <c r="C387" s="52">
        <f t="shared" si="32"/>
        <v>1.4959186693837574E-2</v>
      </c>
      <c r="D387" s="53">
        <v>18203.400000000001</v>
      </c>
      <c r="E387" s="54">
        <f t="shared" si="33"/>
        <v>4.0513073670915105E-3</v>
      </c>
      <c r="F387" s="55">
        <v>12124.25</v>
      </c>
      <c r="G387" s="54">
        <f t="shared" si="34"/>
        <v>-9.5659383973173192E-3</v>
      </c>
      <c r="K387" s="6"/>
      <c r="L387" s="7"/>
    </row>
    <row r="388" spans="1:12">
      <c r="A388" s="50">
        <v>45065</v>
      </c>
      <c r="B388" s="49">
        <v>878.39</v>
      </c>
      <c r="C388" s="52">
        <f t="shared" si="32"/>
        <v>-7.0425719517985333E-3</v>
      </c>
      <c r="D388" s="53">
        <v>18129.95</v>
      </c>
      <c r="E388" s="54">
        <f t="shared" si="33"/>
        <v>-2.8490106837900241E-3</v>
      </c>
      <c r="F388" s="55">
        <v>12241.35</v>
      </c>
      <c r="G388" s="54">
        <f t="shared" si="34"/>
        <v>-1.2678901968375247E-2</v>
      </c>
      <c r="K388" s="6"/>
      <c r="L388" s="7"/>
    </row>
    <row r="389" spans="1:12">
      <c r="A389" s="50">
        <v>45064</v>
      </c>
      <c r="B389" s="49">
        <v>884.62</v>
      </c>
      <c r="C389" s="52">
        <f t="shared" si="32"/>
        <v>-1.3031351110119325E-2</v>
      </c>
      <c r="D389" s="53">
        <v>18181.75</v>
      </c>
      <c r="E389" s="54">
        <f t="shared" si="33"/>
        <v>-5.7282694884204198E-3</v>
      </c>
      <c r="F389" s="55">
        <v>12398.55</v>
      </c>
      <c r="G389" s="54">
        <f t="shared" si="34"/>
        <v>-4.4923521618692626E-3</v>
      </c>
      <c r="K389" s="6"/>
      <c r="L389" s="7"/>
    </row>
    <row r="390" spans="1:12">
      <c r="A390" s="50">
        <v>45063</v>
      </c>
      <c r="B390" s="49">
        <v>896.3</v>
      </c>
      <c r="C390" s="52">
        <f t="shared" si="32"/>
        <v>-7.4307039789150023E-3</v>
      </c>
      <c r="D390" s="53">
        <v>18286.5</v>
      </c>
      <c r="E390" s="54">
        <f t="shared" si="33"/>
        <v>-6.1063599083637597E-3</v>
      </c>
      <c r="F390" s="55">
        <v>12454.5</v>
      </c>
      <c r="G390" s="54">
        <f t="shared" si="34"/>
        <v>-2.6346557329788136E-3</v>
      </c>
      <c r="K390" s="6"/>
      <c r="L390" s="7"/>
    </row>
    <row r="391" spans="1:12">
      <c r="A391" s="50">
        <v>45062</v>
      </c>
      <c r="B391" s="49">
        <v>903.01</v>
      </c>
      <c r="C391" s="52">
        <f t="shared" si="32"/>
        <v>-7.7458476723732774E-4</v>
      </c>
      <c r="D391" s="53">
        <v>18398.849999999999</v>
      </c>
      <c r="E391" s="54">
        <f t="shared" si="33"/>
        <v>4.5891847030816212E-3</v>
      </c>
      <c r="F391" s="55">
        <v>12487.4</v>
      </c>
      <c r="G391" s="54">
        <f t="shared" si="34"/>
        <v>5.6059647464815249E-5</v>
      </c>
      <c r="K391" s="6"/>
      <c r="L391" s="7"/>
    </row>
    <row r="392" spans="1:12">
      <c r="A392" s="50">
        <v>45061</v>
      </c>
      <c r="B392" s="49">
        <v>903.71</v>
      </c>
      <c r="C392" s="52">
        <f t="shared" si="32"/>
        <v>1.1744027227334822E-2</v>
      </c>
      <c r="D392" s="53">
        <v>18314.8</v>
      </c>
      <c r="E392" s="54">
        <f t="shared" si="33"/>
        <v>9.7283707711642744E-4</v>
      </c>
      <c r="F392" s="55">
        <v>12486.7</v>
      </c>
      <c r="G392" s="54">
        <f t="shared" si="34"/>
        <v>-5.6024305071651816E-3</v>
      </c>
      <c r="K392" s="6"/>
      <c r="L392" s="7"/>
    </row>
    <row r="393" spans="1:12">
      <c r="A393" s="50">
        <v>45058</v>
      </c>
      <c r="B393" s="49">
        <v>893.22</v>
      </c>
      <c r="C393" s="52">
        <f t="shared" si="32"/>
        <v>-1.4541041482789001E-2</v>
      </c>
      <c r="D393" s="53">
        <v>18297</v>
      </c>
      <c r="E393" s="54">
        <f t="shared" si="33"/>
        <v>-9.8825559237997857E-4</v>
      </c>
      <c r="F393" s="55">
        <v>12557.05</v>
      </c>
      <c r="G393" s="54">
        <f t="shared" si="34"/>
        <v>-1.2569887315304859E-2</v>
      </c>
      <c r="K393" s="6"/>
      <c r="L393" s="7"/>
    </row>
    <row r="394" spans="1:12">
      <c r="A394" s="50">
        <v>45057</v>
      </c>
      <c r="B394" s="49">
        <v>906.4</v>
      </c>
      <c r="C394" s="52">
        <f t="shared" ref="C394:C457" si="35">(B394-B395)/B395</f>
        <v>-6.8888295358823223E-2</v>
      </c>
      <c r="D394" s="53">
        <v>18315.099999999999</v>
      </c>
      <c r="E394" s="54">
        <f t="shared" ref="E394:E457" si="36">(D394-D395)/D395</f>
        <v>2.690799000325623E-3</v>
      </c>
      <c r="F394" s="55">
        <v>12716.9</v>
      </c>
      <c r="G394" s="54">
        <f t="shared" ref="G394:G457" si="37">(F394-F395)/F395</f>
        <v>1.5727350649060573E-5</v>
      </c>
      <c r="K394" s="6"/>
      <c r="L394" s="7"/>
    </row>
    <row r="395" spans="1:12">
      <c r="A395" s="50">
        <v>45056</v>
      </c>
      <c r="B395" s="49">
        <v>973.46</v>
      </c>
      <c r="C395" s="52">
        <f t="shared" si="35"/>
        <v>-1.3368469061977339E-2</v>
      </c>
      <c r="D395" s="53">
        <v>18265.95</v>
      </c>
      <c r="E395" s="54">
        <f t="shared" si="36"/>
        <v>8.4864545235500337E-5</v>
      </c>
      <c r="F395" s="55">
        <v>12716.7</v>
      </c>
      <c r="G395" s="54">
        <f t="shared" si="37"/>
        <v>4.2327708065166003E-3</v>
      </c>
      <c r="K395" s="6"/>
      <c r="L395" s="7"/>
    </row>
    <row r="396" spans="1:12">
      <c r="A396" s="50">
        <v>45055</v>
      </c>
      <c r="B396" s="49">
        <v>986.65</v>
      </c>
      <c r="C396" s="52">
        <f t="shared" si="35"/>
        <v>5.3290130627050786E-3</v>
      </c>
      <c r="D396" s="53">
        <v>18264.400000000001</v>
      </c>
      <c r="E396" s="54">
        <f t="shared" si="36"/>
        <v>1.0814101499806378E-2</v>
      </c>
      <c r="F396" s="55">
        <v>12663.1</v>
      </c>
      <c r="G396" s="54">
        <f t="shared" si="37"/>
        <v>4.3423604198804758E-3</v>
      </c>
      <c r="K396" s="6"/>
      <c r="L396" s="7"/>
    </row>
    <row r="397" spans="1:12">
      <c r="A397" s="50">
        <v>45054</v>
      </c>
      <c r="B397" s="49">
        <v>981.42</v>
      </c>
      <c r="C397" s="52">
        <f t="shared" si="35"/>
        <v>-7.1623672230652921E-3</v>
      </c>
      <c r="D397" s="53">
        <v>18069</v>
      </c>
      <c r="E397" s="54">
        <f t="shared" si="36"/>
        <v>-1.0232364508813598E-2</v>
      </c>
      <c r="F397" s="55">
        <v>12608.35</v>
      </c>
      <c r="G397" s="54">
        <f t="shared" si="37"/>
        <v>-3.6587341412049543E-3</v>
      </c>
      <c r="K397" s="6"/>
      <c r="L397" s="7"/>
    </row>
    <row r="398" spans="1:12">
      <c r="A398" s="50">
        <v>45051</v>
      </c>
      <c r="B398" s="49">
        <v>988.5</v>
      </c>
      <c r="C398" s="52">
        <f t="shared" si="35"/>
        <v>-5.1328502415459165E-3</v>
      </c>
      <c r="D398" s="53">
        <v>18255.8</v>
      </c>
      <c r="E398" s="54">
        <f t="shared" si="36"/>
        <v>9.1736526284076844E-3</v>
      </c>
      <c r="F398" s="55">
        <v>12654.65</v>
      </c>
      <c r="G398" s="54">
        <f t="shared" si="37"/>
        <v>5.3905678965265489E-3</v>
      </c>
      <c r="K398" s="6"/>
      <c r="L398" s="7"/>
    </row>
    <row r="399" spans="1:12">
      <c r="A399" s="50">
        <v>45050</v>
      </c>
      <c r="B399" s="49">
        <v>993.6</v>
      </c>
      <c r="C399" s="52">
        <f t="shared" si="35"/>
        <v>3.1803725579281914E-3</v>
      </c>
      <c r="D399" s="53">
        <v>18089.849999999999</v>
      </c>
      <c r="E399" s="54">
        <f t="shared" si="36"/>
        <v>-3.1849853837826333E-3</v>
      </c>
      <c r="F399" s="55">
        <v>12586.8</v>
      </c>
      <c r="G399" s="54">
        <f t="shared" si="37"/>
        <v>-2.7799178732834011E-4</v>
      </c>
      <c r="K399" s="6"/>
      <c r="L399" s="7"/>
    </row>
    <row r="400" spans="1:12">
      <c r="A400" s="50">
        <v>45049</v>
      </c>
      <c r="B400" s="49">
        <v>990.45</v>
      </c>
      <c r="C400" s="52">
        <f t="shared" si="35"/>
        <v>3.7370717517776799E-4</v>
      </c>
      <c r="D400" s="53">
        <v>18147.650000000001</v>
      </c>
      <c r="E400" s="54">
        <f t="shared" si="36"/>
        <v>4.5751453086078859E-3</v>
      </c>
      <c r="F400" s="55">
        <v>12590.3</v>
      </c>
      <c r="G400" s="54">
        <f t="shared" si="37"/>
        <v>-1.8749083356126711E-3</v>
      </c>
      <c r="K400" s="6"/>
      <c r="L400" s="7"/>
    </row>
    <row r="401" spans="1:12">
      <c r="A401" s="50">
        <v>45048</v>
      </c>
      <c r="B401" s="49">
        <v>990.08</v>
      </c>
      <c r="C401" s="52">
        <f t="shared" si="35"/>
        <v>4.1684838281083741E-3</v>
      </c>
      <c r="D401" s="53">
        <v>18065</v>
      </c>
      <c r="E401" s="54">
        <f t="shared" si="36"/>
        <v>8.37005757728841E-3</v>
      </c>
      <c r="F401" s="55">
        <v>12613.95</v>
      </c>
      <c r="G401" s="54">
        <f t="shared" si="37"/>
        <v>7.5563028431987573E-3</v>
      </c>
      <c r="K401" s="6"/>
      <c r="L401" s="7"/>
    </row>
    <row r="402" spans="1:12">
      <c r="A402" s="50">
        <v>45044</v>
      </c>
      <c r="B402" s="49">
        <v>985.97</v>
      </c>
      <c r="C402" s="52">
        <f t="shared" si="35"/>
        <v>2.2974250541317976E-3</v>
      </c>
      <c r="D402" s="53">
        <v>17915.05</v>
      </c>
      <c r="E402" s="54">
        <f t="shared" si="36"/>
        <v>5.6950868998967494E-3</v>
      </c>
      <c r="F402" s="55">
        <v>12519.35</v>
      </c>
      <c r="G402" s="54">
        <f t="shared" si="37"/>
        <v>4.9366463715649171E-3</v>
      </c>
      <c r="K402" s="6"/>
      <c r="L402" s="7"/>
    </row>
    <row r="403" spans="1:12">
      <c r="A403" s="50">
        <v>45043</v>
      </c>
      <c r="B403" s="49">
        <v>983.71</v>
      </c>
      <c r="C403" s="52">
        <f t="shared" si="35"/>
        <v>1.515964582774355E-2</v>
      </c>
      <c r="D403" s="53">
        <v>17813.599999999999</v>
      </c>
      <c r="E403" s="54">
        <f t="shared" si="36"/>
        <v>2.495884744713398E-3</v>
      </c>
      <c r="F403" s="55">
        <v>12457.85</v>
      </c>
      <c r="G403" s="54">
        <f t="shared" si="37"/>
        <v>1.0034840967840342E-4</v>
      </c>
      <c r="K403" s="6"/>
      <c r="L403" s="7"/>
    </row>
    <row r="404" spans="1:12">
      <c r="A404" s="50">
        <v>45042</v>
      </c>
      <c r="B404" s="49">
        <v>969.02</v>
      </c>
      <c r="C404" s="52">
        <f t="shared" si="35"/>
        <v>2.4413961475596526E-3</v>
      </c>
      <c r="D404" s="53">
        <v>17769.25</v>
      </c>
      <c r="E404" s="54">
        <f t="shared" si="36"/>
        <v>1.4568797411994624E-3</v>
      </c>
      <c r="F404" s="55">
        <v>12456.6</v>
      </c>
      <c r="G404" s="54">
        <f t="shared" si="37"/>
        <v>1.8065976947813413E-4</v>
      </c>
      <c r="K404" s="6"/>
      <c r="L404" s="7"/>
    </row>
    <row r="405" spans="1:12">
      <c r="A405" s="50">
        <v>45041</v>
      </c>
      <c r="B405" s="49">
        <v>966.66</v>
      </c>
      <c r="C405" s="52">
        <f t="shared" si="35"/>
        <v>5.6594744179271558E-3</v>
      </c>
      <c r="D405" s="53">
        <v>17743.400000000001</v>
      </c>
      <c r="E405" s="54">
        <f t="shared" si="36"/>
        <v>6.7719962210730329E-3</v>
      </c>
      <c r="F405" s="55">
        <v>12454.35</v>
      </c>
      <c r="G405" s="54">
        <f t="shared" si="37"/>
        <v>-7.2853356714424914E-3</v>
      </c>
      <c r="K405" s="6"/>
      <c r="L405" s="7"/>
    </row>
    <row r="406" spans="1:12">
      <c r="A406" s="50">
        <v>45040</v>
      </c>
      <c r="B406" s="49">
        <v>961.22</v>
      </c>
      <c r="C406" s="52">
        <f t="shared" si="35"/>
        <v>-1.2867779204107803E-2</v>
      </c>
      <c r="D406" s="53">
        <v>17624.05</v>
      </c>
      <c r="E406" s="54">
        <f t="shared" si="36"/>
        <v>-2.2695743697048997E-5</v>
      </c>
      <c r="F406" s="55">
        <v>12545.75</v>
      </c>
      <c r="G406" s="54">
        <f t="shared" si="37"/>
        <v>4.8457179471776699E-3</v>
      </c>
      <c r="K406" s="6"/>
      <c r="L406" s="7"/>
    </row>
    <row r="407" spans="1:12">
      <c r="A407" s="50">
        <v>45037</v>
      </c>
      <c r="B407" s="49">
        <v>973.75</v>
      </c>
      <c r="C407" s="52">
        <f t="shared" si="35"/>
        <v>2.1715861841834563E-3</v>
      </c>
      <c r="D407" s="53">
        <v>17624.45</v>
      </c>
      <c r="E407" s="54">
        <f t="shared" si="36"/>
        <v>3.2351897836116228E-4</v>
      </c>
      <c r="F407" s="55">
        <v>12485.25</v>
      </c>
      <c r="G407" s="54">
        <f t="shared" si="37"/>
        <v>-1.1092805715507694E-2</v>
      </c>
      <c r="K407" s="6"/>
      <c r="L407" s="7"/>
    </row>
    <row r="408" spans="1:12">
      <c r="A408" s="50">
        <v>45036</v>
      </c>
      <c r="B408" s="49">
        <v>971.64</v>
      </c>
      <c r="C408" s="52">
        <f t="shared" si="35"/>
        <v>-1.0418894558342773E-2</v>
      </c>
      <c r="D408" s="53">
        <v>17618.75</v>
      </c>
      <c r="E408" s="54">
        <f t="shared" si="36"/>
        <v>-2.3442609490860185E-3</v>
      </c>
      <c r="F408" s="55">
        <v>12625.3</v>
      </c>
      <c r="G408" s="54">
        <f t="shared" si="37"/>
        <v>1.4237726405627598E-3</v>
      </c>
      <c r="K408" s="6"/>
      <c r="L408" s="7"/>
    </row>
    <row r="409" spans="1:12">
      <c r="A409" s="50">
        <v>45035</v>
      </c>
      <c r="B409" s="49">
        <v>981.87</v>
      </c>
      <c r="C409" s="52">
        <f t="shared" si="35"/>
        <v>-6.2087777868253158E-4</v>
      </c>
      <c r="D409" s="53">
        <v>17660.150000000001</v>
      </c>
      <c r="E409" s="54">
        <f t="shared" si="36"/>
        <v>-2.637397391404857E-3</v>
      </c>
      <c r="F409" s="55">
        <v>12607.35</v>
      </c>
      <c r="G409" s="54">
        <f t="shared" si="37"/>
        <v>1.6426682576026315E-2</v>
      </c>
      <c r="K409" s="6"/>
      <c r="L409" s="7"/>
    </row>
    <row r="410" spans="1:12">
      <c r="A410" s="50">
        <v>45034</v>
      </c>
      <c r="B410" s="49">
        <v>982.48</v>
      </c>
      <c r="C410" s="52">
        <f t="shared" si="35"/>
        <v>1.2385878861570783E-2</v>
      </c>
      <c r="D410" s="53">
        <v>17706.849999999999</v>
      </c>
      <c r="E410" s="54">
        <f t="shared" si="36"/>
        <v>-6.7954902400718786E-3</v>
      </c>
      <c r="F410" s="55">
        <v>12403.6</v>
      </c>
      <c r="G410" s="54">
        <f t="shared" si="37"/>
        <v>-6.0341857054707765E-3</v>
      </c>
      <c r="K410" s="6"/>
      <c r="L410" s="7"/>
    </row>
    <row r="411" spans="1:12">
      <c r="A411" s="50">
        <v>45033</v>
      </c>
      <c r="B411" s="49">
        <v>970.46</v>
      </c>
      <c r="C411" s="52">
        <f t="shared" si="35"/>
        <v>-1.2363741268108197E-4</v>
      </c>
      <c r="D411" s="53">
        <v>17828</v>
      </c>
      <c r="E411" s="54">
        <f t="shared" si="36"/>
        <v>8.7579439042456621E-4</v>
      </c>
      <c r="F411" s="55">
        <v>12478.9</v>
      </c>
      <c r="G411" s="54">
        <f t="shared" si="37"/>
        <v>-7.5790109907589416E-3</v>
      </c>
      <c r="K411" s="6"/>
      <c r="L411" s="7"/>
    </row>
    <row r="412" spans="1:12">
      <c r="A412" s="50">
        <v>45029</v>
      </c>
      <c r="B412" s="49">
        <v>970.58</v>
      </c>
      <c r="C412" s="52">
        <f t="shared" si="35"/>
        <v>-5.757017004712154E-3</v>
      </c>
      <c r="D412" s="53">
        <v>17812.400000000001</v>
      </c>
      <c r="E412" s="54">
        <f t="shared" si="36"/>
        <v>5.0839902270022616E-3</v>
      </c>
      <c r="F412" s="55">
        <v>12574.2</v>
      </c>
      <c r="G412" s="54">
        <f t="shared" si="37"/>
        <v>2.2292682926829326E-2</v>
      </c>
      <c r="K412" s="6"/>
      <c r="L412" s="7"/>
    </row>
    <row r="413" spans="1:12">
      <c r="A413" s="50">
        <v>45028</v>
      </c>
      <c r="B413" s="49">
        <v>976.2</v>
      </c>
      <c r="C413" s="52">
        <f t="shared" si="35"/>
        <v>2.4699003852330908E-2</v>
      </c>
      <c r="D413" s="53">
        <v>17722.3</v>
      </c>
      <c r="E413" s="54">
        <f t="shared" si="36"/>
        <v>5.5747685690859935E-3</v>
      </c>
      <c r="F413" s="55">
        <v>12300</v>
      </c>
      <c r="G413" s="54">
        <f t="shared" si="37"/>
        <v>1.0163634515702815E-4</v>
      </c>
      <c r="K413" s="6"/>
      <c r="L413" s="7"/>
    </row>
    <row r="414" spans="1:12">
      <c r="A414" s="50">
        <v>45027</v>
      </c>
      <c r="B414" s="49">
        <v>952.67</v>
      </c>
      <c r="C414" s="52">
        <f t="shared" si="35"/>
        <v>7.7736808378768302E-4</v>
      </c>
      <c r="D414" s="53">
        <v>17624.05</v>
      </c>
      <c r="E414" s="54">
        <f t="shared" si="36"/>
        <v>1.4148410576645925E-3</v>
      </c>
      <c r="F414" s="55">
        <v>12298.75</v>
      </c>
      <c r="G414" s="54">
        <f t="shared" si="37"/>
        <v>1.9878853055354975E-3</v>
      </c>
      <c r="K414" s="6"/>
      <c r="L414" s="7"/>
    </row>
    <row r="415" spans="1:12">
      <c r="A415" s="50">
        <v>45026</v>
      </c>
      <c r="B415" s="49">
        <v>951.93</v>
      </c>
      <c r="C415" s="52">
        <f t="shared" si="35"/>
        <v>1.2820785632208318E-2</v>
      </c>
      <c r="D415" s="53">
        <v>17599.150000000001</v>
      </c>
      <c r="E415" s="54">
        <f t="shared" si="36"/>
        <v>2.3978971410346375E-3</v>
      </c>
      <c r="F415" s="55">
        <v>12274.35</v>
      </c>
      <c r="G415" s="54">
        <f t="shared" si="37"/>
        <v>7.5932637489379692E-3</v>
      </c>
      <c r="K415" s="6"/>
      <c r="L415" s="7"/>
    </row>
    <row r="416" spans="1:12">
      <c r="A416" s="50">
        <v>45022</v>
      </c>
      <c r="B416" s="49">
        <v>939.88</v>
      </c>
      <c r="C416" s="52">
        <f t="shared" si="35"/>
        <v>3.5448876740412257E-3</v>
      </c>
      <c r="D416" s="53">
        <v>17557.05</v>
      </c>
      <c r="E416" s="54">
        <f t="shared" si="36"/>
        <v>9.1389552277410403E-3</v>
      </c>
      <c r="F416" s="55">
        <v>12181.85</v>
      </c>
      <c r="G416" s="54">
        <f t="shared" si="37"/>
        <v>9.4382227304554318E-3</v>
      </c>
      <c r="K416" s="6"/>
      <c r="L416" s="7"/>
    </row>
    <row r="417" spans="1:12">
      <c r="A417" s="50">
        <v>45021</v>
      </c>
      <c r="B417" s="49">
        <v>936.56</v>
      </c>
      <c r="C417" s="52">
        <f t="shared" si="35"/>
        <v>5.6480188983141751E-3</v>
      </c>
      <c r="D417" s="53">
        <v>17398.05</v>
      </c>
      <c r="E417" s="54">
        <f t="shared" si="36"/>
        <v>2.2062529702328243E-3</v>
      </c>
      <c r="F417" s="55">
        <v>12067.95</v>
      </c>
      <c r="G417" s="54">
        <f t="shared" si="37"/>
        <v>4.2356485160668766E-3</v>
      </c>
      <c r="K417" s="6"/>
      <c r="L417" s="7"/>
    </row>
    <row r="418" spans="1:12">
      <c r="A418" s="50">
        <v>45019</v>
      </c>
      <c r="B418" s="49">
        <v>931.3</v>
      </c>
      <c r="C418" s="52">
        <f t="shared" si="35"/>
        <v>7.3008490617056951E-3</v>
      </c>
      <c r="D418" s="53">
        <v>17359.75</v>
      </c>
      <c r="E418" s="54">
        <f t="shared" si="36"/>
        <v>1.6337152458622845E-2</v>
      </c>
      <c r="F418" s="55">
        <v>12017.05</v>
      </c>
      <c r="G418" s="54">
        <f t="shared" si="37"/>
        <v>6.2424115553694178E-3</v>
      </c>
      <c r="K418" s="6"/>
      <c r="L418" s="7"/>
    </row>
    <row r="419" spans="1:12">
      <c r="A419" s="50">
        <v>45016</v>
      </c>
      <c r="B419" s="49">
        <v>924.55</v>
      </c>
      <c r="C419" s="52">
        <f t="shared" si="35"/>
        <v>1.2029861202329359E-2</v>
      </c>
      <c r="D419" s="53">
        <v>17080.7</v>
      </c>
      <c r="E419" s="54">
        <f t="shared" si="36"/>
        <v>7.6098562386073369E-3</v>
      </c>
      <c r="F419" s="55">
        <v>11942.5</v>
      </c>
      <c r="G419" s="54">
        <f t="shared" si="37"/>
        <v>5.8366741906140948E-3</v>
      </c>
      <c r="K419" s="6"/>
      <c r="L419" s="7"/>
    </row>
    <row r="420" spans="1:12">
      <c r="A420" s="50">
        <v>45014</v>
      </c>
      <c r="B420" s="49">
        <v>913.56</v>
      </c>
      <c r="C420" s="52">
        <f t="shared" si="35"/>
        <v>9.0571706282582976E-3</v>
      </c>
      <c r="D420" s="53">
        <v>16951.7</v>
      </c>
      <c r="E420" s="54">
        <f t="shared" si="36"/>
        <v>-2.0016837692882834E-3</v>
      </c>
      <c r="F420" s="55">
        <v>11873.2</v>
      </c>
      <c r="G420" s="54">
        <f t="shared" si="37"/>
        <v>-8.0368601544249208E-4</v>
      </c>
      <c r="K420" s="6"/>
      <c r="L420" s="7"/>
    </row>
    <row r="421" spans="1:12">
      <c r="A421" s="50">
        <v>45013</v>
      </c>
      <c r="B421" s="49">
        <v>905.36</v>
      </c>
      <c r="C421" s="52">
        <f t="shared" si="35"/>
        <v>9.173698349180184E-3</v>
      </c>
      <c r="D421" s="53">
        <v>16985.7</v>
      </c>
      <c r="E421" s="54">
        <f t="shared" si="36"/>
        <v>2.3989306611666215E-3</v>
      </c>
      <c r="F421" s="55">
        <v>11882.75</v>
      </c>
      <c r="G421" s="54">
        <f t="shared" si="37"/>
        <v>1.0837618616204506E-2</v>
      </c>
      <c r="K421" s="6"/>
      <c r="L421" s="7"/>
    </row>
    <row r="422" spans="1:12">
      <c r="A422" s="50">
        <v>45012</v>
      </c>
      <c r="B422" s="49">
        <v>897.13</v>
      </c>
      <c r="C422" s="52">
        <f t="shared" si="35"/>
        <v>4.8161464108508389E-3</v>
      </c>
      <c r="D422" s="53">
        <v>16945.05</v>
      </c>
      <c r="E422" s="54">
        <f t="shared" si="36"/>
        <v>-7.7209563796709103E-3</v>
      </c>
      <c r="F422" s="55">
        <v>11755.35</v>
      </c>
      <c r="G422" s="54">
        <f t="shared" si="37"/>
        <v>-2.1645297240861228E-3</v>
      </c>
      <c r="K422" s="6"/>
      <c r="L422" s="7"/>
    </row>
    <row r="423" spans="1:12">
      <c r="A423" s="50">
        <v>45009</v>
      </c>
      <c r="B423" s="49">
        <v>892.83</v>
      </c>
      <c r="C423" s="52">
        <f t="shared" si="35"/>
        <v>3.8678195167474953E-3</v>
      </c>
      <c r="D423" s="53">
        <v>17076.900000000001</v>
      </c>
      <c r="E423" s="54">
        <f t="shared" si="36"/>
        <v>-4.3726934042292685E-3</v>
      </c>
      <c r="F423" s="55">
        <v>11780.85</v>
      </c>
      <c r="G423" s="54">
        <f t="shared" si="37"/>
        <v>2.2246420580703577E-3</v>
      </c>
      <c r="K423" s="6"/>
      <c r="L423" s="7"/>
    </row>
    <row r="424" spans="1:12">
      <c r="A424" s="50">
        <v>45008</v>
      </c>
      <c r="B424" s="49">
        <v>889.39</v>
      </c>
      <c r="C424" s="52">
        <f t="shared" si="35"/>
        <v>-6.2570531514318847E-3</v>
      </c>
      <c r="D424" s="53">
        <v>17151.900000000001</v>
      </c>
      <c r="E424" s="54">
        <f t="shared" si="36"/>
        <v>2.5953529153880726E-3</v>
      </c>
      <c r="F424" s="55">
        <v>11754.7</v>
      </c>
      <c r="G424" s="54">
        <f t="shared" si="37"/>
        <v>1.0396475770925173E-2</v>
      </c>
      <c r="K424" s="6"/>
      <c r="L424" s="7"/>
    </row>
    <row r="425" spans="1:12">
      <c r="A425" s="50">
        <v>45007</v>
      </c>
      <c r="B425" s="49">
        <v>894.99</v>
      </c>
      <c r="C425" s="52">
        <f t="shared" si="35"/>
        <v>1.25810356726668E-2</v>
      </c>
      <c r="D425" s="53">
        <v>17107.5</v>
      </c>
      <c r="E425" s="54">
        <f t="shared" si="36"/>
        <v>7.0106661015751064E-3</v>
      </c>
      <c r="F425" s="55">
        <v>11633.75</v>
      </c>
      <c r="G425" s="54">
        <f t="shared" si="37"/>
        <v>-2.5335882640418472E-3</v>
      </c>
      <c r="K425" s="6"/>
      <c r="L425" s="7"/>
    </row>
    <row r="426" spans="1:12">
      <c r="A426" s="50">
        <v>45006</v>
      </c>
      <c r="B426" s="49">
        <v>883.87</v>
      </c>
      <c r="C426" s="52">
        <f t="shared" si="35"/>
        <v>-4.5275878768766195E-3</v>
      </c>
      <c r="D426" s="53">
        <v>16988.400000000001</v>
      </c>
      <c r="E426" s="54">
        <f t="shared" si="36"/>
        <v>-6.5292206747932209E-3</v>
      </c>
      <c r="F426" s="55">
        <v>11663.3</v>
      </c>
      <c r="G426" s="54">
        <f t="shared" si="37"/>
        <v>-1.100533994510208E-3</v>
      </c>
      <c r="K426" s="6"/>
      <c r="L426" s="7"/>
    </row>
    <row r="427" spans="1:12">
      <c r="A427" s="50">
        <v>45005</v>
      </c>
      <c r="B427" s="49">
        <v>887.89</v>
      </c>
      <c r="C427" s="52">
        <f t="shared" si="35"/>
        <v>7.4388828150532345E-4</v>
      </c>
      <c r="D427" s="53">
        <v>17100.05</v>
      </c>
      <c r="E427" s="54">
        <f t="shared" si="36"/>
        <v>6.7380604747551299E-3</v>
      </c>
      <c r="F427" s="55">
        <v>11676.15</v>
      </c>
      <c r="G427" s="54">
        <f t="shared" si="37"/>
        <v>-5.7096873083998471E-3</v>
      </c>
      <c r="K427" s="6"/>
      <c r="L427" s="7"/>
    </row>
    <row r="428" spans="1:12">
      <c r="A428" s="50">
        <v>45002</v>
      </c>
      <c r="B428" s="49">
        <v>887.23</v>
      </c>
      <c r="C428" s="52">
        <f t="shared" si="35"/>
        <v>1.1953236384374131E-2</v>
      </c>
      <c r="D428" s="53">
        <v>16985.599999999999</v>
      </c>
      <c r="E428" s="54">
        <f t="shared" si="36"/>
        <v>7.9247473066153013E-4</v>
      </c>
      <c r="F428" s="55">
        <v>11743.2</v>
      </c>
      <c r="G428" s="54">
        <f t="shared" si="37"/>
        <v>9.390619694944537E-3</v>
      </c>
      <c r="K428" s="6"/>
      <c r="L428" s="7"/>
    </row>
    <row r="429" spans="1:12">
      <c r="A429" s="50">
        <v>45001</v>
      </c>
      <c r="B429" s="49">
        <v>876.75</v>
      </c>
      <c r="C429" s="52">
        <f t="shared" si="35"/>
        <v>-2.4462396177039225E-3</v>
      </c>
      <c r="D429" s="53">
        <v>16972.150000000001</v>
      </c>
      <c r="E429" s="54">
        <f t="shared" si="36"/>
        <v>-4.1746610104849311E-3</v>
      </c>
      <c r="F429" s="55">
        <v>11633.95</v>
      </c>
      <c r="G429" s="54">
        <f t="shared" si="37"/>
        <v>3.1039968270254654E-3</v>
      </c>
      <c r="K429" s="6"/>
      <c r="L429" s="7"/>
    </row>
    <row r="430" spans="1:12">
      <c r="A430" s="50">
        <v>45000</v>
      </c>
      <c r="B430" s="49">
        <v>878.9</v>
      </c>
      <c r="C430" s="52">
        <f t="shared" si="35"/>
        <v>1.0334402409444667E-2</v>
      </c>
      <c r="D430" s="53">
        <v>17043.3</v>
      </c>
      <c r="E430" s="54">
        <f t="shared" si="36"/>
        <v>-6.4706808205522819E-3</v>
      </c>
      <c r="F430" s="55">
        <v>11597.95</v>
      </c>
      <c r="G430" s="54">
        <f t="shared" si="37"/>
        <v>5.173595692122457E-5</v>
      </c>
      <c r="K430" s="6"/>
      <c r="L430" s="7"/>
    </row>
    <row r="431" spans="1:12">
      <c r="A431" s="50">
        <v>44999</v>
      </c>
      <c r="B431" s="49">
        <v>869.91</v>
      </c>
      <c r="C431" s="52">
        <f t="shared" si="35"/>
        <v>-4.7707303679297916E-3</v>
      </c>
      <c r="D431" s="53">
        <v>17154.3</v>
      </c>
      <c r="E431" s="54">
        <f t="shared" si="36"/>
        <v>-1.4851058697862055E-2</v>
      </c>
      <c r="F431" s="55">
        <v>11597.35</v>
      </c>
      <c r="G431" s="54">
        <f t="shared" si="37"/>
        <v>-7.4118769765362195E-3</v>
      </c>
      <c r="K431" s="6"/>
      <c r="L431" s="7"/>
    </row>
    <row r="432" spans="1:12">
      <c r="A432" s="50">
        <v>44998</v>
      </c>
      <c r="B432" s="49">
        <v>874.08</v>
      </c>
      <c r="C432" s="52">
        <f t="shared" si="35"/>
        <v>-5.7216958059855679E-3</v>
      </c>
      <c r="D432" s="53">
        <v>17412.900000000001</v>
      </c>
      <c r="E432" s="54">
        <f t="shared" si="36"/>
        <v>-1.004570882794362E-2</v>
      </c>
      <c r="F432" s="55">
        <v>11683.95</v>
      </c>
      <c r="G432" s="54">
        <f t="shared" si="37"/>
        <v>-1.4059348398344424E-3</v>
      </c>
      <c r="K432" s="6"/>
      <c r="L432" s="7"/>
    </row>
    <row r="433" spans="1:12">
      <c r="A433" s="50">
        <v>44995</v>
      </c>
      <c r="B433" s="49">
        <v>879.11</v>
      </c>
      <c r="C433" s="52">
        <f t="shared" si="35"/>
        <v>3.3326105068534895E-3</v>
      </c>
      <c r="D433" s="53">
        <v>17589.599999999999</v>
      </c>
      <c r="E433" s="54">
        <f t="shared" si="36"/>
        <v>-9.2822061010230088E-3</v>
      </c>
      <c r="F433" s="55">
        <v>11700.4</v>
      </c>
      <c r="G433" s="54">
        <f t="shared" si="37"/>
        <v>-4.2339885022744392E-3</v>
      </c>
      <c r="K433" s="6"/>
      <c r="L433" s="7"/>
    </row>
    <row r="434" spans="1:12">
      <c r="A434" s="50">
        <v>44994</v>
      </c>
      <c r="B434" s="49">
        <v>876.19</v>
      </c>
      <c r="C434" s="52">
        <f t="shared" si="35"/>
        <v>-1.0234397062976498E-2</v>
      </c>
      <c r="D434" s="53">
        <v>17754.400000000001</v>
      </c>
      <c r="E434" s="54">
        <f t="shared" si="36"/>
        <v>2.4249849673516695E-3</v>
      </c>
      <c r="F434" s="55">
        <v>11750.15</v>
      </c>
      <c r="G434" s="54">
        <f t="shared" si="37"/>
        <v>-4.8907934518415642E-3</v>
      </c>
      <c r="K434" s="6"/>
      <c r="L434" s="7"/>
    </row>
    <row r="435" spans="1:12">
      <c r="A435" s="50">
        <v>44993</v>
      </c>
      <c r="B435" s="49">
        <v>885.25</v>
      </c>
      <c r="C435" s="52">
        <f t="shared" si="35"/>
        <v>-2.917192286898576E-3</v>
      </c>
      <c r="D435" s="53">
        <v>17711.45</v>
      </c>
      <c r="E435" s="54">
        <f t="shared" si="36"/>
        <v>6.6555456723324359E-3</v>
      </c>
      <c r="F435" s="55">
        <v>11807.9</v>
      </c>
      <c r="G435" s="54">
        <f t="shared" si="37"/>
        <v>2.2152811964216306E-3</v>
      </c>
      <c r="K435" s="6"/>
      <c r="L435" s="7"/>
    </row>
    <row r="436" spans="1:12">
      <c r="A436" s="50">
        <v>44991</v>
      </c>
      <c r="B436" s="49">
        <v>887.84</v>
      </c>
      <c r="C436" s="52">
        <f t="shared" si="35"/>
        <v>2.816615779808245E-4</v>
      </c>
      <c r="D436" s="53">
        <v>17594.349999999999</v>
      </c>
      <c r="E436" s="54">
        <f t="shared" si="36"/>
        <v>1.5728644086387581E-2</v>
      </c>
      <c r="F436" s="55">
        <v>11781.8</v>
      </c>
      <c r="G436" s="54">
        <f t="shared" si="37"/>
        <v>1.7600394520919734E-3</v>
      </c>
      <c r="K436" s="6"/>
      <c r="L436" s="7"/>
    </row>
    <row r="437" spans="1:12">
      <c r="A437" s="50">
        <v>44988</v>
      </c>
      <c r="B437" s="49">
        <v>887.59</v>
      </c>
      <c r="C437" s="52">
        <f t="shared" si="35"/>
        <v>1.0784403042864332E-2</v>
      </c>
      <c r="D437" s="53">
        <v>17321.900000000001</v>
      </c>
      <c r="E437" s="54">
        <f t="shared" si="36"/>
        <v>-7.392168885272392E-3</v>
      </c>
      <c r="F437" s="55">
        <v>11761.1</v>
      </c>
      <c r="G437" s="54">
        <f t="shared" si="37"/>
        <v>-2.975026775240977E-4</v>
      </c>
      <c r="K437" s="6"/>
      <c r="L437" s="7"/>
    </row>
    <row r="438" spans="1:12">
      <c r="A438" s="50">
        <v>44987</v>
      </c>
      <c r="B438" s="49">
        <v>878.12</v>
      </c>
      <c r="C438" s="52">
        <f t="shared" si="35"/>
        <v>1.0680907877169528E-2</v>
      </c>
      <c r="D438" s="53">
        <v>17450.900000000001</v>
      </c>
      <c r="E438" s="54">
        <f t="shared" si="36"/>
        <v>8.4922806642414427E-3</v>
      </c>
      <c r="F438" s="55">
        <v>11764.6</v>
      </c>
      <c r="G438" s="54">
        <f t="shared" si="37"/>
        <v>1.4897293800171956E-3</v>
      </c>
      <c r="K438" s="6"/>
      <c r="L438" s="7"/>
    </row>
    <row r="439" spans="1:12">
      <c r="A439" s="50">
        <v>44986</v>
      </c>
      <c r="B439" s="49">
        <v>868.84</v>
      </c>
      <c r="C439" s="52">
        <f t="shared" si="35"/>
        <v>6.3939211416392319E-3</v>
      </c>
      <c r="D439" s="53">
        <v>17303.95</v>
      </c>
      <c r="E439" s="54">
        <f t="shared" si="36"/>
        <v>-5.1027155070805562E-3</v>
      </c>
      <c r="F439" s="55">
        <v>11747.1</v>
      </c>
      <c r="G439" s="54">
        <f t="shared" si="37"/>
        <v>-1.3056080655324482E-2</v>
      </c>
      <c r="K439" s="6"/>
      <c r="L439" s="7"/>
    </row>
    <row r="440" spans="1:12">
      <c r="A440" s="50">
        <v>44985</v>
      </c>
      <c r="B440" s="49">
        <v>863.32</v>
      </c>
      <c r="C440" s="52">
        <f t="shared" si="35"/>
        <v>-2.3614566840081425E-2</v>
      </c>
      <c r="D440" s="53">
        <v>17392.7</v>
      </c>
      <c r="E440" s="54">
        <f t="shared" si="36"/>
        <v>-4.1853221724741235E-3</v>
      </c>
      <c r="F440" s="55">
        <v>11902.5</v>
      </c>
      <c r="G440" s="54">
        <f t="shared" si="37"/>
        <v>-7.8108067554726263E-3</v>
      </c>
      <c r="K440" s="6"/>
      <c r="L440" s="7"/>
    </row>
    <row r="441" spans="1:12">
      <c r="A441" s="50">
        <v>44984</v>
      </c>
      <c r="B441" s="49">
        <v>884.2</v>
      </c>
      <c r="C441" s="52">
        <f t="shared" si="35"/>
        <v>-1.5608648215359245E-2</v>
      </c>
      <c r="D441" s="53">
        <v>17465.8</v>
      </c>
      <c r="E441" s="54">
        <f t="shared" si="36"/>
        <v>-2.5954743379256609E-3</v>
      </c>
      <c r="F441" s="55">
        <v>11996.2</v>
      </c>
      <c r="G441" s="54">
        <f t="shared" si="37"/>
        <v>2.3395330960378335E-3</v>
      </c>
      <c r="K441" s="6"/>
      <c r="L441" s="7"/>
    </row>
    <row r="442" spans="1:12">
      <c r="A442" s="50">
        <v>44981</v>
      </c>
      <c r="B442" s="49">
        <v>898.22</v>
      </c>
      <c r="C442" s="52">
        <f t="shared" si="35"/>
        <v>9.3266810499820982E-3</v>
      </c>
      <c r="D442" s="53">
        <v>17511.25</v>
      </c>
      <c r="E442" s="54">
        <f t="shared" si="36"/>
        <v>-2.4523905823643937E-3</v>
      </c>
      <c r="F442" s="55">
        <v>11968.2</v>
      </c>
      <c r="G442" s="54">
        <f t="shared" si="37"/>
        <v>-1.9721727673377865E-3</v>
      </c>
      <c r="K442" s="6"/>
      <c r="L442" s="7"/>
    </row>
    <row r="443" spans="1:12">
      <c r="A443" s="50">
        <v>44980</v>
      </c>
      <c r="B443" s="49">
        <v>889.92</v>
      </c>
      <c r="C443" s="52">
        <f t="shared" si="35"/>
        <v>-6.0535662429915702E-3</v>
      </c>
      <c r="D443" s="53">
        <v>17554.3</v>
      </c>
      <c r="E443" s="54">
        <f t="shared" si="36"/>
        <v>-1.5280450111349909E-2</v>
      </c>
      <c r="F443" s="55">
        <v>11991.85</v>
      </c>
      <c r="G443" s="54">
        <f t="shared" si="37"/>
        <v>-2.3004284704022326E-3</v>
      </c>
      <c r="K443" s="6"/>
      <c r="L443" s="7"/>
    </row>
    <row r="444" spans="1:12">
      <c r="A444" s="50">
        <v>44979</v>
      </c>
      <c r="B444" s="49">
        <v>895.34</v>
      </c>
      <c r="C444" s="52">
        <f t="shared" si="35"/>
        <v>-2.1064832874513628E-3</v>
      </c>
      <c r="D444" s="53">
        <v>17826.7</v>
      </c>
      <c r="E444" s="54">
        <f t="shared" si="36"/>
        <v>-1.0031045806573316E-3</v>
      </c>
      <c r="F444" s="55">
        <v>12019.5</v>
      </c>
      <c r="G444" s="54">
        <f t="shared" si="37"/>
        <v>-2.9779186090880135E-3</v>
      </c>
      <c r="K444" s="6"/>
      <c r="L444" s="7"/>
    </row>
    <row r="445" spans="1:12">
      <c r="A445" s="50">
        <v>44978</v>
      </c>
      <c r="B445" s="49">
        <v>897.23</v>
      </c>
      <c r="C445" s="52">
        <f t="shared" si="35"/>
        <v>2.5364262089925603E-3</v>
      </c>
      <c r="D445" s="53">
        <v>17844.599999999999</v>
      </c>
      <c r="E445" s="54">
        <f t="shared" si="36"/>
        <v>-5.5505400073562585E-3</v>
      </c>
      <c r="F445" s="55">
        <v>12055.4</v>
      </c>
      <c r="G445" s="54">
        <f t="shared" si="37"/>
        <v>-8.1166360184464961E-3</v>
      </c>
      <c r="K445" s="6"/>
      <c r="L445" s="7"/>
    </row>
    <row r="446" spans="1:12">
      <c r="A446" s="50">
        <v>44977</v>
      </c>
      <c r="B446" s="49">
        <v>894.96</v>
      </c>
      <c r="C446" s="52">
        <f t="shared" si="35"/>
        <v>-7.8818716951012825E-3</v>
      </c>
      <c r="D446" s="53">
        <v>17944.2</v>
      </c>
      <c r="E446" s="54">
        <f t="shared" si="36"/>
        <v>-5.0815459210404737E-3</v>
      </c>
      <c r="F446" s="55">
        <v>12154.05</v>
      </c>
      <c r="G446" s="54">
        <f t="shared" si="37"/>
        <v>-1.175337030231092E-2</v>
      </c>
      <c r="K446" s="6"/>
      <c r="L446" s="7"/>
    </row>
    <row r="447" spans="1:12">
      <c r="A447" s="50">
        <v>44974</v>
      </c>
      <c r="B447" s="49">
        <v>902.07</v>
      </c>
      <c r="C447" s="52">
        <f t="shared" si="35"/>
        <v>-1.9803951939459247E-3</v>
      </c>
      <c r="D447" s="53">
        <v>18035.849999999999</v>
      </c>
      <c r="E447" s="54">
        <f t="shared" si="36"/>
        <v>1.1101335768226312E-3</v>
      </c>
      <c r="F447" s="55">
        <v>12298.6</v>
      </c>
      <c r="G447" s="54">
        <f t="shared" si="37"/>
        <v>5.0257005336231623E-3</v>
      </c>
      <c r="K447" s="6"/>
      <c r="L447" s="7"/>
    </row>
    <row r="448" spans="1:12">
      <c r="A448" s="50">
        <v>44973</v>
      </c>
      <c r="B448" s="49">
        <v>903.86</v>
      </c>
      <c r="C448" s="52">
        <f t="shared" si="35"/>
        <v>-1.2168545416331696E-4</v>
      </c>
      <c r="D448" s="53">
        <v>18015.849999999999</v>
      </c>
      <c r="E448" s="54">
        <f t="shared" si="36"/>
        <v>4.7964706899388454E-3</v>
      </c>
      <c r="F448" s="55">
        <v>12237.1</v>
      </c>
      <c r="G448" s="54">
        <f t="shared" si="37"/>
        <v>-9.5519561099853935E-4</v>
      </c>
      <c r="K448" s="6"/>
      <c r="L448" s="7"/>
    </row>
    <row r="449" spans="1:12">
      <c r="A449" s="50">
        <v>44972</v>
      </c>
      <c r="B449" s="49">
        <v>903.97</v>
      </c>
      <c r="C449" s="52">
        <f t="shared" si="35"/>
        <v>-4.0873435572006903E-3</v>
      </c>
      <c r="D449" s="53">
        <v>17929.849999999999</v>
      </c>
      <c r="E449" s="54">
        <f t="shared" si="36"/>
        <v>8.9443978639234412E-3</v>
      </c>
      <c r="F449" s="55">
        <v>12248.8</v>
      </c>
      <c r="G449" s="54">
        <f t="shared" si="37"/>
        <v>-1.5731857418835101E-3</v>
      </c>
      <c r="K449" s="6"/>
      <c r="L449" s="7"/>
    </row>
    <row r="450" spans="1:12">
      <c r="A450" s="50">
        <v>44971</v>
      </c>
      <c r="B450" s="49">
        <v>907.68</v>
      </c>
      <c r="C450" s="52">
        <f t="shared" si="35"/>
        <v>3.027825049174415E-3</v>
      </c>
      <c r="D450" s="53">
        <v>17770.900000000001</v>
      </c>
      <c r="E450" s="54">
        <f t="shared" si="36"/>
        <v>-4.7937725758126475E-3</v>
      </c>
      <c r="F450" s="55">
        <v>12268.1</v>
      </c>
      <c r="G450" s="54">
        <f t="shared" si="37"/>
        <v>-4.7781293096454645E-3</v>
      </c>
      <c r="K450" s="6"/>
      <c r="L450" s="7"/>
    </row>
    <row r="451" spans="1:12">
      <c r="A451" s="50">
        <v>44970</v>
      </c>
      <c r="B451" s="49">
        <v>904.94</v>
      </c>
      <c r="C451" s="52">
        <f t="shared" si="35"/>
        <v>5.5782736243222683E-3</v>
      </c>
      <c r="D451" s="53">
        <v>17856.5</v>
      </c>
      <c r="E451" s="54">
        <f t="shared" si="36"/>
        <v>-2.0650014390741151E-3</v>
      </c>
      <c r="F451" s="55">
        <v>12327</v>
      </c>
      <c r="G451" s="54">
        <f t="shared" si="37"/>
        <v>1.991465149359886E-3</v>
      </c>
      <c r="K451" s="6"/>
      <c r="L451" s="7"/>
    </row>
    <row r="452" spans="1:12">
      <c r="A452" s="50">
        <v>44967</v>
      </c>
      <c r="B452" s="49">
        <v>899.92</v>
      </c>
      <c r="C452" s="52">
        <f t="shared" si="35"/>
        <v>2.6963788300835199E-3</v>
      </c>
      <c r="D452" s="53">
        <v>17893.45</v>
      </c>
      <c r="E452" s="54">
        <f t="shared" si="36"/>
        <v>1.2170078951638623E-3</v>
      </c>
      <c r="F452" s="55">
        <v>12302.5</v>
      </c>
      <c r="G452" s="54">
        <f t="shared" si="37"/>
        <v>-4.4346256868409177E-3</v>
      </c>
      <c r="K452" s="6"/>
      <c r="L452" s="7"/>
    </row>
    <row r="453" spans="1:12">
      <c r="A453" s="50">
        <v>44966</v>
      </c>
      <c r="B453" s="49">
        <v>897.5</v>
      </c>
      <c r="C453" s="52">
        <f t="shared" si="35"/>
        <v>-6.6847898747655242E-5</v>
      </c>
      <c r="D453" s="53">
        <v>17871.7</v>
      </c>
      <c r="E453" s="54">
        <f t="shared" si="36"/>
        <v>8.4755805095505874E-3</v>
      </c>
      <c r="F453" s="55">
        <v>12357.3</v>
      </c>
      <c r="G453" s="54">
        <f t="shared" si="37"/>
        <v>1.3607953147300527E-2</v>
      </c>
      <c r="K453" s="6"/>
      <c r="L453" s="7"/>
    </row>
    <row r="454" spans="1:12">
      <c r="A454" s="50">
        <v>44965</v>
      </c>
      <c r="B454" s="49">
        <v>897.56</v>
      </c>
      <c r="C454" s="52">
        <f t="shared" si="35"/>
        <v>1.070885648330611E-2</v>
      </c>
      <c r="D454" s="53">
        <v>17721.5</v>
      </c>
      <c r="E454" s="54">
        <f t="shared" si="36"/>
        <v>-2.4261734010334345E-3</v>
      </c>
      <c r="F454" s="55">
        <v>12191.4</v>
      </c>
      <c r="G454" s="54">
        <f t="shared" si="37"/>
        <v>-1.3942311635275096E-4</v>
      </c>
      <c r="K454" s="6"/>
      <c r="L454" s="7"/>
    </row>
    <row r="455" spans="1:12">
      <c r="A455" s="50">
        <v>44964</v>
      </c>
      <c r="B455" s="49">
        <v>888.05</v>
      </c>
      <c r="C455" s="52">
        <f t="shared" si="35"/>
        <v>2.0852731891804883E-2</v>
      </c>
      <c r="D455" s="53">
        <v>17764.599999999999</v>
      </c>
      <c r="E455" s="54">
        <f t="shared" si="36"/>
        <v>-5.0100677437332555E-3</v>
      </c>
      <c r="F455" s="55">
        <v>12193.1</v>
      </c>
      <c r="G455" s="54">
        <f t="shared" si="37"/>
        <v>6.9760189091147844E-4</v>
      </c>
      <c r="K455" s="6"/>
      <c r="L455" s="7"/>
    </row>
    <row r="456" spans="1:12">
      <c r="A456" s="50">
        <v>44963</v>
      </c>
      <c r="B456" s="49">
        <v>869.91</v>
      </c>
      <c r="C456" s="52">
        <f t="shared" si="35"/>
        <v>-2.0191127376185838E-3</v>
      </c>
      <c r="D456" s="53">
        <v>17854.05</v>
      </c>
      <c r="E456" s="54">
        <f t="shared" si="36"/>
        <v>1.3835574433289295E-2</v>
      </c>
      <c r="F456" s="55">
        <v>12184.6</v>
      </c>
      <c r="G456" s="54">
        <f t="shared" si="37"/>
        <v>-9.8892437206958162E-3</v>
      </c>
      <c r="K456" s="6"/>
      <c r="L456" s="7"/>
    </row>
    <row r="457" spans="1:12">
      <c r="A457" s="50">
        <v>44960</v>
      </c>
      <c r="B457" s="49">
        <v>871.67</v>
      </c>
      <c r="C457" s="52">
        <f t="shared" si="35"/>
        <v>-2.6887256584517778E-3</v>
      </c>
      <c r="D457" s="53">
        <v>17610.400000000001</v>
      </c>
      <c r="E457" s="54">
        <f t="shared" si="36"/>
        <v>-3.349170938277514E-4</v>
      </c>
      <c r="F457" s="55">
        <v>12306.3</v>
      </c>
      <c r="G457" s="54">
        <f t="shared" si="37"/>
        <v>-4.0062157043655611E-3</v>
      </c>
      <c r="K457" s="6"/>
      <c r="L457" s="7"/>
    </row>
    <row r="458" spans="1:12">
      <c r="A458" s="50">
        <v>44959</v>
      </c>
      <c r="B458" s="49">
        <v>874.02</v>
      </c>
      <c r="C458" s="52">
        <f t="shared" ref="C458:C489" si="38">(B458-B459)/B459</f>
        <v>4.2743881420200247E-3</v>
      </c>
      <c r="D458" s="53">
        <v>17616.3</v>
      </c>
      <c r="E458" s="54">
        <f t="shared" ref="E458:E489" si="39">(D458-D459)/D459</f>
        <v>-2.595946699580865E-3</v>
      </c>
      <c r="F458" s="55">
        <v>12355.8</v>
      </c>
      <c r="G458" s="54">
        <f t="shared" ref="G458:G489" si="40">(F458-F459)/F459</f>
        <v>-3.6002508039891814E-4</v>
      </c>
      <c r="K458" s="6"/>
      <c r="L458" s="7"/>
    </row>
    <row r="459" spans="1:12">
      <c r="A459" s="50">
        <v>44958</v>
      </c>
      <c r="B459" s="49">
        <v>870.3</v>
      </c>
      <c r="C459" s="52">
        <f t="shared" si="38"/>
        <v>6.3249424742433929E-3</v>
      </c>
      <c r="D459" s="53">
        <v>17662.150000000001</v>
      </c>
      <c r="E459" s="54">
        <f t="shared" si="39"/>
        <v>7.4791984792300546E-4</v>
      </c>
      <c r="F459" s="55">
        <v>12360.25</v>
      </c>
      <c r="G459" s="54">
        <f t="shared" si="40"/>
        <v>-9.9126882409484134E-3</v>
      </c>
      <c r="K459" s="6"/>
      <c r="L459" s="7"/>
    </row>
    <row r="460" spans="1:12">
      <c r="A460" s="50">
        <v>44957</v>
      </c>
      <c r="B460" s="49">
        <v>864.83</v>
      </c>
      <c r="C460" s="52">
        <f t="shared" si="38"/>
        <v>-1.0742007022730895E-3</v>
      </c>
      <c r="D460" s="53">
        <v>17648.95</v>
      </c>
      <c r="E460" s="54">
        <f t="shared" si="39"/>
        <v>2.5334647402489832E-3</v>
      </c>
      <c r="F460" s="55">
        <v>12484</v>
      </c>
      <c r="G460" s="54">
        <f t="shared" si="40"/>
        <v>-1.9227617414384556E-3</v>
      </c>
      <c r="K460" s="6"/>
      <c r="L460" s="7"/>
    </row>
    <row r="461" spans="1:12">
      <c r="A461" s="50">
        <v>44956</v>
      </c>
      <c r="B461" s="49">
        <v>865.76</v>
      </c>
      <c r="C461" s="52">
        <f t="shared" si="38"/>
        <v>3.430690774223501E-3</v>
      </c>
      <c r="D461" s="53">
        <v>17604.349999999999</v>
      </c>
      <c r="E461" s="54">
        <f t="shared" si="39"/>
        <v>-1.6074268036742903E-2</v>
      </c>
      <c r="F461" s="55">
        <v>12508.05</v>
      </c>
      <c r="G461" s="54">
        <f t="shared" si="40"/>
        <v>5.4621747413605122E-3</v>
      </c>
      <c r="K461" s="6"/>
      <c r="L461" s="7"/>
    </row>
    <row r="462" spans="1:12">
      <c r="A462" s="50">
        <v>44953</v>
      </c>
      <c r="B462" s="49">
        <v>862.8</v>
      </c>
      <c r="C462" s="52">
        <f t="shared" si="38"/>
        <v>2.6910579749818371E-2</v>
      </c>
      <c r="D462" s="53">
        <v>17891.95</v>
      </c>
      <c r="E462" s="54">
        <f t="shared" si="39"/>
        <v>-1.2492893924926652E-2</v>
      </c>
      <c r="F462" s="55">
        <v>12440.1</v>
      </c>
      <c r="G462" s="54">
        <f t="shared" si="40"/>
        <v>-1.2208339784895009E-2</v>
      </c>
      <c r="K462" s="6"/>
      <c r="L462" s="7"/>
    </row>
    <row r="463" spans="1:12">
      <c r="A463" s="50">
        <v>44951</v>
      </c>
      <c r="B463" s="49">
        <v>840.19</v>
      </c>
      <c r="C463" s="52">
        <f t="shared" si="38"/>
        <v>-1.2180353888660162E-2</v>
      </c>
      <c r="D463" s="53">
        <v>18118.3</v>
      </c>
      <c r="E463" s="54">
        <f t="shared" si="39"/>
        <v>-1.3798013637956681E-5</v>
      </c>
      <c r="F463" s="55">
        <v>12593.85</v>
      </c>
      <c r="G463" s="54">
        <f t="shared" si="40"/>
        <v>-9.7967912756664818E-3</v>
      </c>
      <c r="K463" s="6"/>
      <c r="L463" s="7"/>
    </row>
    <row r="464" spans="1:12">
      <c r="A464" s="50">
        <v>44950</v>
      </c>
      <c r="B464" s="49">
        <v>850.55</v>
      </c>
      <c r="C464" s="52">
        <f t="shared" si="38"/>
        <v>-1.9618013532049398E-2</v>
      </c>
      <c r="D464" s="53">
        <v>18118.55</v>
      </c>
      <c r="E464" s="54">
        <f t="shared" si="39"/>
        <v>5.0422545367808788E-3</v>
      </c>
      <c r="F464" s="55">
        <v>12718.45</v>
      </c>
      <c r="G464" s="54">
        <f t="shared" si="40"/>
        <v>8.8843409524489436E-3</v>
      </c>
      <c r="K464" s="6"/>
      <c r="L464" s="7"/>
    </row>
    <row r="465" spans="1:12">
      <c r="A465" s="50">
        <v>44949</v>
      </c>
      <c r="B465" s="49">
        <v>867.57</v>
      </c>
      <c r="C465" s="52">
        <f t="shared" si="38"/>
        <v>-2.9306302578954104E-3</v>
      </c>
      <c r="D465" s="53">
        <v>18027.650000000001</v>
      </c>
      <c r="E465" s="54">
        <f t="shared" si="39"/>
        <v>-4.4290183539181681E-3</v>
      </c>
      <c r="F465" s="55">
        <v>12606.45</v>
      </c>
      <c r="G465" s="54">
        <f t="shared" si="40"/>
        <v>-7.2918840385696997E-3</v>
      </c>
      <c r="K465" s="6"/>
      <c r="L465" s="7"/>
    </row>
    <row r="466" spans="1:12">
      <c r="A466" s="50">
        <v>44946</v>
      </c>
      <c r="B466" s="49">
        <v>870.12</v>
      </c>
      <c r="C466" s="52">
        <f t="shared" si="38"/>
        <v>4.2472646692211227E-3</v>
      </c>
      <c r="D466" s="53">
        <v>18107.849999999999</v>
      </c>
      <c r="E466" s="54">
        <f t="shared" si="39"/>
        <v>-3.1653670311884994E-3</v>
      </c>
      <c r="F466" s="55">
        <v>12699.05</v>
      </c>
      <c r="G466" s="54">
        <f t="shared" si="40"/>
        <v>-2.7837763555695729E-3</v>
      </c>
      <c r="K466" s="6"/>
      <c r="L466" s="7"/>
    </row>
    <row r="467" spans="1:12">
      <c r="A467" s="50">
        <v>44945</v>
      </c>
      <c r="B467" s="49">
        <v>866.44</v>
      </c>
      <c r="C467" s="52">
        <f t="shared" si="38"/>
        <v>-7.3665036030565265E-3</v>
      </c>
      <c r="D467" s="53">
        <v>18165.349999999999</v>
      </c>
      <c r="E467" s="54">
        <f t="shared" si="39"/>
        <v>6.2066215041017029E-3</v>
      </c>
      <c r="F467" s="55">
        <v>12734.5</v>
      </c>
      <c r="G467" s="54">
        <f t="shared" si="40"/>
        <v>6.8390259329538265E-3</v>
      </c>
      <c r="K467" s="6"/>
      <c r="L467" s="7"/>
    </row>
    <row r="468" spans="1:12">
      <c r="A468" s="50">
        <v>44944</v>
      </c>
      <c r="B468" s="49">
        <v>872.87</v>
      </c>
      <c r="C468" s="52">
        <f t="shared" si="38"/>
        <v>2.8953869133107159E-3</v>
      </c>
      <c r="D468" s="53">
        <v>18053.3</v>
      </c>
      <c r="E468" s="54">
        <f t="shared" si="39"/>
        <v>8.8545028318203697E-3</v>
      </c>
      <c r="F468" s="55">
        <v>12648</v>
      </c>
      <c r="G468" s="54">
        <f t="shared" si="40"/>
        <v>-9.0051661216168514E-4</v>
      </c>
      <c r="K468" s="6"/>
      <c r="L468" s="7"/>
    </row>
    <row r="469" spans="1:12">
      <c r="A469" s="50">
        <v>44943</v>
      </c>
      <c r="B469" s="49">
        <v>870.35</v>
      </c>
      <c r="C469" s="52">
        <f t="shared" si="38"/>
        <v>5.94075426775001E-3</v>
      </c>
      <c r="D469" s="53">
        <v>17894.849999999999</v>
      </c>
      <c r="E469" s="54">
        <f t="shared" si="39"/>
        <v>-3.4388469977612692E-3</v>
      </c>
      <c r="F469" s="55">
        <v>12659.4</v>
      </c>
      <c r="G469" s="54">
        <f t="shared" si="40"/>
        <v>-7.4198029805503578E-4</v>
      </c>
      <c r="K469" s="6"/>
      <c r="L469" s="7"/>
    </row>
    <row r="470" spans="1:12">
      <c r="A470" s="50">
        <v>44942</v>
      </c>
      <c r="B470" s="49">
        <v>865.21</v>
      </c>
      <c r="C470" s="52">
        <f t="shared" si="38"/>
        <v>1.3077492824738397E-3</v>
      </c>
      <c r="D470" s="53">
        <v>17956.599999999999</v>
      </c>
      <c r="E470" s="54">
        <f t="shared" si="39"/>
        <v>5.5100738036307027E-3</v>
      </c>
      <c r="F470" s="55">
        <v>12668.8</v>
      </c>
      <c r="G470" s="54">
        <f t="shared" si="40"/>
        <v>-2.0913155163785162E-4</v>
      </c>
      <c r="K470" s="6"/>
      <c r="L470" s="7"/>
    </row>
    <row r="471" spans="1:12">
      <c r="A471" s="50">
        <v>44939</v>
      </c>
      <c r="B471" s="49">
        <v>864.08</v>
      </c>
      <c r="C471" s="52">
        <f t="shared" si="38"/>
        <v>2.2734654108477201E-3</v>
      </c>
      <c r="D471" s="53">
        <v>17858.2</v>
      </c>
      <c r="E471" s="54">
        <f t="shared" si="39"/>
        <v>-2.0954754494096348E-3</v>
      </c>
      <c r="F471" s="55">
        <v>12671.45</v>
      </c>
      <c r="G471" s="54">
        <f t="shared" si="40"/>
        <v>-8.5158390664111434E-4</v>
      </c>
      <c r="K471" s="6"/>
      <c r="L471" s="7"/>
    </row>
    <row r="472" spans="1:12">
      <c r="A472" s="50">
        <v>44938</v>
      </c>
      <c r="B472" s="49">
        <v>862.12</v>
      </c>
      <c r="C472" s="52">
        <f t="shared" si="38"/>
        <v>1.1426828409864156E-2</v>
      </c>
      <c r="D472" s="53">
        <v>17895.7</v>
      </c>
      <c r="E472" s="54">
        <f t="shared" si="39"/>
        <v>-1.0299121085845951E-3</v>
      </c>
      <c r="F472" s="55">
        <v>12682.25</v>
      </c>
      <c r="G472" s="54">
        <f t="shared" si="40"/>
        <v>-6.6070841100998199E-3</v>
      </c>
      <c r="K472" s="6"/>
      <c r="L472" s="7"/>
    </row>
    <row r="473" spans="1:12">
      <c r="A473" s="50">
        <v>44937</v>
      </c>
      <c r="B473" s="49">
        <v>852.38</v>
      </c>
      <c r="C473" s="52">
        <f t="shared" si="38"/>
        <v>-6.2489798773521276E-3</v>
      </c>
      <c r="D473" s="53">
        <v>17914.150000000001</v>
      </c>
      <c r="E473" s="54">
        <f t="shared" si="39"/>
        <v>-1.0333569045146138E-2</v>
      </c>
      <c r="F473" s="55">
        <v>12766.6</v>
      </c>
      <c r="G473" s="54">
        <f t="shared" si="40"/>
        <v>-3.1321942586879238E-4</v>
      </c>
      <c r="K473" s="6"/>
      <c r="L473" s="7"/>
    </row>
    <row r="474" spans="1:12">
      <c r="A474" s="50">
        <v>44936</v>
      </c>
      <c r="B474" s="49">
        <v>857.74</v>
      </c>
      <c r="C474" s="52">
        <f t="shared" si="38"/>
        <v>-1.0452238117212674E-2</v>
      </c>
      <c r="D474" s="53">
        <v>18101.2</v>
      </c>
      <c r="E474" s="54">
        <f t="shared" si="39"/>
        <v>1.3536251116355766E-2</v>
      </c>
      <c r="F474" s="55">
        <v>12770.6</v>
      </c>
      <c r="G474" s="54">
        <f t="shared" si="40"/>
        <v>9.13871647063004E-3</v>
      </c>
      <c r="K474" s="6"/>
      <c r="L474" s="7"/>
    </row>
    <row r="475" spans="1:12">
      <c r="A475" s="50">
        <v>44935</v>
      </c>
      <c r="B475" s="49">
        <v>866.8</v>
      </c>
      <c r="C475" s="52">
        <f t="shared" si="38"/>
        <v>1.4572482003862505E-2</v>
      </c>
      <c r="D475" s="53">
        <v>17859.45</v>
      </c>
      <c r="E475" s="54">
        <f t="shared" si="39"/>
        <v>-7.3754387330030443E-3</v>
      </c>
      <c r="F475" s="55">
        <v>12654.95</v>
      </c>
      <c r="G475" s="54">
        <f t="shared" si="40"/>
        <v>-7.7039488128469715E-3</v>
      </c>
      <c r="K475" s="6"/>
      <c r="L475" s="7"/>
    </row>
    <row r="476" spans="1:12">
      <c r="A476" s="50">
        <v>44932</v>
      </c>
      <c r="B476" s="49">
        <v>854.35</v>
      </c>
      <c r="C476" s="52">
        <f t="shared" si="38"/>
        <v>-5.9918557300755989E-3</v>
      </c>
      <c r="D476" s="53">
        <v>17992.150000000001</v>
      </c>
      <c r="E476" s="54">
        <f t="shared" si="39"/>
        <v>-2.8155041165662639E-3</v>
      </c>
      <c r="F476" s="55">
        <v>12753.2</v>
      </c>
      <c r="G476" s="54">
        <f t="shared" si="40"/>
        <v>1.0334515062090332E-2</v>
      </c>
      <c r="K476" s="6"/>
      <c r="L476" s="7"/>
    </row>
    <row r="477" spans="1:12">
      <c r="A477" s="50">
        <v>44931</v>
      </c>
      <c r="B477" s="49">
        <v>859.5</v>
      </c>
      <c r="C477" s="52">
        <f t="shared" si="38"/>
        <v>1.0344422240507764E-2</v>
      </c>
      <c r="D477" s="53">
        <v>18042.95</v>
      </c>
      <c r="E477" s="54">
        <f t="shared" si="39"/>
        <v>-1.0398984234240332E-2</v>
      </c>
      <c r="F477" s="55">
        <v>12622.75</v>
      </c>
      <c r="G477" s="54">
        <f t="shared" si="40"/>
        <v>-1.502956473589495E-3</v>
      </c>
      <c r="K477" s="6"/>
      <c r="L477" s="7"/>
    </row>
    <row r="478" spans="1:12">
      <c r="A478" s="50">
        <v>44930</v>
      </c>
      <c r="B478" s="49">
        <v>850.7</v>
      </c>
      <c r="C478" s="52">
        <f t="shared" si="38"/>
        <v>3.5745042292402544E-3</v>
      </c>
      <c r="D478" s="53">
        <v>18232.55</v>
      </c>
      <c r="E478" s="54">
        <f t="shared" si="39"/>
        <v>1.9288416783669439E-3</v>
      </c>
      <c r="F478" s="55">
        <v>12641.75</v>
      </c>
      <c r="G478" s="54">
        <f t="shared" si="40"/>
        <v>7.1984001784661765E-3</v>
      </c>
      <c r="K478" s="6"/>
      <c r="L478" s="7"/>
    </row>
    <row r="479" spans="1:12">
      <c r="A479" s="50">
        <v>44929</v>
      </c>
      <c r="B479" s="49">
        <v>847.67</v>
      </c>
      <c r="C479" s="52">
        <f t="shared" si="38"/>
        <v>7.7921157955628407E-4</v>
      </c>
      <c r="D479" s="53">
        <v>18197.45</v>
      </c>
      <c r="E479" s="54">
        <f t="shared" si="39"/>
        <v>5.0896698756718456E-3</v>
      </c>
      <c r="F479" s="55">
        <v>12551.4</v>
      </c>
      <c r="G479" s="54">
        <f t="shared" si="40"/>
        <v>-3.6673652124214712E-3</v>
      </c>
      <c r="K479" s="6"/>
      <c r="L479" s="7"/>
    </row>
    <row r="480" spans="1:12">
      <c r="A480" s="50">
        <v>44928</v>
      </c>
      <c r="B480" s="49">
        <v>847.01</v>
      </c>
      <c r="C480" s="52">
        <f t="shared" si="38"/>
        <v>-5.8996354025321238E-4</v>
      </c>
      <c r="D480" s="53">
        <v>18105.3</v>
      </c>
      <c r="E480" s="54">
        <f t="shared" si="39"/>
        <v>-4.7111208839536439E-3</v>
      </c>
      <c r="F480" s="55">
        <v>12597.6</v>
      </c>
      <c r="G480" s="54">
        <f t="shared" si="40"/>
        <v>-2.9047909262878758E-3</v>
      </c>
      <c r="K480" s="6"/>
      <c r="L480" s="7"/>
    </row>
    <row r="481" spans="1:12">
      <c r="A481" s="50">
        <v>44925</v>
      </c>
      <c r="B481" s="49">
        <v>847.51</v>
      </c>
      <c r="C481" s="52">
        <f t="shared" si="38"/>
        <v>-5.4100361451438926E-3</v>
      </c>
      <c r="D481" s="53">
        <v>18191</v>
      </c>
      <c r="E481" s="54">
        <f t="shared" si="39"/>
        <v>3.7798317009242652E-3</v>
      </c>
      <c r="F481" s="55">
        <v>12634.3</v>
      </c>
      <c r="G481" s="54">
        <f t="shared" si="40"/>
        <v>8.0401452771074774E-4</v>
      </c>
      <c r="K481" s="6"/>
      <c r="L481" s="7"/>
    </row>
    <row r="482" spans="1:12">
      <c r="A482" s="50">
        <v>44924</v>
      </c>
      <c r="B482" s="49">
        <v>852.12</v>
      </c>
      <c r="C482" s="52">
        <f t="shared" si="38"/>
        <v>1.8458644406561049E-3</v>
      </c>
      <c r="D482" s="53">
        <v>18122.5</v>
      </c>
      <c r="E482" s="54">
        <f t="shared" si="39"/>
        <v>-5.4047197542503008E-4</v>
      </c>
      <c r="F482" s="55">
        <v>12624.15</v>
      </c>
      <c r="G482" s="54">
        <f t="shared" si="40"/>
        <v>-5.5613541030741344E-3</v>
      </c>
      <c r="K482" s="6"/>
      <c r="L482" s="7"/>
    </row>
    <row r="483" spans="1:12">
      <c r="A483" s="50">
        <v>44923</v>
      </c>
      <c r="B483" s="49">
        <v>850.55</v>
      </c>
      <c r="C483" s="52">
        <f t="shared" si="38"/>
        <v>4.4696942964347772E-4</v>
      </c>
      <c r="D483" s="53">
        <v>18132.3</v>
      </c>
      <c r="E483" s="54">
        <f t="shared" si="39"/>
        <v>6.5335894219133777E-3</v>
      </c>
      <c r="F483" s="55">
        <v>12694.75</v>
      </c>
      <c r="G483" s="54">
        <f t="shared" si="40"/>
        <v>1.3922742583082595E-3</v>
      </c>
      <c r="K483" s="6"/>
      <c r="L483" s="7"/>
    </row>
    <row r="484" spans="1:12">
      <c r="A484" s="50">
        <v>44922</v>
      </c>
      <c r="B484" s="49">
        <v>850.17</v>
      </c>
      <c r="C484" s="52">
        <f t="shared" si="38"/>
        <v>5.2958621663598809E-4</v>
      </c>
      <c r="D484" s="53">
        <v>18014.599999999999</v>
      </c>
      <c r="E484" s="54">
        <f t="shared" si="39"/>
        <v>1.1669699216029792E-2</v>
      </c>
      <c r="F484" s="55">
        <v>12677.1</v>
      </c>
      <c r="G484" s="54">
        <f t="shared" si="40"/>
        <v>-8.3969196954112504E-3</v>
      </c>
      <c r="K484" s="6"/>
      <c r="L484" s="7"/>
    </row>
    <row r="485" spans="1:12">
      <c r="A485" s="50">
        <v>44921</v>
      </c>
      <c r="B485" s="49">
        <v>849.72</v>
      </c>
      <c r="C485" s="52">
        <f t="shared" si="38"/>
        <v>-1.4348849888062737E-2</v>
      </c>
      <c r="D485" s="53">
        <v>17806.8</v>
      </c>
      <c r="E485" s="54">
        <f t="shared" si="39"/>
        <v>-1.7683224519855319E-2</v>
      </c>
      <c r="F485" s="55">
        <v>12784.45</v>
      </c>
      <c r="G485" s="54">
        <f t="shared" si="40"/>
        <v>-8.4000698066742374E-3</v>
      </c>
      <c r="K485" s="6"/>
      <c r="L485" s="7"/>
    </row>
    <row r="486" spans="1:12">
      <c r="A486" s="50">
        <v>44918</v>
      </c>
      <c r="B486" s="49">
        <v>862.09</v>
      </c>
      <c r="C486" s="52">
        <f t="shared" si="38"/>
        <v>-8.9210783468413983E-3</v>
      </c>
      <c r="D486" s="53">
        <v>18127.349999999999</v>
      </c>
      <c r="E486" s="54">
        <f t="shared" si="39"/>
        <v>-3.9425026512300062E-3</v>
      </c>
      <c r="F486" s="55">
        <v>12892.75</v>
      </c>
      <c r="G486" s="54">
        <f t="shared" si="40"/>
        <v>-2.1400266245626791E-3</v>
      </c>
      <c r="K486" s="6"/>
      <c r="L486" s="7"/>
    </row>
    <row r="487" spans="1:12">
      <c r="A487" s="50">
        <v>44917</v>
      </c>
      <c r="B487" s="49">
        <v>869.85</v>
      </c>
      <c r="C487" s="52">
        <f t="shared" si="38"/>
        <v>-1.3227303150276195E-2</v>
      </c>
      <c r="D487" s="53">
        <v>18199.099999999999</v>
      </c>
      <c r="E487" s="54">
        <f t="shared" si="39"/>
        <v>-1.0127656334136551E-2</v>
      </c>
      <c r="F487" s="55">
        <v>12920.4</v>
      </c>
      <c r="G487" s="54">
        <f t="shared" si="40"/>
        <v>2.3929246460539837E-2</v>
      </c>
      <c r="K487" s="6"/>
      <c r="L487" s="7"/>
    </row>
    <row r="488" spans="1:12">
      <c r="A488" s="50">
        <v>44916</v>
      </c>
      <c r="B488" s="49">
        <v>881.51</v>
      </c>
      <c r="C488" s="52">
        <f t="shared" si="38"/>
        <v>8.6503804565477953E-3</v>
      </c>
      <c r="D488" s="53">
        <v>18385.3</v>
      </c>
      <c r="E488" s="54">
        <f t="shared" si="39"/>
        <v>-1.9082052827157562E-3</v>
      </c>
      <c r="F488" s="55">
        <v>12618.45</v>
      </c>
      <c r="G488" s="54">
        <f t="shared" si="40"/>
        <v>-2.2140600721941728E-3</v>
      </c>
      <c r="K488" s="6"/>
      <c r="L488" s="7"/>
    </row>
    <row r="489" spans="1:12">
      <c r="A489" s="50">
        <v>44915</v>
      </c>
      <c r="B489" s="49">
        <v>873.95</v>
      </c>
      <c r="C489" s="52">
        <f t="shared" si="38"/>
        <v>-5.9826435095142122E-3</v>
      </c>
      <c r="D489" s="53">
        <v>18420.45</v>
      </c>
      <c r="E489" s="54">
        <f t="shared" si="39"/>
        <v>8.2899994526247044E-3</v>
      </c>
      <c r="F489" s="55">
        <v>12646.45</v>
      </c>
      <c r="G489" s="54">
        <f t="shared" si="40"/>
        <v>8.1116158338741078E-4</v>
      </c>
      <c r="K489" s="6"/>
      <c r="L489" s="7"/>
    </row>
    <row r="490" spans="1:12">
      <c r="A490" s="50">
        <v>44914</v>
      </c>
      <c r="B490" s="49">
        <v>879.21</v>
      </c>
      <c r="C490" s="52">
        <f t="shared" ref="C490:C516" si="41">(B490-B491)/B491</f>
        <v>2.0178227472093923E-2</v>
      </c>
      <c r="D490" s="53">
        <v>18269</v>
      </c>
      <c r="E490" s="54">
        <f t="shared" ref="E490:E515" si="42">(D490-D491)/D491</f>
        <v>-7.9229319735649641E-3</v>
      </c>
      <c r="F490" s="55">
        <v>12636.2</v>
      </c>
      <c r="G490" s="54">
        <f t="shared" ref="G490:G515" si="43">(F490-F491)/F491</f>
        <v>-1.4037031546258193E-2</v>
      </c>
      <c r="K490" s="6"/>
      <c r="L490" s="7"/>
    </row>
    <row r="491" spans="1:12">
      <c r="A491" s="50">
        <v>44911</v>
      </c>
      <c r="B491" s="49">
        <v>861.82</v>
      </c>
      <c r="C491" s="52">
        <f t="shared" si="41"/>
        <v>-3.5769028519003251E-2</v>
      </c>
      <c r="D491" s="53">
        <v>18414.900000000001</v>
      </c>
      <c r="E491" s="54">
        <f t="shared" si="42"/>
        <v>-1.3150913972444056E-2</v>
      </c>
      <c r="F491" s="55">
        <v>12816.1</v>
      </c>
      <c r="G491" s="54">
        <f t="shared" si="43"/>
        <v>-5.2392188518736995E-3</v>
      </c>
      <c r="K491" s="6"/>
      <c r="L491" s="7"/>
    </row>
    <row r="492" spans="1:12">
      <c r="A492" s="50">
        <v>44910</v>
      </c>
      <c r="B492" s="49">
        <v>893.79</v>
      </c>
      <c r="C492" s="52">
        <f t="shared" si="41"/>
        <v>-7.9031201784862028E-3</v>
      </c>
      <c r="D492" s="53">
        <v>18660.3</v>
      </c>
      <c r="E492" s="54">
        <f t="shared" si="42"/>
        <v>2.8106190885640193E-3</v>
      </c>
      <c r="F492" s="55">
        <v>12883.6</v>
      </c>
      <c r="G492" s="54">
        <f t="shared" si="43"/>
        <v>6.7082104276142574E-3</v>
      </c>
      <c r="K492" s="6"/>
      <c r="L492" s="7"/>
    </row>
    <row r="493" spans="1:12">
      <c r="A493" s="50">
        <v>44909</v>
      </c>
      <c r="B493" s="49">
        <v>900.91</v>
      </c>
      <c r="C493" s="52">
        <f t="shared" si="41"/>
        <v>1.0407904624115354E-2</v>
      </c>
      <c r="D493" s="53">
        <v>18608</v>
      </c>
      <c r="E493" s="54">
        <f t="shared" si="42"/>
        <v>5.9928151093546055E-3</v>
      </c>
      <c r="F493" s="55">
        <v>12797.75</v>
      </c>
      <c r="G493" s="54">
        <f t="shared" si="43"/>
        <v>3.1117608098416866E-3</v>
      </c>
      <c r="K493" s="6"/>
      <c r="L493" s="7"/>
    </row>
    <row r="494" spans="1:12">
      <c r="A494" s="50">
        <v>44908</v>
      </c>
      <c r="B494" s="49">
        <v>891.63</v>
      </c>
      <c r="C494" s="52">
        <f t="shared" si="41"/>
        <v>1.3251726655061486E-3</v>
      </c>
      <c r="D494" s="53">
        <v>18497.150000000001</v>
      </c>
      <c r="E494" s="54">
        <f t="shared" si="42"/>
        <v>2.9735194576457857E-5</v>
      </c>
      <c r="F494" s="55">
        <v>12758.05</v>
      </c>
      <c r="G494" s="54">
        <f t="shared" si="43"/>
        <v>-1.3033574173954342E-3</v>
      </c>
      <c r="K494" s="6"/>
      <c r="L494" s="7"/>
    </row>
    <row r="495" spans="1:12">
      <c r="A495" s="50">
        <v>44907</v>
      </c>
      <c r="B495" s="49">
        <v>890.45</v>
      </c>
      <c r="C495" s="52">
        <f t="shared" si="41"/>
        <v>1.0244832202582295E-2</v>
      </c>
      <c r="D495" s="53">
        <v>18496.599999999999</v>
      </c>
      <c r="E495" s="54">
        <f t="shared" si="42"/>
        <v>-6.0587822788007112E-3</v>
      </c>
      <c r="F495" s="55">
        <v>12774.7</v>
      </c>
      <c r="G495" s="54">
        <f t="shared" si="43"/>
        <v>3.6138804434074179E-3</v>
      </c>
      <c r="K495" s="6"/>
      <c r="L495" s="7"/>
    </row>
    <row r="496" spans="1:12">
      <c r="A496" s="50">
        <v>44904</v>
      </c>
      <c r="B496" s="49">
        <v>881.42</v>
      </c>
      <c r="C496" s="52">
        <f t="shared" si="41"/>
        <v>1.1684495661356171E-2</v>
      </c>
      <c r="D496" s="53">
        <v>18609.349999999999</v>
      </c>
      <c r="E496" s="54">
        <f t="shared" si="42"/>
        <v>2.6319334069663286E-3</v>
      </c>
      <c r="F496" s="55">
        <v>12728.7</v>
      </c>
      <c r="G496" s="54">
        <f t="shared" si="43"/>
        <v>-1.0963651338793031E-2</v>
      </c>
      <c r="K496" s="6"/>
      <c r="L496" s="7"/>
    </row>
    <row r="497" spans="1:12">
      <c r="A497" s="50">
        <v>44903</v>
      </c>
      <c r="B497" s="49">
        <v>871.24</v>
      </c>
      <c r="C497" s="52">
        <f t="shared" si="41"/>
        <v>-1.2151782643585298E-3</v>
      </c>
      <c r="D497" s="53">
        <v>18560.5</v>
      </c>
      <c r="E497" s="54">
        <f t="shared" si="42"/>
        <v>-4.4119027503989484E-3</v>
      </c>
      <c r="F497" s="55">
        <v>12869.8</v>
      </c>
      <c r="G497" s="54">
        <f t="shared" si="43"/>
        <v>-6.6034495401514504E-3</v>
      </c>
      <c r="K497" s="6"/>
      <c r="L497" s="7"/>
    </row>
    <row r="498" spans="1:12">
      <c r="A498" s="50">
        <v>44902</v>
      </c>
      <c r="B498" s="49">
        <v>872.3</v>
      </c>
      <c r="C498" s="52">
        <f t="shared" si="41"/>
        <v>-2.9033880481003122E-3</v>
      </c>
      <c r="D498" s="53">
        <v>18642.75</v>
      </c>
      <c r="E498" s="54">
        <f t="shared" si="42"/>
        <v>-3.1174720136034756E-3</v>
      </c>
      <c r="F498" s="55">
        <v>12955.35</v>
      </c>
      <c r="G498" s="54">
        <f t="shared" si="43"/>
        <v>-7.4734350221023127E-3</v>
      </c>
      <c r="K498" s="6"/>
      <c r="L498" s="7"/>
    </row>
    <row r="499" spans="1:12">
      <c r="A499" s="50">
        <v>44901</v>
      </c>
      <c r="B499" s="49">
        <v>874.84</v>
      </c>
      <c r="C499" s="52">
        <f t="shared" si="41"/>
        <v>-2.3485288208242135E-2</v>
      </c>
      <c r="D499" s="53">
        <v>18701.05</v>
      </c>
      <c r="E499" s="54">
        <f t="shared" si="42"/>
        <v>2.6476109990857601E-4</v>
      </c>
      <c r="F499" s="55">
        <v>13052.9</v>
      </c>
      <c r="G499" s="54">
        <f t="shared" si="43"/>
        <v>-2.6018285391172956E-3</v>
      </c>
    </row>
    <row r="500" spans="1:12">
      <c r="A500" s="50">
        <v>44900</v>
      </c>
      <c r="B500" s="49">
        <v>895.88</v>
      </c>
      <c r="C500" s="52">
        <f t="shared" si="41"/>
        <v>-6.8730046115644348E-3</v>
      </c>
      <c r="D500" s="53">
        <v>18696.099999999999</v>
      </c>
      <c r="E500" s="54">
        <f t="shared" si="42"/>
        <v>-6.1873754152824692E-3</v>
      </c>
      <c r="F500" s="55">
        <v>13086.95</v>
      </c>
      <c r="G500" s="54">
        <f t="shared" si="43"/>
        <v>-2.5684703120652489E-3</v>
      </c>
    </row>
    <row r="501" spans="1:12">
      <c r="A501" s="50">
        <v>44897</v>
      </c>
      <c r="B501" s="49">
        <v>902.08</v>
      </c>
      <c r="C501" s="52">
        <f t="shared" si="41"/>
        <v>8.0570362175511941E-3</v>
      </c>
      <c r="D501" s="53">
        <v>18812.5</v>
      </c>
      <c r="E501" s="54">
        <f t="shared" si="42"/>
        <v>2.8867144498317529E-3</v>
      </c>
      <c r="F501" s="55">
        <v>13120.65</v>
      </c>
      <c r="G501" s="54">
        <f t="shared" si="43"/>
        <v>-1.7916647646871692E-3</v>
      </c>
    </row>
    <row r="502" spans="1:12">
      <c r="A502" s="50">
        <v>44896</v>
      </c>
      <c r="B502" s="49">
        <v>894.87</v>
      </c>
      <c r="C502" s="52">
        <f t="shared" si="41"/>
        <v>-2.852590174163941E-3</v>
      </c>
      <c r="D502" s="53">
        <v>18758.349999999999</v>
      </c>
      <c r="E502" s="54">
        <f t="shared" si="42"/>
        <v>7.5356978845797108E-3</v>
      </c>
      <c r="F502" s="55">
        <v>13144.2</v>
      </c>
      <c r="G502" s="54">
        <f t="shared" si="43"/>
        <v>4.3438893282444777E-3</v>
      </c>
    </row>
    <row r="503" spans="1:12">
      <c r="A503" s="50">
        <v>44895</v>
      </c>
      <c r="B503" s="49">
        <v>897.43</v>
      </c>
      <c r="C503" s="52">
        <f t="shared" si="41"/>
        <v>7.5897919543714181E-3</v>
      </c>
      <c r="D503" s="53">
        <v>18618.05</v>
      </c>
      <c r="E503" s="54">
        <f t="shared" si="42"/>
        <v>2.9790844567749537E-3</v>
      </c>
      <c r="F503" s="55">
        <v>13087.35</v>
      </c>
      <c r="G503" s="54">
        <f t="shared" si="43"/>
        <v>7.1879605508717234E-3</v>
      </c>
    </row>
    <row r="504" spans="1:12">
      <c r="A504" s="50">
        <v>44894</v>
      </c>
      <c r="B504" s="49">
        <v>890.67</v>
      </c>
      <c r="C504" s="52">
        <f t="shared" si="41"/>
        <v>1.1665152203543824E-2</v>
      </c>
      <c r="D504" s="53">
        <v>18562.75</v>
      </c>
      <c r="E504" s="54">
        <f t="shared" si="42"/>
        <v>2.7008413120687092E-3</v>
      </c>
      <c r="F504" s="55">
        <v>12993.95</v>
      </c>
      <c r="G504" s="54">
        <f t="shared" si="43"/>
        <v>1.9663105459788947E-3</v>
      </c>
    </row>
    <row r="505" spans="1:12">
      <c r="A505" s="50">
        <v>44893</v>
      </c>
      <c r="B505" s="49">
        <v>880.4</v>
      </c>
      <c r="C505" s="52">
        <f t="shared" si="41"/>
        <v>-3.6441004051515668E-3</v>
      </c>
      <c r="D505" s="53">
        <v>18512.75</v>
      </c>
      <c r="E505" s="54">
        <f t="shared" si="42"/>
        <v>1.5499807943043728E-3</v>
      </c>
      <c r="F505" s="55">
        <v>12968.45</v>
      </c>
      <c r="G505" s="54">
        <f t="shared" si="43"/>
        <v>6.2305295950156611E-3</v>
      </c>
    </row>
    <row r="506" spans="1:12">
      <c r="A506" s="50">
        <v>44890</v>
      </c>
      <c r="B506" s="49">
        <v>883.62</v>
      </c>
      <c r="C506" s="52">
        <f t="shared" si="41"/>
        <v>9.6287821289806259E-4</v>
      </c>
      <c r="D506" s="53">
        <v>18484.099999999999</v>
      </c>
      <c r="E506" s="54">
        <f t="shared" si="42"/>
        <v>1.1870971273727493E-2</v>
      </c>
      <c r="F506" s="55">
        <v>12888.15</v>
      </c>
      <c r="G506" s="54">
        <f t="shared" si="43"/>
        <v>8.6977118028717265E-4</v>
      </c>
    </row>
    <row r="507" spans="1:12">
      <c r="A507" s="50">
        <v>44889</v>
      </c>
      <c r="B507" s="49">
        <v>882.77</v>
      </c>
      <c r="C507" s="52">
        <f t="shared" si="41"/>
        <v>1.8612463541134525E-3</v>
      </c>
      <c r="D507" s="53">
        <v>18267.25</v>
      </c>
      <c r="E507" s="54">
        <f t="shared" si="42"/>
        <v>1.2634152223720016E-3</v>
      </c>
      <c r="F507" s="55">
        <v>12876.95</v>
      </c>
      <c r="G507" s="54">
        <f t="shared" si="43"/>
        <v>3.1628928784273071E-3</v>
      </c>
    </row>
    <row r="508" spans="1:12">
      <c r="A508" s="50">
        <v>44888</v>
      </c>
      <c r="B508" s="49">
        <v>881.13</v>
      </c>
      <c r="C508" s="52">
        <f t="shared" si="41"/>
        <v>9.8911174785100229E-3</v>
      </c>
      <c r="D508" s="53">
        <v>18244.2</v>
      </c>
      <c r="E508" s="54">
        <f t="shared" si="42"/>
        <v>4.6393299541022965E-3</v>
      </c>
      <c r="F508" s="55">
        <v>12836.35</v>
      </c>
      <c r="G508" s="54">
        <f t="shared" si="43"/>
        <v>3.2630953683585261E-3</v>
      </c>
    </row>
    <row r="509" spans="1:12">
      <c r="A509" s="50">
        <v>44887</v>
      </c>
      <c r="B509" s="49">
        <v>872.5</v>
      </c>
      <c r="C509" s="52">
        <f t="shared" si="41"/>
        <v>2.9081462579169082E-3</v>
      </c>
      <c r="D509" s="53">
        <v>18159.95</v>
      </c>
      <c r="E509" s="54">
        <f t="shared" si="42"/>
        <v>-8.0676657025888481E-3</v>
      </c>
      <c r="F509" s="55">
        <v>12794.6</v>
      </c>
      <c r="G509" s="54">
        <f t="shared" si="43"/>
        <v>-5.1938358188066058E-3</v>
      </c>
    </row>
    <row r="510" spans="1:12">
      <c r="A510" s="50">
        <v>44886</v>
      </c>
      <c r="B510" s="49">
        <v>869.97</v>
      </c>
      <c r="C510" s="52">
        <f t="shared" si="41"/>
        <v>-1.3426928703462106E-2</v>
      </c>
      <c r="D510" s="53">
        <v>18307.650000000001</v>
      </c>
      <c r="E510" s="54">
        <f t="shared" si="42"/>
        <v>-1.9761337556353882E-3</v>
      </c>
      <c r="F510" s="55">
        <v>12861.4</v>
      </c>
      <c r="G510" s="54">
        <f t="shared" si="43"/>
        <v>-6.7074701214450113E-3</v>
      </c>
    </row>
    <row r="511" spans="1:12">
      <c r="A511" s="50">
        <v>44883</v>
      </c>
      <c r="B511" s="49">
        <v>881.81</v>
      </c>
      <c r="C511" s="52">
        <f t="shared" si="41"/>
        <v>-2.7706783072852389E-3</v>
      </c>
      <c r="D511" s="53">
        <v>18343.900000000001</v>
      </c>
      <c r="E511" s="54">
        <f t="shared" si="42"/>
        <v>-3.571496470601016E-3</v>
      </c>
      <c r="F511" s="55">
        <v>12948.25</v>
      </c>
      <c r="G511" s="54">
        <f t="shared" si="43"/>
        <v>-3.865830672769935E-3</v>
      </c>
    </row>
    <row r="512" spans="1:12">
      <c r="A512" s="50">
        <v>44882</v>
      </c>
      <c r="B512" s="49">
        <v>884.26</v>
      </c>
      <c r="C512" s="52">
        <f t="shared" si="41"/>
        <v>-1.3322918991296645E-2</v>
      </c>
      <c r="D512" s="53">
        <v>18409.650000000001</v>
      </c>
      <c r="E512" s="54">
        <f t="shared" si="42"/>
        <v>3.3961115880761162E-4</v>
      </c>
      <c r="F512" s="55">
        <v>12998.5</v>
      </c>
      <c r="G512" s="54">
        <f t="shared" si="43"/>
        <v>-2.9454855065237625E-3</v>
      </c>
    </row>
    <row r="513" spans="1:7">
      <c r="A513" s="50">
        <v>44881</v>
      </c>
      <c r="B513" s="49">
        <v>896.2</v>
      </c>
      <c r="C513" s="52">
        <f t="shared" si="41"/>
        <v>1.0668290592507427E-2</v>
      </c>
      <c r="D513" s="53">
        <v>18403.400000000001</v>
      </c>
      <c r="E513" s="54">
        <f t="shared" si="42"/>
        <v>4.0509243472828796E-3</v>
      </c>
      <c r="F513" s="55">
        <v>13036.9</v>
      </c>
      <c r="G513" s="54">
        <f t="shared" si="43"/>
        <v>1.3095388963773986E-3</v>
      </c>
    </row>
    <row r="514" spans="1:7">
      <c r="A514" s="50">
        <v>44880</v>
      </c>
      <c r="B514" s="49">
        <v>886.74</v>
      </c>
      <c r="C514" s="52">
        <f t="shared" si="41"/>
        <v>1.6053074834141132E-2</v>
      </c>
      <c r="D514" s="53">
        <v>18329.150000000001</v>
      </c>
      <c r="E514" s="54">
        <f t="shared" si="42"/>
        <v>-1.1199093173184995E-3</v>
      </c>
      <c r="F514" s="55">
        <v>13019.85</v>
      </c>
      <c r="G514" s="54">
        <f t="shared" si="43"/>
        <v>3.2268845582054891E-4</v>
      </c>
    </row>
    <row r="515" spans="1:7">
      <c r="A515" s="50">
        <v>44879</v>
      </c>
      <c r="B515" s="49">
        <v>872.73</v>
      </c>
      <c r="C515" s="52">
        <f t="shared" si="41"/>
        <v>-3.8727158576479494E-2</v>
      </c>
      <c r="D515" s="53">
        <v>18349.7</v>
      </c>
      <c r="E515" s="54">
        <f t="shared" si="42"/>
        <v>1.7833172474234809E-2</v>
      </c>
      <c r="F515" s="55">
        <v>13015.65</v>
      </c>
      <c r="G515" s="54">
        <f t="shared" si="43"/>
        <v>2.5071053908542083E-3</v>
      </c>
    </row>
    <row r="516" spans="1:7">
      <c r="A516" s="50">
        <v>44876</v>
      </c>
      <c r="B516" s="49">
        <v>907.89</v>
      </c>
      <c r="C516" s="52">
        <f t="shared" si="41"/>
        <v>-2.198067898317379E-3</v>
      </c>
      <c r="D516" s="53">
        <v>18028.2</v>
      </c>
      <c r="E516" s="54"/>
      <c r="F516" s="55">
        <v>12983.1</v>
      </c>
      <c r="G516" s="54"/>
    </row>
    <row r="517" spans="1:7">
      <c r="A517" s="50">
        <v>44875</v>
      </c>
      <c r="B517" s="49">
        <v>909.89</v>
      </c>
      <c r="C517" s="52"/>
      <c r="D517" s="52"/>
      <c r="E517" s="52"/>
      <c r="F517" s="52"/>
      <c r="G517" s="52"/>
    </row>
  </sheetData>
  <mergeCells count="22">
    <mergeCell ref="AV17:AY21"/>
    <mergeCell ref="I35:U61"/>
    <mergeCell ref="J25:L25"/>
    <mergeCell ref="AP3:AZ4"/>
    <mergeCell ref="AP2:AQ2"/>
    <mergeCell ref="AV6:AX6"/>
    <mergeCell ref="B7:C7"/>
    <mergeCell ref="D7:E7"/>
    <mergeCell ref="F7:G7"/>
    <mergeCell ref="I68:U74"/>
    <mergeCell ref="I78:J78"/>
    <mergeCell ref="J79:P79"/>
    <mergeCell ref="J80:P80"/>
    <mergeCell ref="X2:Y2"/>
    <mergeCell ref="J86:P86"/>
    <mergeCell ref="J87:P87"/>
    <mergeCell ref="J88:P88"/>
    <mergeCell ref="J81:P81"/>
    <mergeCell ref="J82:P82"/>
    <mergeCell ref="J83:P83"/>
    <mergeCell ref="J84:P84"/>
    <mergeCell ref="J85:P8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A08CA-9FD3-4D18-9D71-F9731B9F2FE4}">
  <dimension ref="A1:AX517"/>
  <sheetViews>
    <sheetView topLeftCell="M1" workbookViewId="0">
      <selection activeCell="AR6" sqref="AR6:AU6"/>
    </sheetView>
  </sheetViews>
  <sheetFormatPr defaultRowHeight="15" customHeight="1"/>
  <cols>
    <col min="1" max="1" width="26.28515625" customWidth="1"/>
    <col min="2" max="2" width="13.7109375" customWidth="1"/>
    <col min="3" max="3" width="19.28515625" customWidth="1"/>
    <col min="5" max="5" width="11.7109375" customWidth="1"/>
    <col min="6" max="6" width="16" customWidth="1"/>
    <col min="7" max="7" width="13.42578125" customWidth="1"/>
    <col min="9" max="9" width="28.28515625" customWidth="1"/>
    <col min="10" max="10" width="18.7109375" customWidth="1"/>
    <col min="11" max="11" width="22.140625" customWidth="1"/>
    <col min="13" max="13" width="14.7109375" customWidth="1"/>
    <col min="14" max="14" width="13.140625" customWidth="1"/>
    <col min="15" max="15" width="16.28515625" customWidth="1"/>
    <col min="16" max="16" width="15.85546875" customWidth="1"/>
    <col min="17" max="17" width="22.7109375" customWidth="1"/>
    <col min="18" max="18" width="14.140625" customWidth="1"/>
    <col min="19" max="19" width="12.5703125" customWidth="1"/>
    <col min="23" max="23" width="13" customWidth="1"/>
    <col min="26" max="26" width="11.28515625" customWidth="1"/>
    <col min="27" max="27" width="11.85546875" customWidth="1"/>
    <col min="31" max="31" width="13" customWidth="1"/>
    <col min="35" max="35" width="13" customWidth="1"/>
    <col min="40" max="40" width="26.28515625" customWidth="1"/>
    <col min="41" max="41" width="16.5703125" customWidth="1"/>
    <col min="44" max="44" width="24.7109375" customWidth="1"/>
    <col min="45" max="45" width="11.42578125" customWidth="1"/>
    <col min="46" max="46" width="19.85546875" customWidth="1"/>
    <col min="47" max="47" width="17.5703125" customWidth="1"/>
  </cols>
  <sheetData>
    <row r="1" spans="1:50">
      <c r="A1" s="1"/>
      <c r="B1" s="1"/>
      <c r="C1" s="1"/>
      <c r="D1" s="1"/>
      <c r="N1" s="1" t="s">
        <v>51</v>
      </c>
      <c r="O1" s="1"/>
      <c r="P1" s="1"/>
      <c r="Q1" s="45"/>
      <c r="R1" s="45"/>
      <c r="S1" s="45"/>
      <c r="T1" s="45"/>
      <c r="AN1" t="s">
        <v>56</v>
      </c>
    </row>
    <row r="2" spans="1:50" ht="18.75">
      <c r="A2" s="150" t="s">
        <v>228</v>
      </c>
      <c r="B2" s="150"/>
      <c r="C2" s="151"/>
      <c r="D2" s="1"/>
      <c r="N2" s="1" t="s">
        <v>54</v>
      </c>
      <c r="O2" s="1"/>
      <c r="P2" s="1"/>
      <c r="Q2" s="45"/>
      <c r="R2" s="45"/>
      <c r="S2" s="45"/>
      <c r="T2" s="45"/>
      <c r="AN2" s="234" t="s">
        <v>229</v>
      </c>
      <c r="AO2" s="202"/>
      <c r="AP2" s="202"/>
      <c r="AQ2" s="202"/>
      <c r="AR2" s="202"/>
      <c r="AS2" s="202"/>
      <c r="AT2" s="202"/>
      <c r="AU2" s="202"/>
      <c r="AV2" s="202"/>
      <c r="AW2" s="202"/>
      <c r="AX2" s="202"/>
    </row>
    <row r="3" spans="1:50" ht="18.75">
      <c r="A3" s="150" t="s">
        <v>230</v>
      </c>
      <c r="B3" s="150"/>
      <c r="C3" s="150"/>
      <c r="D3" s="1"/>
      <c r="N3" s="5" t="s">
        <v>59</v>
      </c>
      <c r="O3" s="5"/>
      <c r="P3" s="5"/>
      <c r="Q3" s="45"/>
      <c r="R3" s="45"/>
      <c r="S3" s="45"/>
      <c r="T3" s="45"/>
      <c r="AN3" s="202"/>
      <c r="AO3" s="202"/>
      <c r="AP3" s="202"/>
      <c r="AQ3" s="202"/>
      <c r="AR3" s="202"/>
      <c r="AS3" s="202"/>
      <c r="AT3" s="202"/>
      <c r="AU3" s="202"/>
      <c r="AV3" s="202"/>
      <c r="AW3" s="202"/>
      <c r="AX3" s="202"/>
    </row>
    <row r="4" spans="1:50" ht="18.75">
      <c r="A4" s="150" t="s">
        <v>231</v>
      </c>
      <c r="B4" s="151"/>
      <c r="C4" s="151"/>
      <c r="D4" s="1"/>
      <c r="N4" s="1" t="s">
        <v>62</v>
      </c>
      <c r="O4" s="1"/>
      <c r="P4" s="1"/>
      <c r="Q4" s="45"/>
      <c r="R4" s="45"/>
      <c r="S4" s="45"/>
      <c r="T4" s="45"/>
      <c r="W4" s="235" t="s">
        <v>55</v>
      </c>
      <c r="X4" s="235"/>
    </row>
    <row r="5" spans="1:50" ht="18.75">
      <c r="A5" s="150" t="s">
        <v>232</v>
      </c>
      <c r="B5" s="150"/>
      <c r="C5" s="150"/>
      <c r="D5" s="1"/>
      <c r="N5" s="45"/>
      <c r="O5" s="45"/>
      <c r="P5" s="45"/>
      <c r="Q5" s="45"/>
      <c r="R5" s="45"/>
      <c r="S5" s="45"/>
      <c r="T5" s="45"/>
      <c r="W5" s="146" t="s">
        <v>233</v>
      </c>
      <c r="X5" s="146"/>
      <c r="AA5" s="236" t="s">
        <v>234</v>
      </c>
      <c r="AB5" s="236"/>
      <c r="AE5" s="236" t="s">
        <v>235</v>
      </c>
      <c r="AF5" s="236"/>
      <c r="AI5" s="236" t="s">
        <v>236</v>
      </c>
      <c r="AJ5" s="236"/>
      <c r="AN5" s="190" t="s">
        <v>85</v>
      </c>
      <c r="AO5" s="190" t="s">
        <v>86</v>
      </c>
      <c r="AP5" s="153"/>
      <c r="AQ5" s="153"/>
      <c r="AR5" s="146" t="s">
        <v>68</v>
      </c>
    </row>
    <row r="6" spans="1:50" ht="18.75">
      <c r="N6" s="45"/>
      <c r="O6">
        <v>3.7669999999999999E-3</v>
      </c>
      <c r="P6">
        <v>-4.1999999999999997E-3</v>
      </c>
      <c r="Q6" s="45"/>
      <c r="R6" s="45"/>
      <c r="S6" s="45"/>
      <c r="T6" s="45"/>
      <c r="AN6" s="45" t="s">
        <v>94</v>
      </c>
      <c r="AO6" s="45">
        <v>29002</v>
      </c>
      <c r="AR6" s="190" t="s">
        <v>87</v>
      </c>
      <c r="AS6" s="190" t="s">
        <v>88</v>
      </c>
      <c r="AT6" s="190" t="s">
        <v>89</v>
      </c>
      <c r="AU6" s="190" t="s">
        <v>90</v>
      </c>
      <c r="AV6" s="4"/>
    </row>
    <row r="7" spans="1:50" ht="37.5">
      <c r="A7" s="146" t="s">
        <v>75</v>
      </c>
      <c r="B7" s="235" t="s">
        <v>237</v>
      </c>
      <c r="C7" s="235"/>
      <c r="D7" s="235" t="s">
        <v>70</v>
      </c>
      <c r="E7" s="235"/>
      <c r="F7" s="236" t="s">
        <v>71</v>
      </c>
      <c r="G7" s="236"/>
      <c r="I7" s="145" t="s">
        <v>72</v>
      </c>
      <c r="J7" s="145" t="s">
        <v>237</v>
      </c>
      <c r="K7" s="145" t="s">
        <v>73</v>
      </c>
      <c r="N7" s="144" t="s">
        <v>74</v>
      </c>
      <c r="O7" s="144" t="s">
        <v>75</v>
      </c>
      <c r="P7" s="144" t="s">
        <v>238</v>
      </c>
      <c r="Q7" s="144" t="s">
        <v>77</v>
      </c>
      <c r="R7" s="144" t="s">
        <v>78</v>
      </c>
      <c r="S7" s="144" t="s">
        <v>79</v>
      </c>
      <c r="W7" s="146" t="s">
        <v>75</v>
      </c>
      <c r="X7" s="152" t="s">
        <v>81</v>
      </c>
      <c r="Y7" s="152" t="s">
        <v>82</v>
      </c>
      <c r="AA7" s="146" t="s">
        <v>75</v>
      </c>
      <c r="AB7" s="152" t="s">
        <v>81</v>
      </c>
      <c r="AC7" s="152" t="s">
        <v>82</v>
      </c>
      <c r="AE7" s="146" t="s">
        <v>75</v>
      </c>
      <c r="AF7" s="152" t="s">
        <v>81</v>
      </c>
      <c r="AG7" s="152" t="s">
        <v>82</v>
      </c>
      <c r="AI7" s="146" t="s">
        <v>75</v>
      </c>
      <c r="AJ7" s="152" t="s">
        <v>81</v>
      </c>
      <c r="AK7" s="152" t="s">
        <v>82</v>
      </c>
      <c r="AN7" s="45" t="s">
        <v>98</v>
      </c>
      <c r="AO7" s="47">
        <v>0.3</v>
      </c>
      <c r="AP7" s="32"/>
      <c r="AR7" s="45" t="s">
        <v>95</v>
      </c>
      <c r="AS7" s="47">
        <v>0</v>
      </c>
      <c r="AT7" s="47">
        <v>0.3</v>
      </c>
      <c r="AU7" s="47">
        <v>1</v>
      </c>
    </row>
    <row r="8" spans="1:50" ht="18.75">
      <c r="A8" s="147" t="s">
        <v>75</v>
      </c>
      <c r="B8" s="148" t="s">
        <v>91</v>
      </c>
      <c r="C8" s="148" t="s">
        <v>82</v>
      </c>
      <c r="D8" s="148" t="s">
        <v>91</v>
      </c>
      <c r="E8" s="148" t="s">
        <v>82</v>
      </c>
      <c r="F8" s="149" t="s">
        <v>91</v>
      </c>
      <c r="G8" s="147" t="str">
        <f>E8</f>
        <v>Returns</v>
      </c>
      <c r="K8" s="2"/>
      <c r="N8" s="23" t="s">
        <v>93</v>
      </c>
      <c r="O8" s="102">
        <v>45243</v>
      </c>
      <c r="P8" s="132">
        <v>3.673E-3</v>
      </c>
      <c r="Q8" s="132">
        <v>-4.1999999999999997E-3</v>
      </c>
      <c r="R8" s="104">
        <f>$J$14+($J$13*Q8)</f>
        <v>-2.948754855366081E-3</v>
      </c>
      <c r="S8" s="105">
        <f>P8-R8</f>
        <v>6.6217548553660806E-3</v>
      </c>
      <c r="W8" s="92">
        <v>45623</v>
      </c>
      <c r="X8" s="90">
        <v>544.1</v>
      </c>
      <c r="Y8" s="40">
        <f>X8/X9-1</f>
        <v>-3.4798534798534675E-3</v>
      </c>
      <c r="AA8" s="92">
        <v>45433</v>
      </c>
      <c r="AB8" s="90">
        <v>453</v>
      </c>
      <c r="AC8" s="40">
        <f t="shared" ref="AC8:AC71" si="0">AB8/AB9-1</f>
        <v>2.0155387906767297E-2</v>
      </c>
      <c r="AE8" s="92">
        <v>45342</v>
      </c>
      <c r="AF8" s="90">
        <v>402.45</v>
      </c>
      <c r="AG8" s="40">
        <f t="shared" ref="AG8:AG70" si="1">AF8/AF9-1</f>
        <v>-1.0936347997050899E-2</v>
      </c>
      <c r="AI8" s="92">
        <v>45280</v>
      </c>
      <c r="AJ8" s="90">
        <v>387.15</v>
      </c>
      <c r="AK8" s="40">
        <f t="shared" ref="AK8:AK28" si="2">AJ8/AJ9-1</f>
        <v>-2.7261306532663343E-2</v>
      </c>
      <c r="AN8" s="45" t="s">
        <v>101</v>
      </c>
      <c r="AO8" s="48">
        <f>AO6*AO7</f>
        <v>8700.6</v>
      </c>
      <c r="AR8" s="45" t="s">
        <v>99</v>
      </c>
      <c r="AS8" s="45">
        <v>0</v>
      </c>
      <c r="AT8" s="45">
        <f>AT7*$AO$10</f>
        <v>52.203600000000002</v>
      </c>
      <c r="AU8" s="45">
        <f>AU7*$AO$10</f>
        <v>174.012</v>
      </c>
    </row>
    <row r="9" spans="1:50">
      <c r="A9" s="92">
        <v>45623</v>
      </c>
      <c r="B9" s="90">
        <v>544.1</v>
      </c>
      <c r="C9" s="40">
        <f>B9/B10-1</f>
        <v>-3.4798534798534675E-3</v>
      </c>
      <c r="D9" s="93">
        <v>24274.9</v>
      </c>
      <c r="E9" s="94">
        <f>D9/D10-1</f>
        <v>3.3230692926078387E-3</v>
      </c>
      <c r="F9" s="95">
        <v>21828.6</v>
      </c>
      <c r="G9" s="41">
        <f t="shared" ref="G9:G72" si="3">F10/F9-1</f>
        <v>6.0997956808956921E-3</v>
      </c>
      <c r="I9" s="23" t="s">
        <v>92</v>
      </c>
      <c r="J9">
        <f>_xlfn.STDEV.S(C9:C516)</f>
        <v>1.9016607152175971E-2</v>
      </c>
      <c r="K9" s="125">
        <f>_xlfn.STDEV.S(E9:E516)</f>
        <v>7.5563839934265874E-3</v>
      </c>
      <c r="N9" s="23" t="s">
        <v>97</v>
      </c>
      <c r="O9" s="102">
        <v>45244</v>
      </c>
      <c r="P9" s="132">
        <v>3.673E-3</v>
      </c>
      <c r="Q9" s="132">
        <v>-8.9999999999999993E-3</v>
      </c>
      <c r="R9" s="104">
        <f t="shared" ref="R9:R18" si="4">$J$14+($J$13*Q9)</f>
        <v>-6.4325762765978962E-3</v>
      </c>
      <c r="S9" s="105">
        <f t="shared" ref="S9:S18" si="5">P9-R9</f>
        <v>1.0105576276597895E-2</v>
      </c>
      <c r="W9" s="92">
        <v>45622</v>
      </c>
      <c r="X9" s="90">
        <v>546</v>
      </c>
      <c r="Y9" s="40">
        <f t="shared" ref="Y9:Y72" si="6">X9/X10-1</f>
        <v>2.602649628864051E-2</v>
      </c>
      <c r="AA9" s="92">
        <v>45430</v>
      </c>
      <c r="AB9" s="90">
        <v>444.05</v>
      </c>
      <c r="AC9" s="40">
        <f t="shared" si="0"/>
        <v>1.0352673492605158E-2</v>
      </c>
      <c r="AE9" s="92">
        <v>45341</v>
      </c>
      <c r="AF9" s="90">
        <v>406.9</v>
      </c>
      <c r="AG9" s="40">
        <f t="shared" si="1"/>
        <v>1.598002496878892E-2</v>
      </c>
      <c r="AI9" s="92">
        <v>45279</v>
      </c>
      <c r="AJ9" s="90">
        <v>398</v>
      </c>
      <c r="AK9" s="40">
        <f t="shared" si="2"/>
        <v>-2.5062656641604564E-3</v>
      </c>
      <c r="AN9" s="45" t="s">
        <v>104</v>
      </c>
      <c r="AO9" s="47">
        <v>0.02</v>
      </c>
      <c r="AP9" s="32"/>
      <c r="AR9" s="45" t="s">
        <v>102</v>
      </c>
      <c r="AS9" s="45">
        <v>5826</v>
      </c>
      <c r="AT9" s="89">
        <f>$AO$11-AT8</f>
        <v>5773.7964000000002</v>
      </c>
      <c r="AU9" s="89">
        <f>$AO$11-AU8</f>
        <v>5651.9880000000003</v>
      </c>
    </row>
    <row r="10" spans="1:50">
      <c r="A10" s="92">
        <v>45622</v>
      </c>
      <c r="B10" s="90">
        <v>546</v>
      </c>
      <c r="C10" s="40">
        <f t="shared" ref="C10:C73" si="7">B10/B11-1</f>
        <v>2.602649628864051E-2</v>
      </c>
      <c r="D10" s="93">
        <v>24194.5</v>
      </c>
      <c r="E10" s="94">
        <f t="shared" ref="E10:E73" si="8">D10/D11-1</f>
        <v>-1.1312077087264338E-3</v>
      </c>
      <c r="F10" s="95">
        <v>21961.75</v>
      </c>
      <c r="G10" s="41">
        <f t="shared" si="3"/>
        <v>9.8034081983449095E-3</v>
      </c>
      <c r="I10" s="23" t="s">
        <v>96</v>
      </c>
      <c r="J10">
        <f>J9*SQRT(252)</f>
        <v>0.30187927982921908</v>
      </c>
      <c r="K10" s="125">
        <f>K9*SQRT(252)</f>
        <v>0.11995387714509528</v>
      </c>
      <c r="N10" s="23" t="s">
        <v>100</v>
      </c>
      <c r="O10" s="102">
        <v>45245</v>
      </c>
      <c r="P10" s="106">
        <v>-9.6509999999999999E-3</v>
      </c>
      <c r="Q10" s="104">
        <v>5.3509999999999999E-3</v>
      </c>
      <c r="R10" s="104">
        <f t="shared" si="4"/>
        <v>3.9833239767558095E-3</v>
      </c>
      <c r="S10" s="105">
        <f t="shared" si="5"/>
        <v>-1.3634323976755808E-2</v>
      </c>
      <c r="W10" s="92">
        <v>45621</v>
      </c>
      <c r="X10" s="90">
        <v>532.15</v>
      </c>
      <c r="Y10" s="40">
        <f t="shared" si="6"/>
        <v>3.5311284046692482E-2</v>
      </c>
      <c r="AA10" s="92">
        <v>45429</v>
      </c>
      <c r="AB10" s="90">
        <v>439.5</v>
      </c>
      <c r="AC10" s="40">
        <f t="shared" si="0"/>
        <v>-1.2359550561797716E-2</v>
      </c>
      <c r="AE10" s="92">
        <v>45338</v>
      </c>
      <c r="AF10" s="90">
        <v>400.5</v>
      </c>
      <c r="AG10" s="40">
        <f t="shared" si="1"/>
        <v>2.1423106350420662E-2</v>
      </c>
      <c r="AI10" s="92">
        <v>45278</v>
      </c>
      <c r="AJ10" s="90">
        <v>399</v>
      </c>
      <c r="AK10" s="40">
        <f t="shared" si="2"/>
        <v>3.2608695652174058E-2</v>
      </c>
      <c r="AN10" s="45" t="s">
        <v>108</v>
      </c>
      <c r="AO10" s="48">
        <f>AO8*AO9</f>
        <v>174.012</v>
      </c>
      <c r="AR10" s="45" t="s">
        <v>105</v>
      </c>
      <c r="AS10" s="88">
        <v>0.24399999999999999</v>
      </c>
      <c r="AT10" s="89">
        <f>AT9/$AO$6</f>
        <v>0.19908269774498311</v>
      </c>
      <c r="AU10" s="89">
        <f>AU9/$AO$6</f>
        <v>0.19488269774498312</v>
      </c>
    </row>
    <row r="11" spans="1:50">
      <c r="A11" s="92">
        <v>45621</v>
      </c>
      <c r="B11" s="90">
        <v>532.15</v>
      </c>
      <c r="C11" s="40">
        <f t="shared" si="7"/>
        <v>3.5311284046692482E-2</v>
      </c>
      <c r="D11" s="93">
        <v>24221.9</v>
      </c>
      <c r="E11" s="94">
        <f t="shared" si="8"/>
        <v>1.3161279528176584E-2</v>
      </c>
      <c r="F11" s="95">
        <v>22177.05</v>
      </c>
      <c r="G11" s="41">
        <f t="shared" si="3"/>
        <v>-9.694706915482465E-3</v>
      </c>
      <c r="K11" s="2"/>
      <c r="N11" s="23" t="s">
        <v>103</v>
      </c>
      <c r="O11" s="102">
        <v>45246</v>
      </c>
      <c r="P11" s="106">
        <v>1.0964E-2</v>
      </c>
      <c r="Q11" s="104">
        <v>6.5399999999999998E-3</v>
      </c>
      <c r="R11" s="104">
        <f t="shared" si="4"/>
        <v>4.8462955746401068E-3</v>
      </c>
      <c r="S11" s="105">
        <f t="shared" si="5"/>
        <v>6.117704425359893E-3</v>
      </c>
      <c r="W11" s="92">
        <v>45618</v>
      </c>
      <c r="X11" s="90">
        <v>514</v>
      </c>
      <c r="Y11" s="40">
        <f t="shared" si="6"/>
        <v>5.0051072522982576E-2</v>
      </c>
      <c r="AA11" s="92">
        <v>45428</v>
      </c>
      <c r="AB11" s="90">
        <v>445</v>
      </c>
      <c r="AC11" s="40">
        <f t="shared" si="0"/>
        <v>2.0642201834862428E-2</v>
      </c>
      <c r="AE11" s="92">
        <v>45337</v>
      </c>
      <c r="AF11" s="90">
        <v>392.1</v>
      </c>
      <c r="AG11" s="40">
        <f t="shared" si="1"/>
        <v>1.2753475322035968E-4</v>
      </c>
      <c r="AI11" s="92">
        <v>45275</v>
      </c>
      <c r="AJ11" s="90">
        <v>386.4</v>
      </c>
      <c r="AK11" s="40">
        <f t="shared" si="2"/>
        <v>1.0362694300518616E-3</v>
      </c>
      <c r="AN11" s="45" t="s">
        <v>112</v>
      </c>
      <c r="AO11" s="45">
        <v>5826</v>
      </c>
      <c r="AR11" s="45" t="s">
        <v>109</v>
      </c>
      <c r="AS11" s="45">
        <v>4122</v>
      </c>
      <c r="AT11" s="89">
        <f>$AO$12-(AT7*(1-$AO$14))</f>
        <v>3172.7750000000001</v>
      </c>
      <c r="AU11" s="89">
        <f>$AO$12-(AU7*(1-$AO$14))</f>
        <v>3172.25</v>
      </c>
    </row>
    <row r="12" spans="1:50">
      <c r="A12" s="92">
        <v>45618</v>
      </c>
      <c r="B12" s="90">
        <v>514</v>
      </c>
      <c r="C12" s="40">
        <f t="shared" si="7"/>
        <v>5.0051072522982576E-2</v>
      </c>
      <c r="D12" s="93">
        <v>23907.25</v>
      </c>
      <c r="E12" s="94">
        <f t="shared" si="8"/>
        <v>2.3869481239748191E-2</v>
      </c>
      <c r="F12" s="95">
        <v>21962.05</v>
      </c>
      <c r="G12" s="41">
        <f t="shared" si="3"/>
        <v>-1.0106069333236212E-2</v>
      </c>
      <c r="K12" s="2"/>
      <c r="N12" s="23" t="s">
        <v>107</v>
      </c>
      <c r="O12" s="102">
        <v>45247</v>
      </c>
      <c r="P12" s="106">
        <v>-1.0577E-2</v>
      </c>
      <c r="Q12" s="104">
        <v>4.5620000000000001E-3</v>
      </c>
      <c r="R12" s="104">
        <f t="shared" si="4"/>
        <v>3.4106708306408298E-3</v>
      </c>
      <c r="S12" s="105">
        <f t="shared" si="5"/>
        <v>-1.3987670830640829E-2</v>
      </c>
      <c r="W12" s="92">
        <v>45617</v>
      </c>
      <c r="X12" s="90">
        <v>489.5</v>
      </c>
      <c r="Y12" s="40">
        <f t="shared" si="6"/>
        <v>5.546425636811847E-3</v>
      </c>
      <c r="AA12" s="92">
        <v>45427</v>
      </c>
      <c r="AB12" s="90">
        <v>436</v>
      </c>
      <c r="AC12" s="40">
        <f t="shared" si="0"/>
        <v>2.2988505747125743E-3</v>
      </c>
      <c r="AE12" s="92">
        <v>45336</v>
      </c>
      <c r="AF12" s="90">
        <v>392.05</v>
      </c>
      <c r="AG12" s="40">
        <f t="shared" si="1"/>
        <v>-2.4173027989821128E-3</v>
      </c>
      <c r="AI12" s="92">
        <v>45274</v>
      </c>
      <c r="AJ12" s="90">
        <v>386</v>
      </c>
      <c r="AK12" s="40">
        <f t="shared" si="2"/>
        <v>1.1530398322851187E-2</v>
      </c>
      <c r="AN12" s="45" t="s">
        <v>115</v>
      </c>
      <c r="AO12" s="45">
        <v>3173</v>
      </c>
      <c r="AR12" s="45" t="s">
        <v>113</v>
      </c>
      <c r="AS12" s="88">
        <v>0.16</v>
      </c>
      <c r="AT12" s="89">
        <f>AT11/$AO$6</f>
        <v>0.10939848975932695</v>
      </c>
      <c r="AU12" s="89">
        <f>AU11/$AO$6</f>
        <v>0.10938038755947865</v>
      </c>
    </row>
    <row r="13" spans="1:50">
      <c r="A13" s="92">
        <v>45617</v>
      </c>
      <c r="B13" s="90">
        <v>489.5</v>
      </c>
      <c r="C13" s="40">
        <f t="shared" si="7"/>
        <v>5.546425636811847E-3</v>
      </c>
      <c r="D13" s="93">
        <v>23349.9</v>
      </c>
      <c r="E13" s="94">
        <f t="shared" si="8"/>
        <v>-7.1688245423814356E-3</v>
      </c>
      <c r="F13" s="95">
        <v>21740.1</v>
      </c>
      <c r="G13" s="41">
        <f t="shared" si="3"/>
        <v>1.3224410191305935E-3</v>
      </c>
      <c r="I13" t="s">
        <v>106</v>
      </c>
      <c r="J13">
        <f>SLOPE(C9:C516,E9:E516)</f>
        <v>0.72579612942329497</v>
      </c>
      <c r="K13" s="2"/>
      <c r="N13" s="22" t="s">
        <v>111</v>
      </c>
      <c r="O13" s="103">
        <v>45250</v>
      </c>
      <c r="P13" s="106">
        <v>-4.0600000000000002E-3</v>
      </c>
      <c r="Q13" s="104">
        <v>-1.6900000000000001E-3</v>
      </c>
      <c r="R13" s="104">
        <f t="shared" si="4"/>
        <v>-1.1270065705136106E-3</v>
      </c>
      <c r="S13" s="105">
        <f t="shared" si="5"/>
        <v>-2.9329934294863897E-3</v>
      </c>
      <c r="W13" s="92">
        <v>45615</v>
      </c>
      <c r="X13" s="90">
        <v>486.8</v>
      </c>
      <c r="Y13" s="40">
        <f t="shared" si="6"/>
        <v>5.7851239669421961E-3</v>
      </c>
      <c r="AA13" s="92">
        <v>45426</v>
      </c>
      <c r="AB13" s="90">
        <v>435</v>
      </c>
      <c r="AC13" s="40">
        <f t="shared" si="0"/>
        <v>8.1112398609501923E-3</v>
      </c>
      <c r="AE13" s="92">
        <v>45335</v>
      </c>
      <c r="AF13" s="90">
        <v>393</v>
      </c>
      <c r="AG13" s="40">
        <f t="shared" si="1"/>
        <v>2.2953328232593329E-3</v>
      </c>
      <c r="AI13" s="92">
        <v>45273</v>
      </c>
      <c r="AJ13" s="90">
        <v>381.6</v>
      </c>
      <c r="AK13" s="40">
        <f t="shared" si="2"/>
        <v>-2.1914648212225996E-2</v>
      </c>
      <c r="AN13" s="45" t="s">
        <v>118</v>
      </c>
      <c r="AO13" s="45">
        <v>2435</v>
      </c>
      <c r="AR13" s="45" t="s">
        <v>116</v>
      </c>
      <c r="AS13" s="45">
        <v>4134</v>
      </c>
      <c r="AT13" s="89">
        <f>AO13-AT8</f>
        <v>2382.7964000000002</v>
      </c>
      <c r="AU13" s="89">
        <f>AP13-AU8</f>
        <v>-174.012</v>
      </c>
    </row>
    <row r="14" spans="1:50">
      <c r="A14" s="92">
        <v>45615</v>
      </c>
      <c r="B14" s="90">
        <v>486.8</v>
      </c>
      <c r="C14" s="40">
        <f t="shared" si="7"/>
        <v>5.7851239669421961E-3</v>
      </c>
      <c r="D14" s="93">
        <v>23518.5</v>
      </c>
      <c r="E14" s="94">
        <f t="shared" si="8"/>
        <v>2.758614808687776E-3</v>
      </c>
      <c r="F14" s="95">
        <v>21768.85</v>
      </c>
      <c r="G14" s="41">
        <f t="shared" si="3"/>
        <v>-1.0322088672575558E-2</v>
      </c>
      <c r="I14" t="s">
        <v>110</v>
      </c>
      <c r="J14" s="44">
        <f>INTERCEPT(C9:C516,E9:E516)</f>
        <v>9.9588888211758005E-5</v>
      </c>
      <c r="K14" s="2"/>
      <c r="N14" s="23" t="s">
        <v>114</v>
      </c>
      <c r="O14" s="102">
        <v>45251</v>
      </c>
      <c r="P14" s="106">
        <v>1.5625E-2</v>
      </c>
      <c r="Q14" s="104">
        <v>-1.916E-3</v>
      </c>
      <c r="R14" s="104">
        <f t="shared" si="4"/>
        <v>-1.2910364957632752E-3</v>
      </c>
      <c r="S14" s="105">
        <f t="shared" si="5"/>
        <v>1.6916036495763277E-2</v>
      </c>
      <c r="W14" s="92">
        <v>45614</v>
      </c>
      <c r="X14" s="90">
        <v>484</v>
      </c>
      <c r="Y14" s="40">
        <f t="shared" si="6"/>
        <v>-2.3704009069359655E-3</v>
      </c>
      <c r="AA14" s="92">
        <v>45425</v>
      </c>
      <c r="AB14" s="90">
        <v>431.5</v>
      </c>
      <c r="AC14" s="40">
        <f t="shared" si="0"/>
        <v>-1.7084282460136713E-2</v>
      </c>
      <c r="AE14" s="92">
        <v>45334</v>
      </c>
      <c r="AF14" s="90">
        <v>392.1</v>
      </c>
      <c r="AG14" s="40">
        <f t="shared" si="1"/>
        <v>2.3006134969325576E-3</v>
      </c>
      <c r="AI14" s="92">
        <v>45272</v>
      </c>
      <c r="AJ14" s="90">
        <v>390.15</v>
      </c>
      <c r="AK14" s="40">
        <f t="shared" si="2"/>
        <v>-1.9186492709132308E-3</v>
      </c>
      <c r="AN14" s="45" t="s">
        <v>120</v>
      </c>
      <c r="AO14" s="47">
        <v>0.25</v>
      </c>
      <c r="AP14" s="32"/>
    </row>
    <row r="15" spans="1:50">
      <c r="A15" s="92">
        <v>45614</v>
      </c>
      <c r="B15" s="90">
        <v>484</v>
      </c>
      <c r="C15" s="40">
        <f t="shared" si="7"/>
        <v>-2.3704009069359655E-3</v>
      </c>
      <c r="D15" s="93">
        <v>23453.8</v>
      </c>
      <c r="E15" s="94">
        <f>D15/D16-1</f>
        <v>-3.3527814487925856E-3</v>
      </c>
      <c r="F15" s="95">
        <v>21544.15</v>
      </c>
      <c r="G15" s="41">
        <f t="shared" si="3"/>
        <v>9.6476305632851034E-3</v>
      </c>
      <c r="K15" s="2"/>
      <c r="N15" s="23" t="s">
        <v>117</v>
      </c>
      <c r="O15" s="102">
        <v>45252</v>
      </c>
      <c r="P15" s="106">
        <v>-5.3499999999999999E-4</v>
      </c>
      <c r="Q15" s="104">
        <v>4.5389999999999996E-3</v>
      </c>
      <c r="R15" s="104">
        <f t="shared" si="4"/>
        <v>3.3939775196640933E-3</v>
      </c>
      <c r="S15" s="105">
        <f t="shared" si="5"/>
        <v>-3.9289775196640932E-3</v>
      </c>
      <c r="W15" s="92">
        <v>45610</v>
      </c>
      <c r="X15" s="90">
        <v>485.15</v>
      </c>
      <c r="Y15" s="40">
        <f t="shared" si="6"/>
        <v>1.1888622379810254E-2</v>
      </c>
      <c r="AA15" s="92">
        <v>45422</v>
      </c>
      <c r="AB15" s="90">
        <v>439</v>
      </c>
      <c r="AC15" s="40">
        <f t="shared" si="0"/>
        <v>3.2698188661491434E-2</v>
      </c>
      <c r="AE15" s="92">
        <v>45331</v>
      </c>
      <c r="AF15" s="90">
        <v>391.2</v>
      </c>
      <c r="AG15" s="40">
        <f t="shared" si="1"/>
        <v>-1.2121212121212199E-2</v>
      </c>
      <c r="AI15" s="92">
        <v>45271</v>
      </c>
      <c r="AJ15" s="90">
        <v>390.9</v>
      </c>
      <c r="AK15" s="40">
        <f t="shared" si="2"/>
        <v>1.5456552799064882E-2</v>
      </c>
    </row>
    <row r="16" spans="1:50">
      <c r="A16" s="92">
        <v>45610</v>
      </c>
      <c r="B16" s="90">
        <v>485.15</v>
      </c>
      <c r="C16" s="40">
        <f t="shared" si="7"/>
        <v>1.1888622379810254E-2</v>
      </c>
      <c r="D16" s="93">
        <v>23532.7</v>
      </c>
      <c r="E16" s="94">
        <f t="shared" si="8"/>
        <v>-1.1184661520731165E-3</v>
      </c>
      <c r="F16" s="95">
        <v>21752</v>
      </c>
      <c r="G16" s="41">
        <f t="shared" si="3"/>
        <v>2.6342405296064797E-3</v>
      </c>
      <c r="I16" s="98" t="s">
        <v>121</v>
      </c>
      <c r="K16" s="2"/>
      <c r="N16" s="23" t="s">
        <v>119</v>
      </c>
      <c r="O16" s="102">
        <v>45253</v>
      </c>
      <c r="P16" s="106">
        <v>-1.0841999999999999E-2</v>
      </c>
      <c r="Q16" s="104">
        <v>1.438E-3</v>
      </c>
      <c r="R16" s="104">
        <f t="shared" si="4"/>
        <v>1.1432837223224563E-3</v>
      </c>
      <c r="S16" s="105">
        <f t="shared" si="5"/>
        <v>-1.1985283722322455E-2</v>
      </c>
      <c r="W16" s="92">
        <v>45609</v>
      </c>
      <c r="X16" s="90">
        <v>479.45</v>
      </c>
      <c r="Y16" s="40">
        <f t="shared" si="6"/>
        <v>-2.153061224489794E-2</v>
      </c>
      <c r="AA16" s="92">
        <v>45421</v>
      </c>
      <c r="AB16" s="90">
        <v>425.1</v>
      </c>
      <c r="AC16" s="40">
        <f t="shared" si="0"/>
        <v>-2.5335320417287477E-2</v>
      </c>
      <c r="AE16" s="92">
        <v>45330</v>
      </c>
      <c r="AF16" s="90">
        <v>396</v>
      </c>
      <c r="AG16" s="40">
        <f t="shared" si="1"/>
        <v>-7.5187969924812581E-3</v>
      </c>
      <c r="AI16" s="92">
        <v>45268</v>
      </c>
      <c r="AJ16" s="90">
        <v>384.95</v>
      </c>
      <c r="AK16" s="40">
        <f t="shared" si="2"/>
        <v>-1.2948717948717992E-2</v>
      </c>
    </row>
    <row r="17" spans="1:37">
      <c r="A17" s="92">
        <v>45609</v>
      </c>
      <c r="B17" s="90">
        <v>479.45</v>
      </c>
      <c r="C17" s="40">
        <f t="shared" si="7"/>
        <v>-2.153061224489794E-2</v>
      </c>
      <c r="D17" s="93">
        <v>23559.05</v>
      </c>
      <c r="E17" s="94">
        <f t="shared" si="8"/>
        <v>-1.3582627300494754E-2</v>
      </c>
      <c r="F17" s="95">
        <v>21809.3</v>
      </c>
      <c r="G17" s="41">
        <f t="shared" si="3"/>
        <v>1.5695139229594757E-2</v>
      </c>
      <c r="I17" s="98" t="s">
        <v>72</v>
      </c>
      <c r="J17" s="98" t="s">
        <v>237</v>
      </c>
      <c r="K17" s="2"/>
      <c r="N17" s="23" t="s">
        <v>122</v>
      </c>
      <c r="O17" s="102">
        <v>45254</v>
      </c>
      <c r="P17" s="106">
        <v>8.6599999999999993E-3</v>
      </c>
      <c r="Q17" s="104">
        <v>-4.9700000000000005E-4</v>
      </c>
      <c r="R17" s="104">
        <f t="shared" si="4"/>
        <v>-2.6113178811161964E-4</v>
      </c>
      <c r="S17" s="105">
        <f t="shared" si="5"/>
        <v>8.9211317881116182E-3</v>
      </c>
      <c r="W17" s="92">
        <v>45608</v>
      </c>
      <c r="X17" s="90">
        <v>490</v>
      </c>
      <c r="Y17" s="40">
        <f t="shared" si="6"/>
        <v>-8.0971659919027994E-3</v>
      </c>
      <c r="AA17" s="92">
        <v>45420</v>
      </c>
      <c r="AB17" s="90">
        <v>436.15</v>
      </c>
      <c r="AC17" s="40">
        <f t="shared" si="0"/>
        <v>1.6311313060701327E-2</v>
      </c>
      <c r="AE17" s="92">
        <v>45329</v>
      </c>
      <c r="AF17" s="90">
        <v>399</v>
      </c>
      <c r="AG17" s="40">
        <f t="shared" si="1"/>
        <v>-2.2505626406601476E-3</v>
      </c>
      <c r="AI17" s="92">
        <v>45267</v>
      </c>
      <c r="AJ17" s="90">
        <v>390</v>
      </c>
      <c r="AK17" s="40">
        <f t="shared" si="2"/>
        <v>2.9023746701847042E-2</v>
      </c>
    </row>
    <row r="18" spans="1:37">
      <c r="A18" s="92">
        <v>45608</v>
      </c>
      <c r="B18" s="90">
        <v>490</v>
      </c>
      <c r="C18" s="40">
        <f t="shared" si="7"/>
        <v>-8.0971659919027994E-3</v>
      </c>
      <c r="D18" s="93">
        <v>23883.45</v>
      </c>
      <c r="E18" s="94">
        <f t="shared" si="8"/>
        <v>-1.0680866399075395E-2</v>
      </c>
      <c r="F18" s="95">
        <v>22151.599999999999</v>
      </c>
      <c r="G18" s="41">
        <f t="shared" si="3"/>
        <v>8.6968887123277661E-3</v>
      </c>
      <c r="I18" s="97" t="s">
        <v>92</v>
      </c>
      <c r="J18" s="97">
        <f>_xlfn.STDEV.S(P8:P18)</f>
        <v>9.14179959307794E-3</v>
      </c>
      <c r="K18" s="138"/>
      <c r="N18" s="23" t="s">
        <v>124</v>
      </c>
      <c r="O18" s="102">
        <v>45258</v>
      </c>
      <c r="P18" s="107">
        <v>-5.4999999999999997E-3</v>
      </c>
      <c r="Q18" s="104">
        <v>-3.6900000000000002E-4</v>
      </c>
      <c r="R18" s="104">
        <f t="shared" si="4"/>
        <v>-1.6822988354543787E-4</v>
      </c>
      <c r="S18" s="105">
        <f t="shared" si="5"/>
        <v>-5.3317701164545617E-3</v>
      </c>
      <c r="W18" s="92">
        <v>45607</v>
      </c>
      <c r="X18" s="90">
        <v>494</v>
      </c>
      <c r="Y18" s="40">
        <f t="shared" si="6"/>
        <v>-6.3361158604042789E-3</v>
      </c>
      <c r="AA18" s="92">
        <v>45419</v>
      </c>
      <c r="AB18" s="90">
        <v>429.15</v>
      </c>
      <c r="AC18" s="40">
        <f t="shared" si="0"/>
        <v>-2.3104939676758529E-2</v>
      </c>
      <c r="AE18" s="92">
        <v>45328</v>
      </c>
      <c r="AF18" s="90">
        <v>399.9</v>
      </c>
      <c r="AG18" s="40">
        <f t="shared" si="1"/>
        <v>3.4402483186756205E-2</v>
      </c>
      <c r="AI18" s="92">
        <v>45266</v>
      </c>
      <c r="AJ18" s="90">
        <v>379</v>
      </c>
      <c r="AK18" s="40">
        <f t="shared" si="2"/>
        <v>7.9787234042554278E-3</v>
      </c>
    </row>
    <row r="19" spans="1:37">
      <c r="A19" s="92">
        <v>45607</v>
      </c>
      <c r="B19" s="90">
        <v>494</v>
      </c>
      <c r="C19" s="40">
        <f t="shared" si="7"/>
        <v>-6.3361158604042789E-3</v>
      </c>
      <c r="D19" s="93">
        <v>24141.3</v>
      </c>
      <c r="E19" s="94">
        <f t="shared" si="8"/>
        <v>-2.8573558277644739E-4</v>
      </c>
      <c r="F19" s="95">
        <v>22344.25</v>
      </c>
      <c r="G19" s="41">
        <f t="shared" si="3"/>
        <v>8.8613401658144131E-3</v>
      </c>
      <c r="I19" s="97" t="s">
        <v>96</v>
      </c>
      <c r="J19" s="97">
        <f>J18*SQRT(252)</f>
        <v>0.1451215695532542</v>
      </c>
      <c r="K19" s="2"/>
      <c r="N19" s="23" t="s">
        <v>125</v>
      </c>
      <c r="O19" s="1"/>
      <c r="P19" s="1"/>
      <c r="Q19" s="1"/>
      <c r="R19" s="23"/>
      <c r="S19" s="101"/>
      <c r="W19" s="92">
        <v>45604</v>
      </c>
      <c r="X19" s="90">
        <v>497.15</v>
      </c>
      <c r="Y19" s="40">
        <f t="shared" si="6"/>
        <v>3.4312241396710075E-3</v>
      </c>
      <c r="AA19" s="92">
        <v>45418</v>
      </c>
      <c r="AB19" s="90">
        <v>439.3</v>
      </c>
      <c r="AC19" s="40">
        <f t="shared" si="0"/>
        <v>-1.5905017921146847E-2</v>
      </c>
      <c r="AE19" s="92">
        <v>45327</v>
      </c>
      <c r="AF19" s="90">
        <v>386.6</v>
      </c>
      <c r="AG19" s="40">
        <f t="shared" si="1"/>
        <v>-1.5031847133757936E-2</v>
      </c>
      <c r="AI19" s="92">
        <v>45265</v>
      </c>
      <c r="AJ19" s="90">
        <v>376</v>
      </c>
      <c r="AK19" s="40">
        <f t="shared" si="2"/>
        <v>-1.0005265929436624E-2</v>
      </c>
    </row>
    <row r="20" spans="1:37" ht="15" customHeight="1">
      <c r="A20" s="92">
        <v>45604</v>
      </c>
      <c r="B20" s="90">
        <v>497.15</v>
      </c>
      <c r="C20" s="40">
        <f t="shared" si="7"/>
        <v>3.4312241396710075E-3</v>
      </c>
      <c r="D20" s="93">
        <v>24148.2</v>
      </c>
      <c r="E20" s="94">
        <f t="shared" si="8"/>
        <v>-2.1136931363857636E-3</v>
      </c>
      <c r="F20" s="95">
        <v>22542.25</v>
      </c>
      <c r="G20" s="41">
        <f t="shared" si="3"/>
        <v>-6.7872550433067946E-4</v>
      </c>
      <c r="I20" s="97" t="s">
        <v>128</v>
      </c>
      <c r="J20" s="97">
        <f>J19/J10</f>
        <v>0.4807271623125417</v>
      </c>
      <c r="K20" s="116"/>
      <c r="L20" s="116"/>
      <c r="M20" s="116"/>
      <c r="N20" s="116"/>
      <c r="O20" s="116"/>
      <c r="P20" s="116"/>
      <c r="Q20" s="116"/>
      <c r="R20" s="116"/>
      <c r="S20" s="116"/>
      <c r="W20" s="92">
        <v>45603</v>
      </c>
      <c r="X20" s="90">
        <v>495.45</v>
      </c>
      <c r="Y20" s="40">
        <f t="shared" si="6"/>
        <v>-4.1206030150754414E-3</v>
      </c>
      <c r="AA20" s="92">
        <v>45415</v>
      </c>
      <c r="AB20" s="90">
        <v>446.4</v>
      </c>
      <c r="AC20" s="40">
        <f t="shared" si="0"/>
        <v>-9.5407144441979064E-3</v>
      </c>
      <c r="AE20" s="92">
        <v>45324</v>
      </c>
      <c r="AF20" s="90">
        <v>392.5</v>
      </c>
      <c r="AG20" s="40">
        <f t="shared" si="1"/>
        <v>7.572840456937513E-3</v>
      </c>
      <c r="AI20" s="92">
        <v>45264</v>
      </c>
      <c r="AJ20" s="90">
        <v>379.8</v>
      </c>
      <c r="AK20" s="40">
        <f t="shared" si="2"/>
        <v>5.8262711864407457E-3</v>
      </c>
    </row>
    <row r="21" spans="1:37" ht="15" customHeight="1">
      <c r="A21" s="92">
        <v>45603</v>
      </c>
      <c r="B21" s="90">
        <v>495.45</v>
      </c>
      <c r="C21" s="40">
        <f t="shared" si="7"/>
        <v>-4.1206030150754414E-3</v>
      </c>
      <c r="D21" s="93">
        <v>24199.35</v>
      </c>
      <c r="E21" s="94">
        <f t="shared" si="8"/>
        <v>-1.1627978214388546E-2</v>
      </c>
      <c r="F21" s="95">
        <v>22526.95</v>
      </c>
      <c r="G21" s="41">
        <f t="shared" si="3"/>
        <v>1.7463527019858427E-2</v>
      </c>
      <c r="W21" s="92">
        <v>45602</v>
      </c>
      <c r="X21" s="90">
        <v>497.5</v>
      </c>
      <c r="Y21" s="40">
        <f t="shared" si="6"/>
        <v>1.7590509306606661E-2</v>
      </c>
      <c r="AA21" s="92">
        <v>45414</v>
      </c>
      <c r="AB21" s="90">
        <v>450.7</v>
      </c>
      <c r="AC21" s="40">
        <f t="shared" si="0"/>
        <v>-6.6518847006658E-4</v>
      </c>
      <c r="AE21" s="92">
        <v>45323</v>
      </c>
      <c r="AF21" s="90">
        <v>389.55</v>
      </c>
      <c r="AG21" s="40">
        <f t="shared" si="1"/>
        <v>2.3649980291683192E-2</v>
      </c>
      <c r="AI21" s="92">
        <v>45261</v>
      </c>
      <c r="AJ21" s="90">
        <v>377.6</v>
      </c>
      <c r="AK21" s="40">
        <f t="shared" si="2"/>
        <v>-8.1428946677172265E-3</v>
      </c>
    </row>
    <row r="22" spans="1:37" ht="15" customHeight="1">
      <c r="A22" s="92">
        <v>45602</v>
      </c>
      <c r="B22" s="90">
        <v>497.5</v>
      </c>
      <c r="C22" s="40">
        <f t="shared" si="7"/>
        <v>1.7590509306606661E-2</v>
      </c>
      <c r="D22" s="93">
        <v>24484.05</v>
      </c>
      <c r="E22" s="94">
        <f t="shared" si="8"/>
        <v>1.1181871120417242E-2</v>
      </c>
      <c r="F22" s="95">
        <v>22920.35</v>
      </c>
      <c r="G22" s="41">
        <f t="shared" si="3"/>
        <v>-1.1304364898441666E-2</v>
      </c>
      <c r="W22" s="92">
        <v>45601</v>
      </c>
      <c r="X22" s="90">
        <v>488.9</v>
      </c>
      <c r="Y22" s="40">
        <f t="shared" si="6"/>
        <v>4.1076196344218552E-3</v>
      </c>
      <c r="AA22" s="92">
        <v>45412</v>
      </c>
      <c r="AB22" s="90">
        <v>451</v>
      </c>
      <c r="AC22" s="40">
        <f t="shared" si="0"/>
        <v>1.348314606741563E-2</v>
      </c>
      <c r="AE22" s="92">
        <v>45322</v>
      </c>
      <c r="AF22" s="90">
        <v>380.55</v>
      </c>
      <c r="AG22" s="40">
        <f t="shared" si="1"/>
        <v>2.5879498584715055E-2</v>
      </c>
      <c r="AI22" s="92">
        <v>45260</v>
      </c>
      <c r="AJ22" s="90">
        <v>380.7</v>
      </c>
      <c r="AK22" s="40">
        <f t="shared" si="2"/>
        <v>1.519999999999988E-2</v>
      </c>
    </row>
    <row r="23" spans="1:37" ht="15" customHeight="1">
      <c r="A23" s="92">
        <v>45601</v>
      </c>
      <c r="B23" s="90">
        <v>488.9</v>
      </c>
      <c r="C23" s="40">
        <f t="shared" si="7"/>
        <v>4.1076196344218552E-3</v>
      </c>
      <c r="D23" s="93">
        <v>24213.3</v>
      </c>
      <c r="E23" s="94">
        <f t="shared" si="8"/>
        <v>9.0830098331551312E-3</v>
      </c>
      <c r="F23" s="95">
        <v>22661.25</v>
      </c>
      <c r="G23" s="41">
        <f t="shared" si="3"/>
        <v>-1.0127420155552347E-3</v>
      </c>
      <c r="I23" s="237" t="s">
        <v>129</v>
      </c>
      <c r="J23" s="237"/>
      <c r="K23" s="237"/>
      <c r="L23" s="237"/>
      <c r="W23" s="92">
        <v>45600</v>
      </c>
      <c r="X23" s="90">
        <v>486.9</v>
      </c>
      <c r="Y23" s="40">
        <f t="shared" si="6"/>
        <v>-2.5810324129651896E-2</v>
      </c>
      <c r="AA23" s="92">
        <v>45411</v>
      </c>
      <c r="AB23" s="90">
        <v>445</v>
      </c>
      <c r="AC23" s="40">
        <f t="shared" si="0"/>
        <v>1.9356316573130306E-2</v>
      </c>
      <c r="AE23" s="92">
        <v>45321</v>
      </c>
      <c r="AF23" s="90">
        <v>370.95</v>
      </c>
      <c r="AG23" s="40">
        <f t="shared" si="1"/>
        <v>-9.6115338406087547E-3</v>
      </c>
      <c r="AI23" s="92">
        <v>45259</v>
      </c>
      <c r="AJ23" s="90">
        <v>375</v>
      </c>
      <c r="AK23" s="40">
        <f t="shared" si="2"/>
        <v>1.1736139214892916E-2</v>
      </c>
    </row>
    <row r="24" spans="1:37" ht="15" customHeight="1">
      <c r="A24" s="92">
        <v>45600</v>
      </c>
      <c r="B24" s="90">
        <v>486.9</v>
      </c>
      <c r="C24" s="40">
        <f t="shared" si="7"/>
        <v>-2.5810324129651896E-2</v>
      </c>
      <c r="D24" s="93">
        <v>23995.35</v>
      </c>
      <c r="E24" s="94">
        <f t="shared" si="8"/>
        <v>-1.2713773460306443E-2</v>
      </c>
      <c r="F24" s="95">
        <v>22638.3</v>
      </c>
      <c r="G24" s="41">
        <f t="shared" si="3"/>
        <v>7.4585989230639971E-3</v>
      </c>
      <c r="I24" s="98" t="s">
        <v>130</v>
      </c>
      <c r="J24" s="98" t="s">
        <v>91</v>
      </c>
      <c r="K24" s="98" t="s">
        <v>131</v>
      </c>
      <c r="W24" s="92">
        <v>45597</v>
      </c>
      <c r="X24" s="90">
        <v>499.8</v>
      </c>
      <c r="Y24" s="40">
        <f t="shared" si="6"/>
        <v>1.7922606924643647E-2</v>
      </c>
      <c r="AA24" s="92">
        <v>45408</v>
      </c>
      <c r="AB24" s="90">
        <v>436.55</v>
      </c>
      <c r="AC24" s="40">
        <f t="shared" si="0"/>
        <v>2.9599056603773599E-2</v>
      </c>
      <c r="AE24" s="92">
        <v>45320</v>
      </c>
      <c r="AF24" s="90">
        <v>374.55</v>
      </c>
      <c r="AG24" s="40">
        <f t="shared" si="1"/>
        <v>-1.0435931307793855E-2</v>
      </c>
      <c r="AI24" s="92">
        <v>45258</v>
      </c>
      <c r="AJ24" s="90">
        <v>370.65</v>
      </c>
      <c r="AK24" s="40">
        <f t="shared" si="2"/>
        <v>-5.5004024684733865E-3</v>
      </c>
    </row>
    <row r="25" spans="1:37" ht="15" customHeight="1">
      <c r="A25" s="92">
        <v>45597</v>
      </c>
      <c r="B25" s="90">
        <v>499.8</v>
      </c>
      <c r="C25" s="40">
        <f t="shared" si="7"/>
        <v>1.7922606924643647E-2</v>
      </c>
      <c r="D25" s="93">
        <v>24304.35</v>
      </c>
      <c r="E25" s="94">
        <f t="shared" si="8"/>
        <v>4.0900048956118429E-3</v>
      </c>
      <c r="F25" s="95">
        <v>22807.15</v>
      </c>
      <c r="G25" s="41">
        <f t="shared" si="3"/>
        <v>-3.1393663829106799E-3</v>
      </c>
      <c r="I25" s="97" t="s">
        <v>132</v>
      </c>
      <c r="J25" s="100">
        <f>B263</f>
        <v>369.5</v>
      </c>
      <c r="K25" s="97" t="s">
        <v>133</v>
      </c>
      <c r="W25" s="92">
        <v>45596</v>
      </c>
      <c r="X25" s="90">
        <v>491</v>
      </c>
      <c r="Y25" s="40">
        <f t="shared" si="6"/>
        <v>1.4462809917355379E-2</v>
      </c>
      <c r="AA25" s="92">
        <v>45407</v>
      </c>
      <c r="AB25" s="90">
        <v>424</v>
      </c>
      <c r="AC25" s="40">
        <f t="shared" si="0"/>
        <v>-2.4614676788589751E-2</v>
      </c>
      <c r="AE25" s="92">
        <v>45316</v>
      </c>
      <c r="AF25" s="90">
        <v>378.5</v>
      </c>
      <c r="AG25" s="40">
        <f t="shared" si="1"/>
        <v>-4.2257085020242835E-2</v>
      </c>
      <c r="AI25" s="92">
        <v>45254</v>
      </c>
      <c r="AJ25" s="90">
        <v>372.7</v>
      </c>
      <c r="AK25" s="40">
        <f t="shared" si="2"/>
        <v>8.6603518267929225E-3</v>
      </c>
    </row>
    <row r="26" spans="1:37" ht="15" customHeight="1">
      <c r="A26" s="92">
        <v>45596</v>
      </c>
      <c r="B26" s="90">
        <v>491</v>
      </c>
      <c r="C26" s="40">
        <f t="shared" si="7"/>
        <v>1.4462809917355379E-2</v>
      </c>
      <c r="D26" s="93">
        <v>24205.35</v>
      </c>
      <c r="E26" s="94">
        <f t="shared" si="8"/>
        <v>-5.5667735514577377E-3</v>
      </c>
      <c r="F26" s="95">
        <v>22735.55</v>
      </c>
      <c r="G26" s="41">
        <f t="shared" si="3"/>
        <v>-1.5860623560899012E-2</v>
      </c>
      <c r="I26" s="97" t="s">
        <v>134</v>
      </c>
      <c r="J26" s="100">
        <f>B262</f>
        <v>368</v>
      </c>
      <c r="K26" s="97" t="s">
        <v>133</v>
      </c>
      <c r="W26" s="92">
        <v>45595</v>
      </c>
      <c r="X26" s="90">
        <v>484</v>
      </c>
      <c r="Y26" s="40">
        <f t="shared" si="6"/>
        <v>-7.4848764482722263E-3</v>
      </c>
      <c r="AA26" s="92">
        <v>45406</v>
      </c>
      <c r="AB26" s="90">
        <v>434.7</v>
      </c>
      <c r="AC26" s="40">
        <f t="shared" si="0"/>
        <v>4.7382410724603474E-3</v>
      </c>
      <c r="AE26" s="92">
        <v>45315</v>
      </c>
      <c r="AF26" s="90">
        <v>395.2</v>
      </c>
      <c r="AG26" s="40">
        <f t="shared" si="1"/>
        <v>-1.2000000000000011E-2</v>
      </c>
      <c r="AI26" s="92">
        <v>45253</v>
      </c>
      <c r="AJ26" s="90">
        <v>369.5</v>
      </c>
      <c r="AK26" s="40">
        <f t="shared" si="2"/>
        <v>-1.0841922098781986E-2</v>
      </c>
    </row>
    <row r="27" spans="1:37" ht="15" customHeight="1">
      <c r="A27" s="92">
        <v>45595</v>
      </c>
      <c r="B27" s="90">
        <v>484</v>
      </c>
      <c r="C27" s="40">
        <f t="shared" si="7"/>
        <v>-7.4848764482722263E-3</v>
      </c>
      <c r="D27" s="93">
        <v>24340.85</v>
      </c>
      <c r="E27" s="94">
        <f t="shared" si="8"/>
        <v>-5.1498251716097787E-3</v>
      </c>
      <c r="F27" s="95">
        <v>22374.95</v>
      </c>
      <c r="G27" s="41">
        <f t="shared" si="3"/>
        <v>1.012069300713514E-2</v>
      </c>
      <c r="I27" s="97" t="s">
        <v>135</v>
      </c>
      <c r="J27" s="97">
        <f>AJ8</f>
        <v>387.15</v>
      </c>
      <c r="K27" s="97">
        <f>J27/$B$261-1</f>
        <v>3.5852842809364516E-2</v>
      </c>
      <c r="W27" s="92">
        <v>45594</v>
      </c>
      <c r="X27" s="90">
        <v>487.65</v>
      </c>
      <c r="Y27" s="40">
        <f t="shared" si="6"/>
        <v>-1.3852376137512667E-2</v>
      </c>
      <c r="AA27" s="92">
        <v>45405</v>
      </c>
      <c r="AB27" s="90">
        <v>432.65</v>
      </c>
      <c r="AC27" s="40">
        <f t="shared" si="0"/>
        <v>1.3887281564632925E-3</v>
      </c>
      <c r="AE27" s="92">
        <v>45314</v>
      </c>
      <c r="AF27" s="90">
        <v>400</v>
      </c>
      <c r="AG27" s="40">
        <f t="shared" si="1"/>
        <v>-4.9751243781094301E-3</v>
      </c>
      <c r="AI27" s="92">
        <v>45252</v>
      </c>
      <c r="AJ27" s="90">
        <v>373.55</v>
      </c>
      <c r="AK27" s="40">
        <f t="shared" si="2"/>
        <v>-5.3511705685616029E-4</v>
      </c>
    </row>
    <row r="28" spans="1:37" ht="15" customHeight="1">
      <c r="A28" s="92">
        <v>45594</v>
      </c>
      <c r="B28" s="90">
        <v>487.65</v>
      </c>
      <c r="C28" s="40">
        <f t="shared" si="7"/>
        <v>-1.3852376137512667E-2</v>
      </c>
      <c r="D28" s="93">
        <v>24466.85</v>
      </c>
      <c r="E28" s="94">
        <f t="shared" si="8"/>
        <v>5.2466910307056303E-3</v>
      </c>
      <c r="F28" s="95">
        <v>22601.4</v>
      </c>
      <c r="G28" s="41">
        <f t="shared" si="3"/>
        <v>1.1320095215340498E-2</v>
      </c>
      <c r="I28" s="97" t="s">
        <v>136</v>
      </c>
      <c r="J28" s="97">
        <f>AF8</f>
        <v>402.45</v>
      </c>
      <c r="K28" s="97">
        <f>J28/$B$261-1</f>
        <v>7.6789297658862887E-2</v>
      </c>
      <c r="W28" s="92">
        <v>45593</v>
      </c>
      <c r="X28" s="90">
        <v>494.5</v>
      </c>
      <c r="Y28" s="40">
        <f t="shared" si="6"/>
        <v>6.6537258708077252E-2</v>
      </c>
      <c r="AA28" s="92">
        <v>45404</v>
      </c>
      <c r="AB28" s="90">
        <v>432.05</v>
      </c>
      <c r="AC28" s="40">
        <f t="shared" si="0"/>
        <v>1.42018779342723E-2</v>
      </c>
      <c r="AE28" s="92">
        <v>45311</v>
      </c>
      <c r="AF28" s="90">
        <v>402</v>
      </c>
      <c r="AG28" s="40">
        <f t="shared" si="1"/>
        <v>-2.4271844660194164E-2</v>
      </c>
      <c r="AI28" s="92">
        <v>45251</v>
      </c>
      <c r="AJ28" s="90">
        <v>373.75</v>
      </c>
      <c r="AK28" s="40">
        <f t="shared" si="2"/>
        <v>1.5625E-2</v>
      </c>
    </row>
    <row r="29" spans="1:37" ht="15" customHeight="1">
      <c r="A29" s="92">
        <v>45593</v>
      </c>
      <c r="B29" s="90">
        <v>494.5</v>
      </c>
      <c r="C29" s="40">
        <f t="shared" si="7"/>
        <v>6.6537258708077252E-2</v>
      </c>
      <c r="D29" s="93">
        <v>24339.15</v>
      </c>
      <c r="E29" s="94">
        <f t="shared" si="8"/>
        <v>6.5485840005294893E-3</v>
      </c>
      <c r="F29" s="95">
        <v>22857.25</v>
      </c>
      <c r="G29" s="41">
        <f t="shared" si="3"/>
        <v>-1.2368067024685847E-2</v>
      </c>
      <c r="I29" s="97" t="s">
        <v>137</v>
      </c>
      <c r="J29" s="97">
        <f>AB8</f>
        <v>453</v>
      </c>
      <c r="K29" s="97">
        <f>J29/$B$261-1</f>
        <v>0.21204013377926412</v>
      </c>
      <c r="W29" s="92">
        <v>45590</v>
      </c>
      <c r="X29" s="90">
        <v>463.65</v>
      </c>
      <c r="Y29" s="40">
        <f t="shared" si="6"/>
        <v>2.8276779773785732E-2</v>
      </c>
      <c r="AA29" s="92">
        <v>45401</v>
      </c>
      <c r="AB29" s="90">
        <v>426</v>
      </c>
      <c r="AC29" s="40">
        <f t="shared" si="0"/>
        <v>-1.6166281755196299E-2</v>
      </c>
      <c r="AE29" s="92">
        <v>45310</v>
      </c>
      <c r="AF29" s="90">
        <v>412</v>
      </c>
      <c r="AG29" s="40">
        <f t="shared" si="1"/>
        <v>-1.0804321728691502E-2</v>
      </c>
      <c r="AI29" s="92">
        <v>45250</v>
      </c>
      <c r="AJ29" s="90">
        <v>368</v>
      </c>
      <c r="AK29" s="40"/>
    </row>
    <row r="30" spans="1:37" ht="15" customHeight="1">
      <c r="A30" s="92">
        <v>45590</v>
      </c>
      <c r="B30" s="90">
        <v>463.65</v>
      </c>
      <c r="C30" s="40">
        <f t="shared" si="7"/>
        <v>2.8276779773785732E-2</v>
      </c>
      <c r="D30" s="93">
        <v>24180.799999999999</v>
      </c>
      <c r="E30" s="94">
        <f t="shared" si="8"/>
        <v>-8.9592367025419506E-3</v>
      </c>
      <c r="F30" s="95">
        <v>22574.55</v>
      </c>
      <c r="G30" s="41">
        <f t="shared" si="3"/>
        <v>-1.6611626809837077E-4</v>
      </c>
      <c r="I30" s="97" t="s">
        <v>138</v>
      </c>
      <c r="J30" s="97">
        <f>X8</f>
        <v>544.1</v>
      </c>
      <c r="K30" s="97">
        <f>J30/$B$261-1</f>
        <v>0.45578595317725767</v>
      </c>
      <c r="W30" s="92">
        <v>45589</v>
      </c>
      <c r="X30" s="90">
        <v>450.9</v>
      </c>
      <c r="Y30" s="40">
        <f t="shared" si="6"/>
        <v>5.5475424386997041E-4</v>
      </c>
      <c r="AA30" s="92">
        <v>45400</v>
      </c>
      <c r="AB30" s="90">
        <v>433</v>
      </c>
      <c r="AC30" s="40">
        <f t="shared" si="0"/>
        <v>-2.4774774774774744E-2</v>
      </c>
      <c r="AE30" s="92">
        <v>45309</v>
      </c>
      <c r="AF30" s="90">
        <v>416.5</v>
      </c>
      <c r="AG30" s="40">
        <f t="shared" si="1"/>
        <v>1.1167759164845803E-2</v>
      </c>
    </row>
    <row r="31" spans="1:37" ht="15" customHeight="1">
      <c r="A31" s="92">
        <v>45589</v>
      </c>
      <c r="B31" s="90">
        <v>450.9</v>
      </c>
      <c r="C31" s="40">
        <f t="shared" si="7"/>
        <v>5.5475424386997041E-4</v>
      </c>
      <c r="D31" s="93">
        <v>24399.4</v>
      </c>
      <c r="E31" s="94">
        <f t="shared" si="8"/>
        <v>-1.4773587608192251E-3</v>
      </c>
      <c r="F31" s="95">
        <v>22570.799999999999</v>
      </c>
      <c r="G31" s="41">
        <f t="shared" si="3"/>
        <v>-4.3950591029117136E-3</v>
      </c>
      <c r="I31" s="116"/>
      <c r="J31" s="116"/>
      <c r="K31" s="116"/>
      <c r="L31" s="116"/>
      <c r="M31" s="116"/>
      <c r="N31" s="116"/>
      <c r="O31" s="116"/>
      <c r="P31" s="116"/>
      <c r="Q31" s="116"/>
      <c r="R31" s="116"/>
      <c r="S31" s="116"/>
      <c r="W31" s="92">
        <v>45588</v>
      </c>
      <c r="X31" s="90">
        <v>450.65</v>
      </c>
      <c r="Y31" s="40">
        <f t="shared" si="6"/>
        <v>-6.5035273368607704E-3</v>
      </c>
      <c r="AA31" s="92">
        <v>45398</v>
      </c>
      <c r="AB31" s="90">
        <v>444</v>
      </c>
      <c r="AC31" s="40">
        <f t="shared" si="0"/>
        <v>3.0162412993039345E-2</v>
      </c>
      <c r="AE31" s="92">
        <v>45308</v>
      </c>
      <c r="AF31" s="90">
        <v>411.9</v>
      </c>
      <c r="AG31" s="40">
        <f t="shared" si="1"/>
        <v>-6.5123010130246906E-3</v>
      </c>
    </row>
    <row r="32" spans="1:37" ht="15" customHeight="1">
      <c r="A32" s="92">
        <v>45588</v>
      </c>
      <c r="B32" s="90">
        <v>450.65</v>
      </c>
      <c r="C32" s="40">
        <f t="shared" si="7"/>
        <v>-6.5035273368607704E-3</v>
      </c>
      <c r="D32" s="93">
        <v>24435.5</v>
      </c>
      <c r="E32" s="94">
        <f t="shared" si="8"/>
        <v>-1.4955806816742134E-3</v>
      </c>
      <c r="F32" s="95">
        <v>22471.599999999999</v>
      </c>
      <c r="G32" s="41">
        <f t="shared" si="3"/>
        <v>1.5868918991082115E-2</v>
      </c>
      <c r="W32" s="92">
        <v>45587</v>
      </c>
      <c r="X32" s="90">
        <v>453.6</v>
      </c>
      <c r="Y32" s="40">
        <f t="shared" si="6"/>
        <v>-1.8394286950876415E-2</v>
      </c>
      <c r="AA32" s="92">
        <v>45397</v>
      </c>
      <c r="AB32" s="90">
        <v>431</v>
      </c>
      <c r="AC32" s="40">
        <f t="shared" si="0"/>
        <v>-2.8951222259772535E-2</v>
      </c>
      <c r="AE32" s="92">
        <v>45307</v>
      </c>
      <c r="AF32" s="90">
        <v>414.6</v>
      </c>
      <c r="AG32" s="40">
        <f t="shared" si="1"/>
        <v>-1.7535545023696586E-2</v>
      </c>
    </row>
    <row r="33" spans="1:33" ht="15" customHeight="1">
      <c r="A33" s="92">
        <v>45587</v>
      </c>
      <c r="B33" s="90">
        <v>453.6</v>
      </c>
      <c r="C33" s="40">
        <f t="shared" si="7"/>
        <v>-1.8394286950876415E-2</v>
      </c>
      <c r="D33" s="93">
        <v>24472.1</v>
      </c>
      <c r="E33" s="94">
        <f t="shared" si="8"/>
        <v>-1.2469180141317371E-2</v>
      </c>
      <c r="F33" s="95">
        <v>22828.2</v>
      </c>
      <c r="G33" s="41">
        <f t="shared" si="3"/>
        <v>1.2900710524701875E-2</v>
      </c>
      <c r="I33" s="142"/>
      <c r="J33" s="142"/>
      <c r="K33" s="142"/>
      <c r="L33" s="142"/>
      <c r="M33" s="142"/>
      <c r="N33" s="142"/>
      <c r="O33" s="142"/>
      <c r="P33" s="131"/>
      <c r="Q33" s="131"/>
      <c r="R33" s="131"/>
      <c r="S33" s="131"/>
      <c r="W33" s="92">
        <v>45586</v>
      </c>
      <c r="X33" s="90">
        <v>462.1</v>
      </c>
      <c r="Y33" s="40">
        <f t="shared" si="6"/>
        <v>-2.807866231990741E-2</v>
      </c>
      <c r="AA33" s="92">
        <v>45394</v>
      </c>
      <c r="AB33" s="90">
        <v>443.85</v>
      </c>
      <c r="AC33" s="40">
        <f t="shared" si="0"/>
        <v>-2.9517874713020698E-2</v>
      </c>
      <c r="AE33" s="92">
        <v>45306</v>
      </c>
      <c r="AF33" s="90">
        <v>422</v>
      </c>
      <c r="AG33" s="40">
        <f t="shared" si="1"/>
        <v>1.2718982481401575E-2</v>
      </c>
    </row>
    <row r="34" spans="1:33" ht="15" customHeight="1">
      <c r="A34" s="92">
        <v>45586</v>
      </c>
      <c r="B34" s="90">
        <v>462.1</v>
      </c>
      <c r="C34" s="40">
        <f t="shared" si="7"/>
        <v>-2.807866231990741E-2</v>
      </c>
      <c r="D34" s="93">
        <v>24781.1</v>
      </c>
      <c r="E34" s="94">
        <f t="shared" si="8"/>
        <v>-2.9351353199982277E-3</v>
      </c>
      <c r="F34" s="95">
        <v>23122.7</v>
      </c>
      <c r="G34" s="41">
        <f t="shared" si="3"/>
        <v>1.0098301668922671E-2</v>
      </c>
      <c r="I34" s="142"/>
      <c r="J34" s="142"/>
      <c r="K34" s="142"/>
      <c r="L34" s="142"/>
      <c r="M34" s="142"/>
      <c r="N34" s="142"/>
      <c r="O34" s="142"/>
      <c r="P34" s="131"/>
      <c r="Q34" s="131"/>
      <c r="R34" s="131"/>
      <c r="S34" s="131"/>
      <c r="W34" s="92">
        <v>45583</v>
      </c>
      <c r="X34" s="90">
        <v>475.45</v>
      </c>
      <c r="Y34" s="40">
        <f t="shared" si="6"/>
        <v>2.1374865735767967E-2</v>
      </c>
      <c r="AA34" s="92">
        <v>45392</v>
      </c>
      <c r="AB34" s="90">
        <v>457.35</v>
      </c>
      <c r="AC34" s="40">
        <f t="shared" si="0"/>
        <v>6.2706270627064242E-3</v>
      </c>
      <c r="AE34" s="92">
        <v>45303</v>
      </c>
      <c r="AF34" s="90">
        <v>416.7</v>
      </c>
      <c r="AG34" s="40">
        <f t="shared" si="1"/>
        <v>-1.6056670602125123E-2</v>
      </c>
    </row>
    <row r="35" spans="1:33" ht="15" customHeight="1">
      <c r="A35" s="92">
        <v>45583</v>
      </c>
      <c r="B35" s="90">
        <v>475.45</v>
      </c>
      <c r="C35" s="40">
        <f t="shared" si="7"/>
        <v>2.1374865735767967E-2</v>
      </c>
      <c r="D35" s="93">
        <v>24854.05</v>
      </c>
      <c r="E35" s="94">
        <f t="shared" si="8"/>
        <v>4.2101265260194864E-3</v>
      </c>
      <c r="F35" s="95">
        <v>23356.2</v>
      </c>
      <c r="G35" s="41">
        <f t="shared" si="3"/>
        <v>-4.3757118024336794E-3</v>
      </c>
      <c r="I35" s="142"/>
      <c r="J35" s="142"/>
      <c r="K35" s="142"/>
      <c r="L35" s="142"/>
      <c r="M35" s="142"/>
      <c r="N35" s="142"/>
      <c r="O35" s="142"/>
      <c r="P35" s="131"/>
      <c r="Q35" s="131"/>
      <c r="R35" s="131"/>
      <c r="S35" s="131"/>
      <c r="W35" s="92">
        <v>45582</v>
      </c>
      <c r="X35" s="90">
        <v>465.5</v>
      </c>
      <c r="Y35" s="40">
        <f t="shared" si="6"/>
        <v>-2.8386558129826822E-2</v>
      </c>
      <c r="AA35" s="92">
        <v>45391</v>
      </c>
      <c r="AB35" s="90">
        <v>454.5</v>
      </c>
      <c r="AC35" s="40">
        <f t="shared" si="0"/>
        <v>-2.2160068846815872E-2</v>
      </c>
      <c r="AE35" s="92">
        <v>45302</v>
      </c>
      <c r="AF35" s="90">
        <v>423.5</v>
      </c>
      <c r="AG35" s="40">
        <f t="shared" si="1"/>
        <v>1.1947431302270051E-2</v>
      </c>
    </row>
    <row r="36" spans="1:33" ht="15" customHeight="1">
      <c r="A36" s="92">
        <v>45582</v>
      </c>
      <c r="B36" s="90">
        <v>465.5</v>
      </c>
      <c r="C36" s="40">
        <f t="shared" si="7"/>
        <v>-2.8386558129826822E-2</v>
      </c>
      <c r="D36" s="93">
        <v>24749.85</v>
      </c>
      <c r="E36" s="94">
        <f t="shared" si="8"/>
        <v>-8.8681806714108191E-3</v>
      </c>
      <c r="F36" s="95">
        <v>23254</v>
      </c>
      <c r="G36" s="41">
        <f t="shared" si="3"/>
        <v>9.1747656317191506E-3</v>
      </c>
      <c r="I36" s="142"/>
      <c r="J36" s="142"/>
      <c r="K36" s="142"/>
      <c r="L36" s="142"/>
      <c r="M36" s="142"/>
      <c r="N36" s="142"/>
      <c r="O36" s="142"/>
      <c r="P36" s="131"/>
      <c r="Q36" s="131"/>
      <c r="R36" s="131"/>
      <c r="S36" s="131"/>
      <c r="W36" s="92">
        <v>45581</v>
      </c>
      <c r="X36" s="90">
        <v>479.1</v>
      </c>
      <c r="Y36" s="40">
        <f t="shared" si="6"/>
        <v>-7.0466321243523034E-3</v>
      </c>
      <c r="AA36" s="92">
        <v>45390</v>
      </c>
      <c r="AB36" s="90">
        <v>464.8</v>
      </c>
      <c r="AC36" s="40">
        <f t="shared" si="0"/>
        <v>5.2059755545495801E-2</v>
      </c>
      <c r="AE36" s="92">
        <v>45301</v>
      </c>
      <c r="AF36" s="90">
        <v>418.5</v>
      </c>
      <c r="AG36" s="40">
        <f t="shared" si="1"/>
        <v>-1.4134275618374548E-2</v>
      </c>
    </row>
    <row r="37" spans="1:33" ht="15" customHeight="1">
      <c r="A37" s="92">
        <v>45581</v>
      </c>
      <c r="B37" s="90">
        <v>479.1</v>
      </c>
      <c r="C37" s="40">
        <f t="shared" si="7"/>
        <v>-7.0466321243523034E-3</v>
      </c>
      <c r="D37" s="93">
        <v>24971.3</v>
      </c>
      <c r="E37" s="94">
        <f t="shared" si="8"/>
        <v>-3.4341221238478603E-3</v>
      </c>
      <c r="F37" s="95">
        <v>23467.35</v>
      </c>
      <c r="G37" s="41">
        <f t="shared" si="3"/>
        <v>3.7648051441685482E-3</v>
      </c>
      <c r="I37" s="142"/>
      <c r="J37" s="142"/>
      <c r="K37" s="142"/>
      <c r="L37" s="142"/>
      <c r="M37" s="142"/>
      <c r="N37" s="142"/>
      <c r="O37" s="142"/>
      <c r="P37" s="131"/>
      <c r="Q37" s="131"/>
      <c r="R37" s="131"/>
      <c r="S37" s="131"/>
      <c r="W37" s="92">
        <v>45580</v>
      </c>
      <c r="X37" s="90">
        <v>482.5</v>
      </c>
      <c r="Y37" s="40">
        <f t="shared" si="6"/>
        <v>1.0471204188481575E-2</v>
      </c>
      <c r="AA37" s="92">
        <v>45387</v>
      </c>
      <c r="AB37" s="90">
        <v>441.8</v>
      </c>
      <c r="AC37" s="40">
        <f t="shared" si="0"/>
        <v>6.3781321184510631E-3</v>
      </c>
      <c r="AE37" s="92">
        <v>45300</v>
      </c>
      <c r="AF37" s="90">
        <v>424.5</v>
      </c>
      <c r="AG37" s="40">
        <f t="shared" si="1"/>
        <v>1.3247404224847825E-2</v>
      </c>
    </row>
    <row r="38" spans="1:33" ht="15" customHeight="1">
      <c r="A38" s="92">
        <v>45580</v>
      </c>
      <c r="B38" s="90">
        <v>482.5</v>
      </c>
      <c r="C38" s="40">
        <f t="shared" si="7"/>
        <v>1.0471204188481575E-2</v>
      </c>
      <c r="D38" s="93">
        <v>25057.35</v>
      </c>
      <c r="E38" s="94">
        <f t="shared" si="8"/>
        <v>-2.809620362982379E-3</v>
      </c>
      <c r="F38" s="95">
        <v>23555.7</v>
      </c>
      <c r="G38" s="41">
        <f t="shared" si="3"/>
        <v>5.2768544343830825E-3</v>
      </c>
      <c r="I38" s="142"/>
      <c r="J38" s="142"/>
      <c r="K38" s="142"/>
      <c r="L38" s="142"/>
      <c r="M38" s="142"/>
      <c r="N38" s="142"/>
      <c r="O38" s="142"/>
      <c r="P38" s="131"/>
      <c r="Q38" s="131"/>
      <c r="R38" s="131"/>
      <c r="S38" s="131"/>
      <c r="W38" s="92">
        <v>45579</v>
      </c>
      <c r="X38" s="90">
        <v>477.5</v>
      </c>
      <c r="Y38" s="40">
        <f t="shared" si="6"/>
        <v>8.2347972972971473E-3</v>
      </c>
      <c r="AA38" s="92">
        <v>45386</v>
      </c>
      <c r="AB38" s="90">
        <v>439</v>
      </c>
      <c r="AC38" s="40">
        <f t="shared" si="0"/>
        <v>-6.1127462078333084E-3</v>
      </c>
      <c r="AE38" s="92">
        <v>45299</v>
      </c>
      <c r="AF38" s="90">
        <v>418.95</v>
      </c>
      <c r="AG38" s="40">
        <f t="shared" si="1"/>
        <v>-1.885245901639343E-2</v>
      </c>
    </row>
    <row r="39" spans="1:33">
      <c r="A39" s="92">
        <v>45579</v>
      </c>
      <c r="B39" s="90">
        <v>477.5</v>
      </c>
      <c r="C39" s="40">
        <f t="shared" si="7"/>
        <v>8.2347972972971473E-3</v>
      </c>
      <c r="D39" s="93">
        <v>25127.95</v>
      </c>
      <c r="E39" s="94">
        <f t="shared" si="8"/>
        <v>6.5573770491802463E-3</v>
      </c>
      <c r="F39" s="95">
        <v>23680</v>
      </c>
      <c r="G39" s="41">
        <f t="shared" si="3"/>
        <v>-4.1279560810810745E-3</v>
      </c>
      <c r="I39" s="142"/>
      <c r="J39" s="142"/>
      <c r="K39" s="142"/>
      <c r="L39" s="142"/>
      <c r="M39" s="142"/>
      <c r="N39" s="142"/>
      <c r="O39" s="142"/>
      <c r="P39" s="131"/>
      <c r="Q39" s="131"/>
      <c r="R39" s="131"/>
      <c r="S39" s="131"/>
      <c r="W39" s="92">
        <v>45576</v>
      </c>
      <c r="X39" s="90">
        <v>473.6</v>
      </c>
      <c r="Y39" s="40">
        <f t="shared" si="6"/>
        <v>1.6309012875536544E-2</v>
      </c>
      <c r="AA39" s="92">
        <v>45385</v>
      </c>
      <c r="AB39" s="90">
        <v>441.7</v>
      </c>
      <c r="AC39" s="40">
        <f t="shared" si="0"/>
        <v>6.4337349397590282E-2</v>
      </c>
      <c r="AE39" s="92">
        <v>45296</v>
      </c>
      <c r="AF39" s="90">
        <v>427</v>
      </c>
      <c r="AG39" s="40">
        <f t="shared" si="1"/>
        <v>-1.2488436632747457E-2</v>
      </c>
    </row>
    <row r="40" spans="1:33">
      <c r="A40" s="92">
        <v>45576</v>
      </c>
      <c r="B40" s="90">
        <v>473.6</v>
      </c>
      <c r="C40" s="40">
        <f t="shared" si="7"/>
        <v>1.6309012875536544E-2</v>
      </c>
      <c r="D40" s="93">
        <v>24964.25</v>
      </c>
      <c r="E40" s="94">
        <f t="shared" si="8"/>
        <v>-1.3680848212589414E-3</v>
      </c>
      <c r="F40" s="95">
        <v>23582.25</v>
      </c>
      <c r="G40" s="41">
        <f t="shared" si="3"/>
        <v>-1.1750363090883953E-2</v>
      </c>
      <c r="I40" s="142"/>
      <c r="J40" s="142"/>
      <c r="K40" s="142"/>
      <c r="L40" s="142"/>
      <c r="M40" s="142"/>
      <c r="N40" s="142"/>
      <c r="O40" s="142"/>
      <c r="P40" s="131"/>
      <c r="Q40" s="131"/>
      <c r="R40" s="131"/>
      <c r="S40" s="131"/>
      <c r="W40" s="92">
        <v>45575</v>
      </c>
      <c r="X40" s="90">
        <v>466</v>
      </c>
      <c r="Y40" s="40">
        <f t="shared" si="6"/>
        <v>2.7110425391227766E-2</v>
      </c>
      <c r="AA40" s="92">
        <v>45384</v>
      </c>
      <c r="AB40" s="90">
        <v>415</v>
      </c>
      <c r="AC40" s="40">
        <f t="shared" si="0"/>
        <v>2.2545275348034854E-2</v>
      </c>
      <c r="AE40" s="92">
        <v>45295</v>
      </c>
      <c r="AF40" s="90">
        <v>432.4</v>
      </c>
      <c r="AG40" s="40">
        <f t="shared" si="1"/>
        <v>3.4810860988627734E-3</v>
      </c>
    </row>
    <row r="41" spans="1:33" ht="15" customHeight="1">
      <c r="A41" s="92">
        <v>45575</v>
      </c>
      <c r="B41" s="90">
        <v>466</v>
      </c>
      <c r="C41" s="40">
        <f t="shared" si="7"/>
        <v>2.7110425391227766E-2</v>
      </c>
      <c r="D41" s="93">
        <v>24998.45</v>
      </c>
      <c r="E41" s="94">
        <f t="shared" si="8"/>
        <v>6.6047686429593355E-4</v>
      </c>
      <c r="F41" s="95">
        <v>23305.15</v>
      </c>
      <c r="G41" s="41">
        <f t="shared" si="3"/>
        <v>2.0538378856175488E-2</v>
      </c>
      <c r="I41" s="142"/>
      <c r="J41" s="142"/>
      <c r="K41" s="142"/>
      <c r="L41" s="142"/>
      <c r="M41" s="142"/>
      <c r="N41" s="142"/>
      <c r="O41" s="142"/>
      <c r="P41" s="131"/>
      <c r="Q41" s="131"/>
      <c r="R41" s="131"/>
      <c r="S41" s="131"/>
      <c r="W41" s="92">
        <v>45574</v>
      </c>
      <c r="X41" s="90">
        <v>453.7</v>
      </c>
      <c r="Y41" s="40">
        <f t="shared" si="6"/>
        <v>2.6470588235294024E-2</v>
      </c>
      <c r="AA41" s="92">
        <v>45383</v>
      </c>
      <c r="AB41" s="90">
        <v>405.85</v>
      </c>
      <c r="AC41" s="40">
        <f t="shared" si="0"/>
        <v>3.3617725709919943E-2</v>
      </c>
      <c r="AE41" s="92">
        <v>45294</v>
      </c>
      <c r="AF41" s="90">
        <v>430.9</v>
      </c>
      <c r="AG41" s="40">
        <f t="shared" si="1"/>
        <v>-1.0562571756601691E-2</v>
      </c>
    </row>
    <row r="42" spans="1:33" ht="15" customHeight="1">
      <c r="A42" s="92">
        <v>45574</v>
      </c>
      <c r="B42" s="90">
        <v>453.7</v>
      </c>
      <c r="C42" s="40">
        <f t="shared" si="7"/>
        <v>2.6470588235294024E-2</v>
      </c>
      <c r="D42" s="93">
        <v>24981.95</v>
      </c>
      <c r="E42" s="94">
        <f t="shared" si="8"/>
        <v>-1.2473438971101203E-3</v>
      </c>
      <c r="F42" s="95">
        <v>23783.8</v>
      </c>
      <c r="G42" s="41">
        <f t="shared" si="3"/>
        <v>-2.0007315904102763E-2</v>
      </c>
      <c r="I42" s="143"/>
      <c r="J42" s="143"/>
      <c r="K42" s="143"/>
      <c r="L42" s="143"/>
      <c r="M42" s="143"/>
      <c r="N42" s="143"/>
      <c r="O42" s="143"/>
      <c r="P42" s="141"/>
      <c r="Q42" s="141"/>
      <c r="R42" s="141"/>
      <c r="S42" s="141"/>
      <c r="W42" s="92">
        <v>45573</v>
      </c>
      <c r="X42" s="90">
        <v>442</v>
      </c>
      <c r="Y42" s="40">
        <f t="shared" si="6"/>
        <v>2.5522041763341052E-2</v>
      </c>
      <c r="AA42" s="92">
        <v>45379</v>
      </c>
      <c r="AB42" s="90">
        <v>392.65</v>
      </c>
      <c r="AC42" s="40">
        <f t="shared" si="0"/>
        <v>-8.9058524173035725E-4</v>
      </c>
      <c r="AE42" s="92">
        <v>45293</v>
      </c>
      <c r="AF42" s="90">
        <v>435.5</v>
      </c>
      <c r="AG42" s="40">
        <f t="shared" si="1"/>
        <v>8.1018518518518601E-3</v>
      </c>
    </row>
    <row r="43" spans="1:33" ht="15" customHeight="1">
      <c r="A43" s="92">
        <v>45573</v>
      </c>
      <c r="B43" s="90">
        <v>442</v>
      </c>
      <c r="C43" s="40">
        <f t="shared" si="7"/>
        <v>2.5522041763341052E-2</v>
      </c>
      <c r="D43" s="93">
        <v>25013.15</v>
      </c>
      <c r="E43" s="94">
        <f t="shared" si="8"/>
        <v>8.7676315497615676E-3</v>
      </c>
      <c r="F43" s="95">
        <v>23307.95</v>
      </c>
      <c r="G43" s="41">
        <f t="shared" si="3"/>
        <v>-1.4164694878786022E-2</v>
      </c>
      <c r="I43" s="143"/>
      <c r="J43" s="143"/>
      <c r="K43" s="143"/>
      <c r="L43" s="143"/>
      <c r="M43" s="143"/>
      <c r="N43" s="143"/>
      <c r="O43" s="143"/>
      <c r="P43" s="141"/>
      <c r="Q43" s="141"/>
      <c r="R43" s="141"/>
      <c r="S43" s="141"/>
      <c r="W43" s="92">
        <v>45572</v>
      </c>
      <c r="X43" s="90">
        <v>431</v>
      </c>
      <c r="Y43" s="40">
        <f t="shared" si="6"/>
        <v>-3.124297594965153E-2</v>
      </c>
      <c r="AA43" s="92">
        <v>45378</v>
      </c>
      <c r="AB43" s="90">
        <v>393</v>
      </c>
      <c r="AC43" s="40">
        <f t="shared" si="0"/>
        <v>-1.1445101245126432E-2</v>
      </c>
      <c r="AE43" s="92">
        <v>45292</v>
      </c>
      <c r="AF43" s="90">
        <v>432</v>
      </c>
      <c r="AG43" s="40">
        <f t="shared" si="1"/>
        <v>3.6008827970728241E-3</v>
      </c>
    </row>
    <row r="44" spans="1:33" ht="15" customHeight="1">
      <c r="A44" s="92">
        <v>45572</v>
      </c>
      <c r="B44" s="90">
        <v>431</v>
      </c>
      <c r="C44" s="40">
        <f t="shared" si="7"/>
        <v>-3.124297594965153E-2</v>
      </c>
      <c r="D44" s="93">
        <v>24795.75</v>
      </c>
      <c r="E44" s="94">
        <f t="shared" si="8"/>
        <v>-8.7488906478615514E-3</v>
      </c>
      <c r="F44" s="95">
        <v>22977.8</v>
      </c>
      <c r="G44" s="41">
        <f t="shared" si="3"/>
        <v>5.0875192577184425E-3</v>
      </c>
      <c r="I44" s="143"/>
      <c r="J44" s="143"/>
      <c r="K44" s="143"/>
      <c r="L44" s="143"/>
      <c r="M44" s="143"/>
      <c r="N44" s="143"/>
      <c r="O44" s="143"/>
      <c r="P44" s="141"/>
      <c r="Q44" s="141"/>
      <c r="R44" s="141"/>
      <c r="S44" s="141"/>
      <c r="W44" s="92">
        <v>45569</v>
      </c>
      <c r="X44" s="90">
        <v>444.9</v>
      </c>
      <c r="Y44" s="40">
        <f t="shared" si="6"/>
        <v>-3.2720947929122723E-2</v>
      </c>
      <c r="AA44" s="92">
        <v>45377</v>
      </c>
      <c r="AB44" s="90">
        <v>397.55</v>
      </c>
      <c r="AC44" s="40">
        <f t="shared" si="0"/>
        <v>-1.0051514009297158E-3</v>
      </c>
      <c r="AE44" s="92">
        <v>45289</v>
      </c>
      <c r="AF44" s="90">
        <v>430.45</v>
      </c>
      <c r="AG44" s="40">
        <f t="shared" si="1"/>
        <v>7.2540072540072664E-3</v>
      </c>
    </row>
    <row r="45" spans="1:33" ht="15" customHeight="1">
      <c r="A45" s="92">
        <v>45569</v>
      </c>
      <c r="B45" s="90">
        <v>444.9</v>
      </c>
      <c r="C45" s="40">
        <f t="shared" si="7"/>
        <v>-3.2720947929122723E-2</v>
      </c>
      <c r="D45" s="93">
        <v>25014.6</v>
      </c>
      <c r="E45" s="94">
        <f t="shared" si="8"/>
        <v>-9.3266957358584257E-3</v>
      </c>
      <c r="F45" s="95">
        <v>23094.7</v>
      </c>
      <c r="G45" s="41">
        <f t="shared" si="3"/>
        <v>3.6393631439246565E-3</v>
      </c>
      <c r="I45" s="143"/>
      <c r="J45" s="143"/>
      <c r="K45" s="143"/>
      <c r="L45" s="143"/>
      <c r="M45" s="143"/>
      <c r="N45" s="143"/>
      <c r="O45" s="143"/>
      <c r="P45" s="141"/>
      <c r="Q45" s="141"/>
      <c r="R45" s="141"/>
      <c r="S45" s="141"/>
      <c r="W45" s="92">
        <v>45568</v>
      </c>
      <c r="X45" s="90">
        <v>459.95</v>
      </c>
      <c r="Y45" s="40">
        <f t="shared" si="6"/>
        <v>-1.7095843573031289E-2</v>
      </c>
      <c r="AA45" s="92">
        <v>45373</v>
      </c>
      <c r="AB45" s="90">
        <v>397.95</v>
      </c>
      <c r="AC45" s="40">
        <f t="shared" si="0"/>
        <v>3.6328125000000044E-2</v>
      </c>
      <c r="AE45" s="92">
        <v>45288</v>
      </c>
      <c r="AF45" s="90">
        <v>427.35</v>
      </c>
      <c r="AG45" s="40">
        <f t="shared" si="1"/>
        <v>-9.6176129779836916E-3</v>
      </c>
    </row>
    <row r="46" spans="1:33" ht="15" customHeight="1">
      <c r="A46" s="92">
        <v>45568</v>
      </c>
      <c r="B46" s="90">
        <v>459.95</v>
      </c>
      <c r="C46" s="40">
        <f t="shared" si="7"/>
        <v>-1.7095843573031289E-2</v>
      </c>
      <c r="D46" s="93">
        <v>25250.1</v>
      </c>
      <c r="E46" s="94">
        <f t="shared" si="8"/>
        <v>-2.1196345297303298E-2</v>
      </c>
      <c r="F46" s="95">
        <v>23178.75</v>
      </c>
      <c r="G46" s="41">
        <f t="shared" si="3"/>
        <v>5.0822412770317182E-3</v>
      </c>
      <c r="I46" s="143"/>
      <c r="J46" s="143"/>
      <c r="K46" s="143"/>
      <c r="L46" s="143"/>
      <c r="M46" s="143"/>
      <c r="N46" s="143"/>
      <c r="O46" s="143"/>
      <c r="P46" s="141"/>
      <c r="Q46" s="141"/>
      <c r="R46" s="141"/>
      <c r="S46" s="141"/>
      <c r="W46" s="92">
        <v>45566</v>
      </c>
      <c r="X46" s="90">
        <v>467.95</v>
      </c>
      <c r="Y46" s="40">
        <f t="shared" si="6"/>
        <v>1.5736922075103132E-2</v>
      </c>
      <c r="AA46" s="92">
        <v>45372</v>
      </c>
      <c r="AB46" s="90">
        <v>384</v>
      </c>
      <c r="AC46" s="40">
        <f t="shared" si="0"/>
        <v>1.1591148577449806E-2</v>
      </c>
      <c r="AE46" s="92">
        <v>45287</v>
      </c>
      <c r="AF46" s="90">
        <v>431.5</v>
      </c>
      <c r="AG46" s="40">
        <f t="shared" si="1"/>
        <v>-8.0459770114942319E-3</v>
      </c>
    </row>
    <row r="47" spans="1:33" ht="15" customHeight="1">
      <c r="A47" s="92">
        <v>45566</v>
      </c>
      <c r="B47" s="90">
        <v>467.95</v>
      </c>
      <c r="C47" s="40">
        <f t="shared" si="7"/>
        <v>1.5736922075103132E-2</v>
      </c>
      <c r="D47" s="93">
        <v>25796.9</v>
      </c>
      <c r="E47" s="94">
        <f t="shared" si="8"/>
        <v>-5.4047038357885047E-4</v>
      </c>
      <c r="F47" s="95">
        <v>23296.55</v>
      </c>
      <c r="G47" s="41">
        <f t="shared" si="3"/>
        <v>-6.5889584509293275E-4</v>
      </c>
      <c r="I47" s="143"/>
      <c r="J47" s="143"/>
      <c r="K47" s="143"/>
      <c r="L47" s="143"/>
      <c r="M47" s="143"/>
      <c r="N47" s="143"/>
      <c r="O47" s="143"/>
      <c r="P47" s="141"/>
      <c r="Q47" s="141"/>
      <c r="R47" s="141"/>
      <c r="S47" s="141"/>
      <c r="W47" s="92">
        <v>45565</v>
      </c>
      <c r="X47" s="90">
        <v>460.7</v>
      </c>
      <c r="Y47" s="40">
        <f t="shared" si="6"/>
        <v>-1.3490364025695922E-2</v>
      </c>
      <c r="AA47" s="92">
        <v>45371</v>
      </c>
      <c r="AB47" s="90">
        <v>379.6</v>
      </c>
      <c r="AC47" s="40">
        <f t="shared" si="0"/>
        <v>-2.1649484536082397E-2</v>
      </c>
      <c r="AE47" s="92">
        <v>45286</v>
      </c>
      <c r="AF47" s="90">
        <v>435</v>
      </c>
      <c r="AG47" s="40">
        <f t="shared" si="1"/>
        <v>4.6176046176046093E-2</v>
      </c>
    </row>
    <row r="48" spans="1:33" ht="15" customHeight="1">
      <c r="A48" s="92">
        <v>45565</v>
      </c>
      <c r="B48" s="90">
        <v>460.7</v>
      </c>
      <c r="C48" s="40">
        <f t="shared" si="7"/>
        <v>-1.3490364025695922E-2</v>
      </c>
      <c r="D48" s="93">
        <v>25810.85</v>
      </c>
      <c r="E48" s="94">
        <f t="shared" si="8"/>
        <v>-1.4060915353747983E-2</v>
      </c>
      <c r="F48" s="95">
        <v>23281.200000000001</v>
      </c>
      <c r="G48" s="41">
        <f t="shared" si="3"/>
        <v>1.021854543580214E-2</v>
      </c>
      <c r="I48" s="143"/>
      <c r="J48" s="143"/>
      <c r="K48" s="143"/>
      <c r="L48" s="143"/>
      <c r="M48" s="143"/>
      <c r="N48" s="143"/>
      <c r="O48" s="143"/>
      <c r="P48" s="141"/>
      <c r="Q48" s="141"/>
      <c r="R48" s="141"/>
      <c r="S48" s="141"/>
      <c r="W48" s="92">
        <v>45562</v>
      </c>
      <c r="X48" s="90">
        <v>467</v>
      </c>
      <c r="Y48" s="40">
        <f t="shared" si="6"/>
        <v>7.5512405609492461E-3</v>
      </c>
      <c r="AA48" s="92">
        <v>45370</v>
      </c>
      <c r="AB48" s="90">
        <v>388</v>
      </c>
      <c r="AC48" s="40">
        <f t="shared" si="0"/>
        <v>-2.0325716449943187E-2</v>
      </c>
      <c r="AE48" s="92">
        <v>45282</v>
      </c>
      <c r="AF48" s="90">
        <v>415.8</v>
      </c>
      <c r="AG48" s="40">
        <f t="shared" si="1"/>
        <v>4.7751039435554921E-2</v>
      </c>
    </row>
    <row r="49" spans="1:33" ht="15" customHeight="1">
      <c r="A49" s="92">
        <v>45562</v>
      </c>
      <c r="B49" s="90">
        <v>467</v>
      </c>
      <c r="C49" s="40">
        <f t="shared" si="7"/>
        <v>7.5512405609492461E-3</v>
      </c>
      <c r="D49" s="93">
        <v>26178.95</v>
      </c>
      <c r="E49" s="94">
        <f t="shared" si="8"/>
        <v>-1.4151636116043198E-3</v>
      </c>
      <c r="F49" s="95">
        <v>23519.1</v>
      </c>
      <c r="G49" s="41">
        <f t="shared" si="3"/>
        <v>-1.1403497582815558E-2</v>
      </c>
      <c r="I49" s="143"/>
      <c r="J49" s="143"/>
      <c r="K49" s="143"/>
      <c r="L49" s="143"/>
      <c r="M49" s="143"/>
      <c r="N49" s="143"/>
      <c r="O49" s="143"/>
      <c r="P49" s="141"/>
      <c r="Q49" s="141"/>
      <c r="R49" s="141"/>
      <c r="S49" s="141"/>
      <c r="W49" s="92">
        <v>45561</v>
      </c>
      <c r="X49" s="90">
        <v>463.5</v>
      </c>
      <c r="Y49" s="40">
        <f t="shared" si="6"/>
        <v>7.3896978917626921E-3</v>
      </c>
      <c r="AA49" s="92">
        <v>45369</v>
      </c>
      <c r="AB49" s="90">
        <v>396.05</v>
      </c>
      <c r="AC49" s="40">
        <f t="shared" si="0"/>
        <v>-9.1318488866649616E-3</v>
      </c>
      <c r="AE49" s="92">
        <v>45281</v>
      </c>
      <c r="AF49" s="90">
        <v>396.85</v>
      </c>
      <c r="AG49" s="40">
        <f t="shared" si="1"/>
        <v>2.5054888286194066E-2</v>
      </c>
    </row>
    <row r="50" spans="1:33">
      <c r="A50" s="92">
        <v>45561</v>
      </c>
      <c r="B50" s="90">
        <v>463.5</v>
      </c>
      <c r="C50" s="40">
        <f t="shared" si="7"/>
        <v>7.3896978917626921E-3</v>
      </c>
      <c r="D50" s="93">
        <v>26216.05</v>
      </c>
      <c r="E50" s="94">
        <f t="shared" si="8"/>
        <v>8.1486993422204002E-3</v>
      </c>
      <c r="F50" s="95">
        <v>23250.9</v>
      </c>
      <c r="G50" s="41">
        <f t="shared" si="3"/>
        <v>-8.1717266858571946E-5</v>
      </c>
      <c r="W50" s="92">
        <v>45560</v>
      </c>
      <c r="X50" s="90">
        <v>460.1</v>
      </c>
      <c r="Y50" s="40">
        <f t="shared" si="6"/>
        <v>-1.9185674696226784E-2</v>
      </c>
      <c r="AA50" s="92">
        <v>45366</v>
      </c>
      <c r="AB50" s="90">
        <v>399.7</v>
      </c>
      <c r="AC50" s="40">
        <f t="shared" si="0"/>
        <v>-1.7482517482517723E-3</v>
      </c>
      <c r="AE50" s="92">
        <v>45280</v>
      </c>
      <c r="AF50" s="90">
        <v>387.15</v>
      </c>
      <c r="AG50" s="40">
        <f t="shared" si="1"/>
        <v>-2.7261306532663343E-2</v>
      </c>
    </row>
    <row r="51" spans="1:33" ht="30.75" customHeight="1">
      <c r="A51" s="92">
        <v>45560</v>
      </c>
      <c r="B51" s="90">
        <v>460.1</v>
      </c>
      <c r="C51" s="40">
        <f t="shared" si="7"/>
        <v>-1.9185674696226784E-2</v>
      </c>
      <c r="D51" s="93">
        <v>26004.15</v>
      </c>
      <c r="E51" s="94">
        <f t="shared" si="8"/>
        <v>2.4575565527131804E-3</v>
      </c>
      <c r="F51" s="95">
        <v>23249</v>
      </c>
      <c r="G51" s="41">
        <f t="shared" si="3"/>
        <v>-2.6065637231708072E-3</v>
      </c>
      <c r="I51" s="191"/>
      <c r="J51" s="115"/>
      <c r="K51" s="115"/>
      <c r="L51" s="115"/>
      <c r="M51" s="115"/>
      <c r="N51" s="115"/>
      <c r="O51" s="115"/>
      <c r="W51" s="92">
        <v>45559</v>
      </c>
      <c r="X51" s="90">
        <v>469.1</v>
      </c>
      <c r="Y51" s="40">
        <f t="shared" si="6"/>
        <v>-7.6158239898455049E-3</v>
      </c>
      <c r="AA51" s="92">
        <v>45365</v>
      </c>
      <c r="AB51" s="90">
        <v>400.4</v>
      </c>
      <c r="AC51" s="40">
        <f t="shared" si="0"/>
        <v>9.9999999999988987E-4</v>
      </c>
      <c r="AE51" s="92">
        <v>45279</v>
      </c>
      <c r="AF51" s="90">
        <v>398</v>
      </c>
      <c r="AG51" s="40">
        <f t="shared" si="1"/>
        <v>-2.5062656641604564E-3</v>
      </c>
    </row>
    <row r="52" spans="1:33" ht="14.45" customHeight="1">
      <c r="A52" s="92">
        <v>45559</v>
      </c>
      <c r="B52" s="90">
        <v>469.1</v>
      </c>
      <c r="C52" s="40">
        <f t="shared" si="7"/>
        <v>-7.6158239898455049E-3</v>
      </c>
      <c r="D52" s="93">
        <v>25940.400000000001</v>
      </c>
      <c r="E52" s="94">
        <f t="shared" si="8"/>
        <v>5.2045082607143911E-5</v>
      </c>
      <c r="F52" s="95">
        <v>23188.400000000001</v>
      </c>
      <c r="G52" s="41">
        <f t="shared" si="3"/>
        <v>-2.3352193338048721E-3</v>
      </c>
      <c r="I52" s="115"/>
      <c r="J52" s="115"/>
      <c r="K52" s="115"/>
      <c r="L52" s="115"/>
      <c r="M52" s="115"/>
      <c r="N52" s="115"/>
      <c r="O52" s="115"/>
      <c r="W52" s="92">
        <v>45558</v>
      </c>
      <c r="X52" s="90">
        <v>472.7</v>
      </c>
      <c r="Y52" s="40">
        <f t="shared" si="6"/>
        <v>1.1122994652406293E-2</v>
      </c>
      <c r="AA52" s="92">
        <v>45364</v>
      </c>
      <c r="AB52" s="90">
        <v>400</v>
      </c>
      <c r="AC52" s="40">
        <f t="shared" si="0"/>
        <v>-2.7000729749452779E-2</v>
      </c>
      <c r="AE52" s="92">
        <v>45278</v>
      </c>
      <c r="AF52" s="90">
        <v>399</v>
      </c>
      <c r="AG52" s="40">
        <f t="shared" si="1"/>
        <v>3.2608695652174058E-2</v>
      </c>
    </row>
    <row r="53" spans="1:33" ht="14.45" customHeight="1">
      <c r="A53" s="92">
        <v>45558</v>
      </c>
      <c r="B53" s="90">
        <v>472.7</v>
      </c>
      <c r="C53" s="40">
        <f t="shared" si="7"/>
        <v>1.1122994652406293E-2</v>
      </c>
      <c r="D53" s="93">
        <v>25939.05</v>
      </c>
      <c r="E53" s="94">
        <f t="shared" si="8"/>
        <v>5.7423243424534753E-3</v>
      </c>
      <c r="F53" s="95">
        <v>23134.25</v>
      </c>
      <c r="G53" s="41">
        <f t="shared" si="3"/>
        <v>-5.5761479192106833E-3</v>
      </c>
      <c r="I53" s="115"/>
      <c r="J53" s="115"/>
      <c r="K53" s="115"/>
      <c r="L53" s="115"/>
      <c r="M53" s="115"/>
      <c r="N53" s="115"/>
      <c r="O53" s="115"/>
      <c r="W53" s="92">
        <v>45555</v>
      </c>
      <c r="X53" s="90">
        <v>467.5</v>
      </c>
      <c r="Y53" s="40">
        <f t="shared" si="6"/>
        <v>-7.7470020163429298E-3</v>
      </c>
      <c r="AA53" s="92">
        <v>45363</v>
      </c>
      <c r="AB53" s="90">
        <v>411.1</v>
      </c>
      <c r="AC53" s="40">
        <f t="shared" si="0"/>
        <v>1.4616321559075551E-3</v>
      </c>
      <c r="AE53" s="92">
        <v>45275</v>
      </c>
      <c r="AF53" s="90">
        <v>386.4</v>
      </c>
      <c r="AG53" s="40">
        <f t="shared" si="1"/>
        <v>1.0362694300518616E-3</v>
      </c>
    </row>
    <row r="54" spans="1:33">
      <c r="A54" s="92">
        <v>45555</v>
      </c>
      <c r="B54" s="90">
        <v>467.5</v>
      </c>
      <c r="C54" s="40">
        <f t="shared" si="7"/>
        <v>-7.7470020163429298E-3</v>
      </c>
      <c r="D54" s="93">
        <v>25790.95</v>
      </c>
      <c r="E54" s="94">
        <f t="shared" si="8"/>
        <v>1.4760503308965278E-2</v>
      </c>
      <c r="F54" s="95">
        <v>23005.25</v>
      </c>
      <c r="G54" s="41">
        <f t="shared" si="3"/>
        <v>-3.2644722400321236E-3</v>
      </c>
      <c r="I54" s="115"/>
      <c r="J54" s="115"/>
      <c r="K54" s="115"/>
      <c r="L54" s="115"/>
      <c r="M54" s="115"/>
      <c r="N54" s="115"/>
      <c r="O54" s="115"/>
      <c r="W54" s="92">
        <v>45554</v>
      </c>
      <c r="X54" s="90">
        <v>471.15</v>
      </c>
      <c r="Y54" s="40">
        <f t="shared" si="6"/>
        <v>-3.0056613484302663E-2</v>
      </c>
      <c r="AA54" s="92">
        <v>45362</v>
      </c>
      <c r="AB54" s="90">
        <v>410.5</v>
      </c>
      <c r="AC54" s="40">
        <f t="shared" si="0"/>
        <v>-2.4940617577197122E-2</v>
      </c>
      <c r="AE54" s="92">
        <v>45274</v>
      </c>
      <c r="AF54" s="90">
        <v>386</v>
      </c>
      <c r="AG54" s="40">
        <f t="shared" si="1"/>
        <v>1.1530398322851187E-2</v>
      </c>
    </row>
    <row r="55" spans="1:33">
      <c r="A55" s="92">
        <v>45554</v>
      </c>
      <c r="B55" s="90">
        <v>471.15</v>
      </c>
      <c r="C55" s="40">
        <f t="shared" si="7"/>
        <v>-3.0056613484302663E-2</v>
      </c>
      <c r="D55" s="93">
        <v>25415.8</v>
      </c>
      <c r="E55" s="94">
        <f t="shared" si="8"/>
        <v>1.5072376963103373E-3</v>
      </c>
      <c r="F55" s="95">
        <v>22930.15</v>
      </c>
      <c r="G55" s="41">
        <f t="shared" si="3"/>
        <v>4.1451974801733904E-3</v>
      </c>
      <c r="I55" s="115"/>
      <c r="J55" s="115"/>
      <c r="K55" s="115"/>
      <c r="L55" s="115"/>
      <c r="M55" s="115"/>
      <c r="N55" s="115"/>
      <c r="O55" s="115"/>
      <c r="W55" s="92">
        <v>45553</v>
      </c>
      <c r="X55" s="90">
        <v>485.75</v>
      </c>
      <c r="Y55" s="40">
        <f t="shared" si="6"/>
        <v>-2.9858198522069057E-2</v>
      </c>
      <c r="AA55" s="92">
        <v>45358</v>
      </c>
      <c r="AB55" s="90">
        <v>421</v>
      </c>
      <c r="AC55" s="40">
        <f t="shared" si="0"/>
        <v>2.2465088038858605E-2</v>
      </c>
      <c r="AE55" s="92">
        <v>45273</v>
      </c>
      <c r="AF55" s="90">
        <v>381.6</v>
      </c>
      <c r="AG55" s="40">
        <f t="shared" si="1"/>
        <v>-2.1914648212225996E-2</v>
      </c>
    </row>
    <row r="56" spans="1:33">
      <c r="A56" s="92">
        <v>45553</v>
      </c>
      <c r="B56" s="90">
        <v>485.75</v>
      </c>
      <c r="C56" s="40">
        <f t="shared" si="7"/>
        <v>-2.9858198522069057E-2</v>
      </c>
      <c r="D56" s="93">
        <v>25377.55</v>
      </c>
      <c r="E56" s="94">
        <f t="shared" si="8"/>
        <v>-1.6129952337957665E-3</v>
      </c>
      <c r="F56" s="95">
        <v>23025.200000000001</v>
      </c>
      <c r="G56" s="41">
        <f t="shared" si="3"/>
        <v>1.5567725796084231E-2</v>
      </c>
      <c r="I56" s="115"/>
      <c r="J56" s="115"/>
      <c r="K56" s="115"/>
      <c r="L56" s="115"/>
      <c r="M56" s="115"/>
      <c r="N56" s="115"/>
      <c r="O56" s="115"/>
      <c r="W56" s="92">
        <v>45552</v>
      </c>
      <c r="X56" s="90">
        <v>500.7</v>
      </c>
      <c r="Y56" s="40">
        <f t="shared" si="6"/>
        <v>-6.3504663623734636E-3</v>
      </c>
      <c r="AA56" s="92">
        <v>45357</v>
      </c>
      <c r="AB56" s="90">
        <v>411.75</v>
      </c>
      <c r="AC56" s="40">
        <f t="shared" si="0"/>
        <v>-2.1506653992395486E-2</v>
      </c>
      <c r="AE56" s="92">
        <v>45272</v>
      </c>
      <c r="AF56" s="90">
        <v>390.15</v>
      </c>
      <c r="AG56" s="40">
        <f t="shared" si="1"/>
        <v>-1.9186492709132308E-3</v>
      </c>
    </row>
    <row r="57" spans="1:33">
      <c r="A57" s="92">
        <v>45552</v>
      </c>
      <c r="B57" s="90">
        <v>500.7</v>
      </c>
      <c r="C57" s="40">
        <f t="shared" si="7"/>
        <v>-6.3504663623734636E-3</v>
      </c>
      <c r="D57" s="93">
        <v>25418.55</v>
      </c>
      <c r="E57" s="94">
        <f t="shared" si="8"/>
        <v>1.3709558280394774E-3</v>
      </c>
      <c r="F57" s="95">
        <v>23383.65</v>
      </c>
      <c r="G57" s="41">
        <f t="shared" si="3"/>
        <v>2.7839965103821918E-3</v>
      </c>
      <c r="I57" s="115"/>
      <c r="J57" s="115"/>
      <c r="K57" s="115"/>
      <c r="L57" s="115"/>
      <c r="M57" s="115"/>
      <c r="N57" s="115"/>
      <c r="O57" s="115"/>
      <c r="W57" s="92">
        <v>45551</v>
      </c>
      <c r="X57" s="90">
        <v>503.9</v>
      </c>
      <c r="Y57" s="40">
        <f t="shared" si="6"/>
        <v>-5.8202624050508467E-3</v>
      </c>
      <c r="AA57" s="92">
        <v>45356</v>
      </c>
      <c r="AB57" s="90">
        <v>420.8</v>
      </c>
      <c r="AC57" s="40">
        <f t="shared" si="0"/>
        <v>6.4577852188472118E-3</v>
      </c>
      <c r="AE57" s="92">
        <v>45271</v>
      </c>
      <c r="AF57" s="90">
        <v>390.9</v>
      </c>
      <c r="AG57" s="40">
        <f t="shared" si="1"/>
        <v>1.5456552799064882E-2</v>
      </c>
    </row>
    <row r="58" spans="1:33">
      <c r="A58" s="92">
        <v>45551</v>
      </c>
      <c r="B58" s="90">
        <v>503.9</v>
      </c>
      <c r="C58" s="40">
        <f t="shared" si="7"/>
        <v>-5.8202624050508467E-3</v>
      </c>
      <c r="D58" s="93">
        <v>25383.75</v>
      </c>
      <c r="E58" s="94">
        <f t="shared" si="8"/>
        <v>1.0746751326089488E-3</v>
      </c>
      <c r="F58" s="95">
        <v>23448.75</v>
      </c>
      <c r="G58" s="41">
        <f t="shared" si="3"/>
        <v>3.7955114878207574E-4</v>
      </c>
      <c r="I58" s="115"/>
      <c r="J58" s="115"/>
      <c r="K58" s="115"/>
      <c r="L58" s="115"/>
      <c r="M58" s="115"/>
      <c r="N58" s="115"/>
      <c r="O58" s="115"/>
      <c r="W58" s="92">
        <v>45548</v>
      </c>
      <c r="X58" s="90">
        <v>506.85</v>
      </c>
      <c r="Y58" s="40">
        <f t="shared" si="6"/>
        <v>1.9733596447957247E-4</v>
      </c>
      <c r="AA58" s="92">
        <v>45355</v>
      </c>
      <c r="AB58" s="90">
        <v>418.1</v>
      </c>
      <c r="AC58" s="40">
        <f t="shared" si="0"/>
        <v>2.2499388603570702E-2</v>
      </c>
      <c r="AE58" s="92">
        <v>45268</v>
      </c>
      <c r="AF58" s="90">
        <v>384.95</v>
      </c>
      <c r="AG58" s="40">
        <f t="shared" si="1"/>
        <v>-1.2948717948717992E-2</v>
      </c>
    </row>
    <row r="59" spans="1:33">
      <c r="A59" s="92">
        <v>45548</v>
      </c>
      <c r="B59" s="90">
        <v>506.85</v>
      </c>
      <c r="C59" s="40">
        <f t="shared" si="7"/>
        <v>1.9733596447957247E-4</v>
      </c>
      <c r="D59" s="93">
        <v>25356.5</v>
      </c>
      <c r="E59" s="94">
        <f t="shared" si="8"/>
        <v>-1.276148238009589E-3</v>
      </c>
      <c r="F59" s="95">
        <v>23457.65</v>
      </c>
      <c r="G59" s="41">
        <f t="shared" si="3"/>
        <v>-1.1957719549913204E-3</v>
      </c>
      <c r="W59" s="92">
        <v>45547</v>
      </c>
      <c r="X59" s="90">
        <v>506.75</v>
      </c>
      <c r="Y59" s="40">
        <f t="shared" si="6"/>
        <v>9.8765432098768535E-4</v>
      </c>
      <c r="AA59" s="92">
        <v>45353</v>
      </c>
      <c r="AB59" s="90">
        <v>408.9</v>
      </c>
      <c r="AC59" s="40">
        <f t="shared" si="0"/>
        <v>-2.6829268292682951E-3</v>
      </c>
      <c r="AE59" s="92">
        <v>45267</v>
      </c>
      <c r="AF59" s="90">
        <v>390</v>
      </c>
      <c r="AG59" s="40">
        <f t="shared" si="1"/>
        <v>2.9023746701847042E-2</v>
      </c>
    </row>
    <row r="60" spans="1:33">
      <c r="A60" s="92">
        <v>45547</v>
      </c>
      <c r="B60" s="90">
        <v>506.75</v>
      </c>
      <c r="C60" s="40">
        <f t="shared" si="7"/>
        <v>9.8765432098768535E-4</v>
      </c>
      <c r="D60" s="93">
        <v>25388.9</v>
      </c>
      <c r="E60" s="94">
        <f t="shared" si="8"/>
        <v>1.8879585206944993E-2</v>
      </c>
      <c r="F60" s="95">
        <v>23429.599999999999</v>
      </c>
      <c r="G60" s="41">
        <f t="shared" si="3"/>
        <v>-8.928876293235799E-3</v>
      </c>
      <c r="W60" s="92">
        <v>45546</v>
      </c>
      <c r="X60" s="90">
        <v>506.25</v>
      </c>
      <c r="Y60" s="40">
        <f t="shared" si="6"/>
        <v>-1.4792899408283544E-3</v>
      </c>
      <c r="AA60" s="92">
        <v>45352</v>
      </c>
      <c r="AB60" s="90">
        <v>410</v>
      </c>
      <c r="AC60" s="40">
        <f t="shared" si="0"/>
        <v>4.9019607843137081E-3</v>
      </c>
      <c r="AE60" s="92">
        <v>45266</v>
      </c>
      <c r="AF60" s="90">
        <v>379</v>
      </c>
      <c r="AG60" s="40">
        <f t="shared" si="1"/>
        <v>7.9787234042554278E-3</v>
      </c>
    </row>
    <row r="61" spans="1:33">
      <c r="A61" s="92">
        <v>45546</v>
      </c>
      <c r="B61" s="90">
        <v>506.25</v>
      </c>
      <c r="C61" s="40">
        <f t="shared" si="7"/>
        <v>-1.4792899408283544E-3</v>
      </c>
      <c r="D61" s="93">
        <v>24918.45</v>
      </c>
      <c r="E61" s="94">
        <f t="shared" si="8"/>
        <v>-4.8979477738596566E-3</v>
      </c>
      <c r="F61" s="95">
        <v>23220.400000000001</v>
      </c>
      <c r="G61" s="41">
        <f t="shared" si="3"/>
        <v>1.5697404006820292E-3</v>
      </c>
      <c r="W61" s="92">
        <v>45545</v>
      </c>
      <c r="X61" s="90">
        <v>507</v>
      </c>
      <c r="Y61" s="40">
        <f t="shared" si="6"/>
        <v>3.0592539892265513E-2</v>
      </c>
      <c r="AA61" s="92">
        <v>45351</v>
      </c>
      <c r="AB61" s="90">
        <v>408</v>
      </c>
      <c r="AC61" s="40">
        <f t="shared" si="0"/>
        <v>4.9261083743843415E-3</v>
      </c>
      <c r="AE61" s="92">
        <v>45265</v>
      </c>
      <c r="AF61" s="90">
        <v>376</v>
      </c>
      <c r="AG61" s="40">
        <f t="shared" si="1"/>
        <v>-1.0005265929436624E-2</v>
      </c>
    </row>
    <row r="62" spans="1:33">
      <c r="A62" s="92">
        <v>45545</v>
      </c>
      <c r="B62" s="90">
        <v>507</v>
      </c>
      <c r="C62" s="40">
        <f t="shared" si="7"/>
        <v>3.0592539892265513E-2</v>
      </c>
      <c r="D62" s="93">
        <v>25041.1</v>
      </c>
      <c r="E62" s="94">
        <f t="shared" si="8"/>
        <v>4.1986814455974297E-3</v>
      </c>
      <c r="F62" s="95">
        <v>23256.85</v>
      </c>
      <c r="G62" s="41">
        <f t="shared" si="3"/>
        <v>-1.0639875993524339E-2</v>
      </c>
      <c r="W62" s="92">
        <v>45544</v>
      </c>
      <c r="X62" s="90">
        <v>491.95</v>
      </c>
      <c r="Y62" s="40">
        <f t="shared" si="6"/>
        <v>1.9585492227979229E-2</v>
      </c>
      <c r="AA62" s="92">
        <v>45350</v>
      </c>
      <c r="AB62" s="90">
        <v>406</v>
      </c>
      <c r="AC62" s="40">
        <f t="shared" si="0"/>
        <v>1.3986013986013957E-2</v>
      </c>
      <c r="AE62" s="92">
        <v>45264</v>
      </c>
      <c r="AF62" s="90">
        <v>379.8</v>
      </c>
      <c r="AG62" s="40">
        <f t="shared" si="1"/>
        <v>5.8262711864407457E-3</v>
      </c>
    </row>
    <row r="63" spans="1:33">
      <c r="A63" s="92">
        <v>45544</v>
      </c>
      <c r="B63" s="90">
        <v>491.95</v>
      </c>
      <c r="C63" s="40">
        <f t="shared" si="7"/>
        <v>1.9585492227979229E-2</v>
      </c>
      <c r="D63" s="93">
        <v>24936.400000000001</v>
      </c>
      <c r="E63" s="94">
        <f t="shared" si="8"/>
        <v>3.3900487482974029E-3</v>
      </c>
      <c r="F63" s="95">
        <v>23009.4</v>
      </c>
      <c r="G63" s="41">
        <f t="shared" si="3"/>
        <v>1.4776569575911669E-3</v>
      </c>
      <c r="K63" s="2"/>
      <c r="W63" s="92">
        <v>45541</v>
      </c>
      <c r="X63" s="90">
        <v>482.5</v>
      </c>
      <c r="Y63" s="40">
        <f t="shared" si="6"/>
        <v>-9.2402464065708401E-3</v>
      </c>
      <c r="AA63" s="92">
        <v>45349</v>
      </c>
      <c r="AB63" s="90">
        <v>400.4</v>
      </c>
      <c r="AC63" s="40">
        <f t="shared" si="0"/>
        <v>1.1877685114985992E-2</v>
      </c>
      <c r="AE63" s="92">
        <v>45261</v>
      </c>
      <c r="AF63" s="90">
        <v>377.6</v>
      </c>
      <c r="AG63" s="40">
        <f t="shared" si="1"/>
        <v>-8.1428946677172265E-3</v>
      </c>
    </row>
    <row r="64" spans="1:33">
      <c r="A64" s="92">
        <v>45541</v>
      </c>
      <c r="B64" s="90">
        <v>482.5</v>
      </c>
      <c r="C64" s="40">
        <f t="shared" si="7"/>
        <v>-9.2402464065708401E-3</v>
      </c>
      <c r="D64" s="93">
        <v>24852.15</v>
      </c>
      <c r="E64" s="94">
        <f t="shared" si="8"/>
        <v>-1.16503811875871E-2</v>
      </c>
      <c r="F64" s="95">
        <v>23043.4</v>
      </c>
      <c r="G64" s="41">
        <f t="shared" si="3"/>
        <v>4.9168091514273371E-3</v>
      </c>
      <c r="K64" s="2"/>
      <c r="W64" s="92">
        <v>45540</v>
      </c>
      <c r="X64" s="90">
        <v>487</v>
      </c>
      <c r="Y64" s="40">
        <f t="shared" si="6"/>
        <v>2.4723829563387589E-2</v>
      </c>
      <c r="AA64" s="92">
        <v>45348</v>
      </c>
      <c r="AB64" s="90">
        <v>395.7</v>
      </c>
      <c r="AC64" s="40">
        <f t="shared" si="0"/>
        <v>-6.9017442590035838E-3</v>
      </c>
      <c r="AE64" s="92">
        <v>45260</v>
      </c>
      <c r="AF64" s="90">
        <v>380.7</v>
      </c>
      <c r="AG64" s="40">
        <f t="shared" si="1"/>
        <v>1.519999999999988E-2</v>
      </c>
    </row>
    <row r="65" spans="1:33">
      <c r="A65" s="92">
        <v>45540</v>
      </c>
      <c r="B65" s="90">
        <v>487</v>
      </c>
      <c r="C65" s="40">
        <f t="shared" si="7"/>
        <v>2.4723829563387589E-2</v>
      </c>
      <c r="D65" s="93">
        <v>25145.1</v>
      </c>
      <c r="E65" s="94">
        <f t="shared" si="8"/>
        <v>-2.127093858016571E-3</v>
      </c>
      <c r="F65" s="95">
        <v>23156.7</v>
      </c>
      <c r="G65" s="41">
        <f t="shared" si="3"/>
        <v>1.1961980765826663E-3</v>
      </c>
      <c r="K65" s="2"/>
      <c r="W65" s="92">
        <v>45539</v>
      </c>
      <c r="X65" s="90">
        <v>475.25</v>
      </c>
      <c r="Y65" s="40">
        <f t="shared" si="6"/>
        <v>1.0095642933049875E-2</v>
      </c>
      <c r="AA65" s="92">
        <v>45345</v>
      </c>
      <c r="AB65" s="90">
        <v>398.45</v>
      </c>
      <c r="AC65" s="40">
        <f t="shared" si="0"/>
        <v>-2.378567851777591E-3</v>
      </c>
      <c r="AE65" s="92">
        <v>45259</v>
      </c>
      <c r="AF65" s="90">
        <v>375</v>
      </c>
      <c r="AG65" s="40">
        <f t="shared" si="1"/>
        <v>1.1736139214892916E-2</v>
      </c>
    </row>
    <row r="66" spans="1:33">
      <c r="A66" s="92">
        <v>45539</v>
      </c>
      <c r="B66" s="90">
        <v>475.25</v>
      </c>
      <c r="C66" s="40">
        <f t="shared" si="7"/>
        <v>1.0095642933049875E-2</v>
      </c>
      <c r="D66" s="93">
        <v>25198.7</v>
      </c>
      <c r="E66" s="94">
        <f t="shared" si="8"/>
        <v>-3.2100665154262131E-3</v>
      </c>
      <c r="F66" s="95">
        <v>23184.400000000001</v>
      </c>
      <c r="G66" s="41">
        <f t="shared" si="3"/>
        <v>-7.336829937371725E-3</v>
      </c>
      <c r="K66" s="2"/>
      <c r="W66" s="92">
        <v>45538</v>
      </c>
      <c r="X66" s="90">
        <v>470.5</v>
      </c>
      <c r="Y66" s="40">
        <f t="shared" si="6"/>
        <v>2.0607375271149753E-2</v>
      </c>
      <c r="AA66" s="92">
        <v>45344</v>
      </c>
      <c r="AB66" s="90">
        <v>399.4</v>
      </c>
      <c r="AC66" s="40">
        <f t="shared" si="0"/>
        <v>9.9886205588570753E-3</v>
      </c>
      <c r="AE66" s="92">
        <v>45258</v>
      </c>
      <c r="AF66" s="90">
        <v>370.65</v>
      </c>
      <c r="AG66" s="40">
        <f t="shared" si="1"/>
        <v>-5.5004024684733865E-3</v>
      </c>
    </row>
    <row r="67" spans="1:33">
      <c r="A67" s="92">
        <v>45538</v>
      </c>
      <c r="B67" s="90">
        <v>470.5</v>
      </c>
      <c r="C67" s="40">
        <f t="shared" si="7"/>
        <v>2.0607375271149753E-2</v>
      </c>
      <c r="D67" s="93">
        <v>25279.85</v>
      </c>
      <c r="E67" s="94">
        <f t="shared" si="8"/>
        <v>4.5492845755390476E-5</v>
      </c>
      <c r="F67" s="95">
        <v>23014.3</v>
      </c>
      <c r="G67" s="41">
        <f t="shared" si="3"/>
        <v>-1.1666659424791614E-3</v>
      </c>
      <c r="K67" s="2"/>
      <c r="W67" s="92">
        <v>45537</v>
      </c>
      <c r="X67" s="90">
        <v>461</v>
      </c>
      <c r="Y67" s="40">
        <f t="shared" si="6"/>
        <v>-1.9982993197278809E-2</v>
      </c>
      <c r="AA67" s="92">
        <v>45343</v>
      </c>
      <c r="AB67" s="90">
        <v>395.45</v>
      </c>
      <c r="AC67" s="40">
        <f t="shared" si="0"/>
        <v>-1.7393465026711352E-2</v>
      </c>
      <c r="AE67" s="92">
        <v>45254</v>
      </c>
      <c r="AF67" s="90">
        <v>372.7</v>
      </c>
      <c r="AG67" s="40">
        <f t="shared" si="1"/>
        <v>8.6603518267929225E-3</v>
      </c>
    </row>
    <row r="68" spans="1:33">
      <c r="A68" s="92">
        <v>45537</v>
      </c>
      <c r="B68" s="90">
        <v>461</v>
      </c>
      <c r="C68" s="40">
        <f t="shared" si="7"/>
        <v>-1.9982993197278809E-2</v>
      </c>
      <c r="D68" s="93">
        <v>25278.7</v>
      </c>
      <c r="E68" s="94">
        <f t="shared" si="8"/>
        <v>1.6959965763059248E-3</v>
      </c>
      <c r="F68" s="95">
        <v>22987.45</v>
      </c>
      <c r="G68" s="41">
        <f t="shared" si="3"/>
        <v>1.0011984800401885E-2</v>
      </c>
      <c r="K68" s="2"/>
      <c r="W68" s="92">
        <v>45534</v>
      </c>
      <c r="X68" s="90">
        <v>470.4</v>
      </c>
      <c r="Y68" s="40">
        <f t="shared" si="6"/>
        <v>2.9096477794793074E-2</v>
      </c>
      <c r="AA68" s="92">
        <v>45342</v>
      </c>
      <c r="AB68" s="90">
        <v>402.45</v>
      </c>
      <c r="AC68" s="40">
        <f t="shared" si="0"/>
        <v>-1.0936347997050899E-2</v>
      </c>
      <c r="AE68" s="92">
        <v>45253</v>
      </c>
      <c r="AF68" s="90">
        <v>369.5</v>
      </c>
      <c r="AG68" s="40">
        <f t="shared" si="1"/>
        <v>-1.0841922098781986E-2</v>
      </c>
    </row>
    <row r="69" spans="1:33">
      <c r="A69" s="92">
        <v>45534</v>
      </c>
      <c r="B69" s="90">
        <v>470.4</v>
      </c>
      <c r="C69" s="40">
        <f t="shared" si="7"/>
        <v>2.9096477794793074E-2</v>
      </c>
      <c r="D69" s="93">
        <v>25235.9</v>
      </c>
      <c r="E69" s="94">
        <f t="shared" si="8"/>
        <v>3.3377133780880808E-3</v>
      </c>
      <c r="F69" s="95">
        <v>23217.599999999999</v>
      </c>
      <c r="G69" s="41">
        <f t="shared" si="3"/>
        <v>-1.4624681276273144E-2</v>
      </c>
      <c r="K69" s="2"/>
      <c r="W69" s="92">
        <v>45533</v>
      </c>
      <c r="X69" s="90">
        <v>457.1</v>
      </c>
      <c r="Y69" s="40">
        <f t="shared" si="6"/>
        <v>2.1881838074411242E-4</v>
      </c>
      <c r="AA69" s="92">
        <v>45341</v>
      </c>
      <c r="AB69" s="90">
        <v>406.9</v>
      </c>
      <c r="AC69" s="40">
        <f t="shared" si="0"/>
        <v>1.598002496878892E-2</v>
      </c>
      <c r="AE69" s="92">
        <v>45252</v>
      </c>
      <c r="AF69" s="90">
        <v>373.55</v>
      </c>
      <c r="AG69" s="40">
        <f t="shared" si="1"/>
        <v>-5.3511705685616029E-4</v>
      </c>
    </row>
    <row r="70" spans="1:33">
      <c r="A70" s="92">
        <v>45533</v>
      </c>
      <c r="B70" s="90">
        <v>457.1</v>
      </c>
      <c r="C70" s="40">
        <f t="shared" si="7"/>
        <v>2.1881838074411242E-4</v>
      </c>
      <c r="D70" s="93">
        <v>25151.95</v>
      </c>
      <c r="E70" s="94">
        <f t="shared" si="8"/>
        <v>3.975674936682605E-3</v>
      </c>
      <c r="F70" s="95">
        <v>22878.05</v>
      </c>
      <c r="G70" s="41">
        <f t="shared" si="3"/>
        <v>4.8539976090620218E-3</v>
      </c>
      <c r="K70" s="2"/>
      <c r="W70" s="92">
        <v>45532</v>
      </c>
      <c r="X70" s="90">
        <v>457</v>
      </c>
      <c r="Y70" s="40">
        <f t="shared" si="6"/>
        <v>7.2735287635001811E-3</v>
      </c>
      <c r="AA70" s="92">
        <v>45338</v>
      </c>
      <c r="AB70" s="90">
        <v>400.5</v>
      </c>
      <c r="AC70" s="40">
        <f t="shared" si="0"/>
        <v>2.1423106350420662E-2</v>
      </c>
      <c r="AE70" s="92">
        <v>45251</v>
      </c>
      <c r="AF70" s="90">
        <v>373.75</v>
      </c>
      <c r="AG70" s="40">
        <f t="shared" si="1"/>
        <v>1.5625E-2</v>
      </c>
    </row>
    <row r="71" spans="1:33">
      <c r="A71" s="92">
        <v>45532</v>
      </c>
      <c r="B71" s="90">
        <v>457</v>
      </c>
      <c r="C71" s="40">
        <f t="shared" si="7"/>
        <v>7.2735287635001811E-3</v>
      </c>
      <c r="D71" s="93">
        <v>25052.35</v>
      </c>
      <c r="E71" s="94">
        <f t="shared" si="8"/>
        <v>1.3830180571794415E-3</v>
      </c>
      <c r="F71" s="95">
        <v>22989.1</v>
      </c>
      <c r="G71" s="41">
        <f t="shared" si="3"/>
        <v>-1.1314057531612742E-2</v>
      </c>
      <c r="K71" s="2"/>
      <c r="W71" s="92">
        <v>45531</v>
      </c>
      <c r="X71" s="90">
        <v>453.7</v>
      </c>
      <c r="Y71" s="40">
        <f t="shared" si="6"/>
        <v>1.2723214285714324E-2</v>
      </c>
      <c r="AA71" s="92">
        <v>45337</v>
      </c>
      <c r="AB71" s="90">
        <v>392.1</v>
      </c>
      <c r="AC71" s="40">
        <f t="shared" si="0"/>
        <v>1.2753475322035968E-4</v>
      </c>
      <c r="AE71" s="92">
        <v>45250</v>
      </c>
      <c r="AF71" s="90">
        <v>368</v>
      </c>
      <c r="AG71" s="40"/>
    </row>
    <row r="72" spans="1:33">
      <c r="A72" s="92">
        <v>45531</v>
      </c>
      <c r="B72" s="90">
        <v>453.7</v>
      </c>
      <c r="C72" s="40">
        <f t="shared" si="7"/>
        <v>1.2723214285714324E-2</v>
      </c>
      <c r="D72" s="93">
        <v>25017.75</v>
      </c>
      <c r="E72" s="94">
        <f t="shared" si="8"/>
        <v>2.8587878739427808E-4</v>
      </c>
      <c r="F72" s="95">
        <v>22729</v>
      </c>
      <c r="G72" s="41">
        <f t="shared" si="3"/>
        <v>-7.6576180210303768E-3</v>
      </c>
      <c r="K72" s="2"/>
      <c r="W72" s="92">
        <v>45530</v>
      </c>
      <c r="X72" s="90">
        <v>448</v>
      </c>
      <c r="Y72" s="40">
        <f t="shared" si="6"/>
        <v>4.484304932735439E-3</v>
      </c>
      <c r="AA72" s="92">
        <v>45336</v>
      </c>
      <c r="AB72" s="90">
        <v>392.05</v>
      </c>
      <c r="AC72" s="40">
        <f t="shared" ref="AC72:AC130" si="9">AB72/AB73-1</f>
        <v>-2.4173027989821128E-3</v>
      </c>
    </row>
    <row r="73" spans="1:33">
      <c r="A73" s="92">
        <v>45530</v>
      </c>
      <c r="B73" s="90">
        <v>448</v>
      </c>
      <c r="C73" s="40">
        <f t="shared" si="7"/>
        <v>4.484304932735439E-3</v>
      </c>
      <c r="D73" s="93">
        <v>25010.6</v>
      </c>
      <c r="E73" s="94">
        <f t="shared" si="8"/>
        <v>7.5514187361394036E-3</v>
      </c>
      <c r="F73" s="95">
        <v>22554.95</v>
      </c>
      <c r="G73" s="41">
        <f t="shared" ref="G73:G136" si="10">F74/F73-1</f>
        <v>-1.2015100898029596E-3</v>
      </c>
      <c r="K73" s="2"/>
      <c r="W73" s="92">
        <v>45527</v>
      </c>
      <c r="X73" s="90">
        <v>446</v>
      </c>
      <c r="Y73" s="40">
        <f t="shared" ref="Y73:Y136" si="11">X73/X74-1</f>
        <v>-7.5656430796616769E-3</v>
      </c>
      <c r="AA73" s="92">
        <v>45335</v>
      </c>
      <c r="AB73" s="90">
        <v>393</v>
      </c>
      <c r="AC73" s="40">
        <f t="shared" si="9"/>
        <v>2.2953328232593329E-3</v>
      </c>
    </row>
    <row r="74" spans="1:33">
      <c r="A74" s="92">
        <v>45527</v>
      </c>
      <c r="B74" s="90">
        <v>446</v>
      </c>
      <c r="C74" s="40">
        <f t="shared" ref="C74:C137" si="12">B74/B75-1</f>
        <v>-7.5656430796616769E-3</v>
      </c>
      <c r="D74" s="93">
        <v>24823.15</v>
      </c>
      <c r="E74" s="94">
        <f t="shared" ref="E74:E137" si="13">D74/D75-1</f>
        <v>4.6954033411927831E-4</v>
      </c>
      <c r="F74" s="95">
        <v>22527.85</v>
      </c>
      <c r="G74" s="41">
        <f t="shared" si="10"/>
        <v>8.1010837696449123E-4</v>
      </c>
      <c r="K74" s="2"/>
      <c r="W74" s="92">
        <v>45526</v>
      </c>
      <c r="X74" s="90">
        <v>449.4</v>
      </c>
      <c r="Y74" s="40">
        <f t="shared" si="11"/>
        <v>5.5940926381741196E-3</v>
      </c>
      <c r="AA74" s="92">
        <v>45334</v>
      </c>
      <c r="AB74" s="90">
        <v>392.1</v>
      </c>
      <c r="AC74" s="40">
        <f t="shared" si="9"/>
        <v>2.3006134969325576E-3</v>
      </c>
    </row>
    <row r="75" spans="1:33">
      <c r="A75" s="92">
        <v>45526</v>
      </c>
      <c r="B75" s="90">
        <v>449.4</v>
      </c>
      <c r="C75" s="40">
        <f t="shared" si="12"/>
        <v>5.5940926381741196E-3</v>
      </c>
      <c r="D75" s="93">
        <v>24811.5</v>
      </c>
      <c r="E75" s="94">
        <f t="shared" si="13"/>
        <v>1.6673260611541618E-3</v>
      </c>
      <c r="F75" s="95">
        <v>22546.1</v>
      </c>
      <c r="G75" s="41">
        <f t="shared" si="10"/>
        <v>1.4104434913355668E-3</v>
      </c>
      <c r="K75" s="2"/>
      <c r="W75" s="92">
        <v>45525</v>
      </c>
      <c r="X75" s="90">
        <v>446.9</v>
      </c>
      <c r="Y75" s="40">
        <f t="shared" si="11"/>
        <v>2.3122710622710541E-2</v>
      </c>
      <c r="AA75" s="92">
        <v>45331</v>
      </c>
      <c r="AB75" s="90">
        <v>391.2</v>
      </c>
      <c r="AC75" s="40">
        <f t="shared" si="9"/>
        <v>-1.2121212121212199E-2</v>
      </c>
    </row>
    <row r="76" spans="1:33">
      <c r="A76" s="92">
        <v>45525</v>
      </c>
      <c r="B76" s="90">
        <v>446.9</v>
      </c>
      <c r="C76" s="40">
        <f t="shared" si="12"/>
        <v>2.3122710622710541E-2</v>
      </c>
      <c r="D76" s="93">
        <v>24770.2</v>
      </c>
      <c r="E76" s="94">
        <f t="shared" si="13"/>
        <v>2.888798466325504E-3</v>
      </c>
      <c r="F76" s="95">
        <v>22577.9</v>
      </c>
      <c r="G76" s="41">
        <f t="shared" si="10"/>
        <v>-9.0198822742594276E-3</v>
      </c>
      <c r="K76" s="2"/>
      <c r="W76" s="92">
        <v>45524</v>
      </c>
      <c r="X76" s="90">
        <v>436.8</v>
      </c>
      <c r="Y76" s="40">
        <f t="shared" si="11"/>
        <v>2.2946305644790943E-3</v>
      </c>
      <c r="AA76" s="92">
        <v>45330</v>
      </c>
      <c r="AB76" s="90">
        <v>396</v>
      </c>
      <c r="AC76" s="40">
        <f t="shared" si="9"/>
        <v>-7.5187969924812581E-3</v>
      </c>
    </row>
    <row r="77" spans="1:33">
      <c r="A77" s="92">
        <v>45524</v>
      </c>
      <c r="B77" s="90">
        <v>436.8</v>
      </c>
      <c r="C77" s="40">
        <f t="shared" si="12"/>
        <v>2.2946305644790943E-3</v>
      </c>
      <c r="D77" s="93">
        <v>24698.85</v>
      </c>
      <c r="E77" s="94">
        <f t="shared" si="13"/>
        <v>5.1357912150296059E-3</v>
      </c>
      <c r="F77" s="95">
        <v>22374.25</v>
      </c>
      <c r="G77" s="41">
        <f t="shared" si="10"/>
        <v>-6.0962937305161224E-3</v>
      </c>
      <c r="K77" s="2"/>
      <c r="W77" s="92">
        <v>45523</v>
      </c>
      <c r="X77" s="90">
        <v>435.8</v>
      </c>
      <c r="Y77" s="40">
        <f t="shared" si="11"/>
        <v>1.1371547922952141E-2</v>
      </c>
      <c r="AA77" s="92">
        <v>45329</v>
      </c>
      <c r="AB77" s="90">
        <v>399</v>
      </c>
      <c r="AC77" s="40">
        <f t="shared" si="9"/>
        <v>-2.2505626406601476E-3</v>
      </c>
    </row>
    <row r="78" spans="1:33">
      <c r="A78" s="92">
        <v>45523</v>
      </c>
      <c r="B78" s="90">
        <v>435.8</v>
      </c>
      <c r="C78" s="40">
        <f t="shared" si="12"/>
        <v>1.1371547922952141E-2</v>
      </c>
      <c r="D78" s="93">
        <v>24572.65</v>
      </c>
      <c r="E78" s="94">
        <f t="shared" si="13"/>
        <v>1.283558431450782E-3</v>
      </c>
      <c r="F78" s="95">
        <v>22237.85</v>
      </c>
      <c r="G78" s="41">
        <f t="shared" si="10"/>
        <v>-5.906596186232016E-3</v>
      </c>
      <c r="K78" s="2"/>
      <c r="W78" s="92">
        <v>45520</v>
      </c>
      <c r="X78" s="90">
        <v>430.9</v>
      </c>
      <c r="Y78" s="40">
        <f t="shared" si="11"/>
        <v>-4.2749855574812923E-3</v>
      </c>
      <c r="AA78" s="92">
        <v>45328</v>
      </c>
      <c r="AB78" s="90">
        <v>399.9</v>
      </c>
      <c r="AC78" s="40">
        <f t="shared" si="9"/>
        <v>3.4402483186756205E-2</v>
      </c>
    </row>
    <row r="79" spans="1:33">
      <c r="A79" s="92">
        <v>45520</v>
      </c>
      <c r="B79" s="90">
        <v>430.9</v>
      </c>
      <c r="C79" s="40">
        <f t="shared" si="12"/>
        <v>-4.2749855574812923E-3</v>
      </c>
      <c r="D79" s="93">
        <v>24541.15</v>
      </c>
      <c r="E79" s="94">
        <f t="shared" si="13"/>
        <v>1.6459746311157097E-2</v>
      </c>
      <c r="F79" s="95">
        <v>22106.5</v>
      </c>
      <c r="G79" s="41">
        <f t="shared" si="10"/>
        <v>-4.2430959220138842E-3</v>
      </c>
      <c r="K79" s="2"/>
      <c r="W79" s="92">
        <v>45518</v>
      </c>
      <c r="X79" s="90">
        <v>432.75</v>
      </c>
      <c r="Y79" s="40">
        <f t="shared" si="11"/>
        <v>3.0602524410574095E-2</v>
      </c>
      <c r="AA79" s="92">
        <v>45327</v>
      </c>
      <c r="AB79" s="90">
        <v>386.6</v>
      </c>
      <c r="AC79" s="40">
        <f t="shared" si="9"/>
        <v>-1.5031847133757936E-2</v>
      </c>
    </row>
    <row r="80" spans="1:33">
      <c r="A80" s="92">
        <v>45518</v>
      </c>
      <c r="B80" s="90">
        <v>432.75</v>
      </c>
      <c r="C80" s="40">
        <f t="shared" si="12"/>
        <v>3.0602524410574095E-2</v>
      </c>
      <c r="D80" s="93">
        <v>24143.75</v>
      </c>
      <c r="E80" s="94">
        <f t="shared" si="13"/>
        <v>1.9677699987563635E-4</v>
      </c>
      <c r="F80" s="95">
        <v>22012.7</v>
      </c>
      <c r="G80" s="41">
        <f t="shared" si="10"/>
        <v>8.1271266132731945E-3</v>
      </c>
      <c r="K80" s="2"/>
      <c r="W80" s="92">
        <v>45517</v>
      </c>
      <c r="X80" s="90">
        <v>419.9</v>
      </c>
      <c r="Y80" s="40">
        <f t="shared" si="11"/>
        <v>-1.4319248826291098E-2</v>
      </c>
      <c r="AA80" s="92">
        <v>45324</v>
      </c>
      <c r="AB80" s="90">
        <v>392.5</v>
      </c>
      <c r="AC80" s="40">
        <f t="shared" si="9"/>
        <v>7.572840456937513E-3</v>
      </c>
    </row>
    <row r="81" spans="1:29">
      <c r="A81" s="92">
        <v>45517</v>
      </c>
      <c r="B81" s="90">
        <v>419.9</v>
      </c>
      <c r="C81" s="40">
        <f t="shared" si="12"/>
        <v>-1.4319248826291098E-2</v>
      </c>
      <c r="D81" s="93">
        <v>24139</v>
      </c>
      <c r="E81" s="94">
        <f t="shared" si="13"/>
        <v>-8.5431469996303244E-3</v>
      </c>
      <c r="F81" s="95">
        <v>22191.599999999999</v>
      </c>
      <c r="G81" s="41">
        <f t="shared" si="10"/>
        <v>6.3086933794775923E-4</v>
      </c>
      <c r="K81" s="2"/>
      <c r="W81" s="92">
        <v>45516</v>
      </c>
      <c r="X81" s="90">
        <v>426</v>
      </c>
      <c r="Y81" s="40">
        <f t="shared" si="11"/>
        <v>1.4104372355430161E-3</v>
      </c>
      <c r="AA81" s="92">
        <v>45323</v>
      </c>
      <c r="AB81" s="90">
        <v>389.55</v>
      </c>
      <c r="AC81" s="40">
        <f t="shared" si="9"/>
        <v>2.3649980291683192E-2</v>
      </c>
    </row>
    <row r="82" spans="1:29">
      <c r="A82" s="92">
        <v>45516</v>
      </c>
      <c r="B82" s="90">
        <v>426</v>
      </c>
      <c r="C82" s="40">
        <f t="shared" si="12"/>
        <v>1.4104372355430161E-3</v>
      </c>
      <c r="D82" s="93">
        <v>24347</v>
      </c>
      <c r="E82" s="94">
        <f t="shared" si="13"/>
        <v>-8.4128449779419245E-4</v>
      </c>
      <c r="F82" s="95">
        <v>22205.599999999999</v>
      </c>
      <c r="G82" s="41">
        <f t="shared" si="10"/>
        <v>1.7788305652621794E-4</v>
      </c>
      <c r="K82" s="2"/>
      <c r="W82" s="92">
        <v>45513</v>
      </c>
      <c r="X82" s="90">
        <v>425.4</v>
      </c>
      <c r="Y82" s="40">
        <f t="shared" si="11"/>
        <v>-1.8911439114391193E-2</v>
      </c>
      <c r="AA82" s="92">
        <v>45322</v>
      </c>
      <c r="AB82" s="90">
        <v>380.55</v>
      </c>
      <c r="AC82" s="40">
        <f t="shared" si="9"/>
        <v>2.5879498584715055E-2</v>
      </c>
    </row>
    <row r="83" spans="1:29">
      <c r="A83" s="92">
        <v>45513</v>
      </c>
      <c r="B83" s="90">
        <v>425.4</v>
      </c>
      <c r="C83" s="40">
        <f t="shared" si="12"/>
        <v>-1.8911439114391193E-2</v>
      </c>
      <c r="D83" s="93">
        <v>24367.5</v>
      </c>
      <c r="E83" s="94">
        <f t="shared" si="13"/>
        <v>1.0386864037815746E-2</v>
      </c>
      <c r="F83" s="95">
        <v>22209.55</v>
      </c>
      <c r="G83" s="41">
        <f t="shared" si="10"/>
        <v>-4.2909469124767785E-3</v>
      </c>
      <c r="K83" s="2"/>
      <c r="W83" s="92">
        <v>45512</v>
      </c>
      <c r="X83" s="90">
        <v>433.6</v>
      </c>
      <c r="Y83" s="40">
        <f t="shared" si="11"/>
        <v>1.6170016170016233E-3</v>
      </c>
      <c r="AA83" s="92">
        <v>45321</v>
      </c>
      <c r="AB83" s="90">
        <v>370.95</v>
      </c>
      <c r="AC83" s="40">
        <f t="shared" si="9"/>
        <v>-9.6115338406087547E-3</v>
      </c>
    </row>
    <row r="84" spans="1:29">
      <c r="A84" s="92">
        <v>45512</v>
      </c>
      <c r="B84" s="90">
        <v>433.6</v>
      </c>
      <c r="C84" s="40">
        <f t="shared" si="12"/>
        <v>1.6170016170016233E-3</v>
      </c>
      <c r="D84" s="93">
        <v>24117</v>
      </c>
      <c r="E84" s="94">
        <f t="shared" si="13"/>
        <v>-7.4287478135610652E-3</v>
      </c>
      <c r="F84" s="95">
        <v>22114.25</v>
      </c>
      <c r="G84" s="41">
        <f t="shared" si="10"/>
        <v>-3.4954836813366752E-3</v>
      </c>
      <c r="K84" s="2"/>
      <c r="W84" s="92">
        <v>45511</v>
      </c>
      <c r="X84" s="90">
        <v>432.9</v>
      </c>
      <c r="Y84" s="40">
        <f t="shared" si="11"/>
        <v>1.9427764040975015E-2</v>
      </c>
      <c r="AA84" s="92">
        <v>45320</v>
      </c>
      <c r="AB84" s="90">
        <v>374.55</v>
      </c>
      <c r="AC84" s="40">
        <f t="shared" si="9"/>
        <v>-1.0435931307793855E-2</v>
      </c>
    </row>
    <row r="85" spans="1:29">
      <c r="A85" s="92">
        <v>45511</v>
      </c>
      <c r="B85" s="90">
        <v>432.9</v>
      </c>
      <c r="C85" s="40">
        <f t="shared" si="12"/>
        <v>1.9427764040975015E-2</v>
      </c>
      <c r="D85" s="93">
        <v>24297.5</v>
      </c>
      <c r="E85" s="94">
        <f t="shared" si="13"/>
        <v>1.2710195456506312E-2</v>
      </c>
      <c r="F85" s="95">
        <v>22036.95</v>
      </c>
      <c r="G85" s="41">
        <f t="shared" si="10"/>
        <v>-2.1527479982484055E-2</v>
      </c>
      <c r="K85" s="2"/>
      <c r="W85" s="92">
        <v>45510</v>
      </c>
      <c r="X85" s="90">
        <v>424.65</v>
      </c>
      <c r="Y85" s="40">
        <f t="shared" si="11"/>
        <v>-1.2441860465116306E-2</v>
      </c>
      <c r="AA85" s="92">
        <v>45316</v>
      </c>
      <c r="AB85" s="90">
        <v>378.5</v>
      </c>
      <c r="AC85" s="40">
        <f t="shared" si="9"/>
        <v>-4.2257085020242835E-2</v>
      </c>
    </row>
    <row r="86" spans="1:29">
      <c r="A86" s="92">
        <v>45510</v>
      </c>
      <c r="B86" s="90">
        <v>424.65</v>
      </c>
      <c r="C86" s="40">
        <f t="shared" si="12"/>
        <v>-1.2441860465116306E-2</v>
      </c>
      <c r="D86" s="93">
        <v>23992.55</v>
      </c>
      <c r="E86" s="94">
        <f t="shared" si="13"/>
        <v>-2.6210113237665755E-3</v>
      </c>
      <c r="F86" s="95">
        <v>21562.55</v>
      </c>
      <c r="G86" s="41">
        <f t="shared" si="10"/>
        <v>9.5072243310734272E-4</v>
      </c>
      <c r="K86" s="2"/>
      <c r="W86" s="92">
        <v>45509</v>
      </c>
      <c r="X86" s="90">
        <v>430</v>
      </c>
      <c r="Y86" s="40">
        <f t="shared" si="11"/>
        <v>-4.1141710335600323E-2</v>
      </c>
      <c r="AA86" s="92">
        <v>45315</v>
      </c>
      <c r="AB86" s="90">
        <v>395.2</v>
      </c>
      <c r="AC86" s="40">
        <f t="shared" si="9"/>
        <v>-1.2000000000000011E-2</v>
      </c>
    </row>
    <row r="87" spans="1:29">
      <c r="A87" s="92">
        <v>45509</v>
      </c>
      <c r="B87" s="90">
        <v>430</v>
      </c>
      <c r="C87" s="40">
        <f t="shared" si="12"/>
        <v>-4.1141710335600323E-2</v>
      </c>
      <c r="D87" s="93">
        <v>24055.599999999999</v>
      </c>
      <c r="E87" s="94">
        <f t="shared" si="13"/>
        <v>-2.6786472851438536E-2</v>
      </c>
      <c r="F87" s="95">
        <v>21583.05</v>
      </c>
      <c r="G87" s="41">
        <f t="shared" si="10"/>
        <v>1.4817182928270167E-2</v>
      </c>
      <c r="K87" s="2"/>
      <c r="W87" s="92">
        <v>45506</v>
      </c>
      <c r="X87" s="90">
        <v>448.45</v>
      </c>
      <c r="Y87" s="40">
        <f t="shared" si="11"/>
        <v>-5.9847057519671898E-3</v>
      </c>
      <c r="AA87" s="92">
        <v>45314</v>
      </c>
      <c r="AB87" s="90">
        <v>400</v>
      </c>
      <c r="AC87" s="40">
        <f t="shared" si="9"/>
        <v>-4.9751243781094301E-3</v>
      </c>
    </row>
    <row r="88" spans="1:29">
      <c r="A88" s="92">
        <v>45506</v>
      </c>
      <c r="B88" s="90">
        <v>448.45</v>
      </c>
      <c r="C88" s="40">
        <f t="shared" si="12"/>
        <v>-5.9847057519671898E-3</v>
      </c>
      <c r="D88" s="93">
        <v>24717.7</v>
      </c>
      <c r="E88" s="94">
        <f t="shared" si="13"/>
        <v>-1.1722888820474342E-2</v>
      </c>
      <c r="F88" s="95">
        <v>21902.85</v>
      </c>
      <c r="G88" s="41">
        <f t="shared" si="10"/>
        <v>-5.1363178764407547E-3</v>
      </c>
      <c r="K88" s="2"/>
      <c r="W88" s="92">
        <v>45505</v>
      </c>
      <c r="X88" s="90">
        <v>451.15</v>
      </c>
      <c r="Y88" s="40">
        <f t="shared" si="11"/>
        <v>-2.5593952483801363E-2</v>
      </c>
      <c r="AA88" s="92">
        <v>45311</v>
      </c>
      <c r="AB88" s="90">
        <v>402</v>
      </c>
      <c r="AC88" s="40">
        <f t="shared" si="9"/>
        <v>-2.4271844660194164E-2</v>
      </c>
    </row>
    <row r="89" spans="1:29">
      <c r="A89" s="92">
        <v>45505</v>
      </c>
      <c r="B89" s="90">
        <v>451.15</v>
      </c>
      <c r="C89" s="40">
        <f t="shared" si="12"/>
        <v>-2.5593952483801363E-2</v>
      </c>
      <c r="D89" s="93">
        <v>25010.9</v>
      </c>
      <c r="E89" s="94">
        <f t="shared" si="13"/>
        <v>2.3946792031630526E-3</v>
      </c>
      <c r="F89" s="95">
        <v>21790.35</v>
      </c>
      <c r="G89" s="41">
        <f t="shared" si="10"/>
        <v>-6.0577273884987459E-4</v>
      </c>
      <c r="K89" s="2"/>
      <c r="W89" s="92">
        <v>45504</v>
      </c>
      <c r="X89" s="90">
        <v>463</v>
      </c>
      <c r="Y89" s="40">
        <f t="shared" si="11"/>
        <v>6.8500598021092873E-3</v>
      </c>
      <c r="AA89" s="92">
        <v>45310</v>
      </c>
      <c r="AB89" s="90">
        <v>412</v>
      </c>
      <c r="AC89" s="40">
        <f t="shared" si="9"/>
        <v>-1.0804321728691502E-2</v>
      </c>
    </row>
    <row r="90" spans="1:29">
      <c r="A90" s="92">
        <v>45504</v>
      </c>
      <c r="B90" s="90">
        <v>463</v>
      </c>
      <c r="C90" s="40">
        <f t="shared" si="12"/>
        <v>6.8500598021092873E-3</v>
      </c>
      <c r="D90" s="93">
        <v>24951.15</v>
      </c>
      <c r="E90" s="94">
        <f t="shared" si="13"/>
        <v>3.7755508442189889E-3</v>
      </c>
      <c r="F90" s="95">
        <v>21777.15</v>
      </c>
      <c r="G90" s="41">
        <f t="shared" si="10"/>
        <v>-1.085311898021557E-2</v>
      </c>
      <c r="K90" s="2"/>
      <c r="W90" s="92">
        <v>45503</v>
      </c>
      <c r="X90" s="90">
        <v>459.85</v>
      </c>
      <c r="Y90" s="40">
        <f t="shared" si="11"/>
        <v>2.1888888888888847E-2</v>
      </c>
      <c r="AA90" s="92">
        <v>45309</v>
      </c>
      <c r="AB90" s="90">
        <v>416.5</v>
      </c>
      <c r="AC90" s="40">
        <f t="shared" si="9"/>
        <v>1.1167759164845803E-2</v>
      </c>
    </row>
    <row r="91" spans="1:29">
      <c r="A91" s="92">
        <v>45503</v>
      </c>
      <c r="B91" s="90">
        <v>459.85</v>
      </c>
      <c r="C91" s="40">
        <f t="shared" si="12"/>
        <v>2.1888888888888847E-2</v>
      </c>
      <c r="D91" s="93">
        <v>24857.3</v>
      </c>
      <c r="E91" s="94">
        <f t="shared" si="13"/>
        <v>8.5359617653346653E-4</v>
      </c>
      <c r="F91" s="95">
        <v>21540.799999999999</v>
      </c>
      <c r="G91" s="41">
        <f t="shared" si="10"/>
        <v>6.2277167050435178E-3</v>
      </c>
      <c r="K91" s="2"/>
      <c r="W91" s="92">
        <v>45502</v>
      </c>
      <c r="X91" s="90">
        <v>450</v>
      </c>
      <c r="Y91" s="40">
        <f t="shared" si="11"/>
        <v>-3.7635598848793084E-3</v>
      </c>
      <c r="AA91" s="92">
        <v>45308</v>
      </c>
      <c r="AB91" s="90">
        <v>411.9</v>
      </c>
      <c r="AC91" s="40">
        <f t="shared" si="9"/>
        <v>-6.5123010130246906E-3</v>
      </c>
    </row>
    <row r="92" spans="1:29">
      <c r="A92" s="92">
        <v>45502</v>
      </c>
      <c r="B92" s="90">
        <v>450</v>
      </c>
      <c r="C92" s="40">
        <f t="shared" si="12"/>
        <v>-3.7635598848793084E-3</v>
      </c>
      <c r="D92" s="93">
        <v>24836.1</v>
      </c>
      <c r="E92" s="94">
        <f t="shared" si="13"/>
        <v>5.0332496471794386E-5</v>
      </c>
      <c r="F92" s="95">
        <v>21674.95</v>
      </c>
      <c r="G92" s="41">
        <f t="shared" si="10"/>
        <v>-3.3148865395307148E-3</v>
      </c>
      <c r="K92" s="2"/>
      <c r="W92" s="92">
        <v>45499</v>
      </c>
      <c r="X92" s="90">
        <v>451.7</v>
      </c>
      <c r="Y92" s="40">
        <f t="shared" si="11"/>
        <v>3.1278538812785417E-2</v>
      </c>
      <c r="AA92" s="92">
        <v>45307</v>
      </c>
      <c r="AB92" s="90">
        <v>414.6</v>
      </c>
      <c r="AC92" s="40">
        <f t="shared" si="9"/>
        <v>-1.7535545023696586E-2</v>
      </c>
    </row>
    <row r="93" spans="1:29">
      <c r="A93" s="92">
        <v>45499</v>
      </c>
      <c r="B93" s="90">
        <v>451.7</v>
      </c>
      <c r="C93" s="40">
        <f t="shared" si="12"/>
        <v>3.1278538812785417E-2</v>
      </c>
      <c r="D93" s="93">
        <v>24834.85</v>
      </c>
      <c r="E93" s="94">
        <f t="shared" si="13"/>
        <v>1.7567329479105664E-2</v>
      </c>
      <c r="F93" s="95">
        <v>21603.1</v>
      </c>
      <c r="G93" s="41">
        <f t="shared" si="10"/>
        <v>-2.3033731270049151E-2</v>
      </c>
      <c r="K93" s="2"/>
      <c r="W93" s="92">
        <v>45498</v>
      </c>
      <c r="X93" s="90">
        <v>438</v>
      </c>
      <c r="Y93" s="40">
        <f t="shared" si="11"/>
        <v>1.6007317630917228E-3</v>
      </c>
      <c r="AA93" s="92">
        <v>45306</v>
      </c>
      <c r="AB93" s="90">
        <v>422</v>
      </c>
      <c r="AC93" s="40">
        <f t="shared" si="9"/>
        <v>1.2718982481401575E-2</v>
      </c>
    </row>
    <row r="94" spans="1:29">
      <c r="A94" s="92">
        <v>45498</v>
      </c>
      <c r="B94" s="90">
        <v>438</v>
      </c>
      <c r="C94" s="40">
        <f t="shared" si="12"/>
        <v>1.6007317630917228E-3</v>
      </c>
      <c r="D94" s="93">
        <v>24406.1</v>
      </c>
      <c r="E94" s="94">
        <f t="shared" si="13"/>
        <v>-3.0311098367707956E-4</v>
      </c>
      <c r="F94" s="95">
        <v>21105.5</v>
      </c>
      <c r="G94" s="41">
        <f t="shared" si="10"/>
        <v>-9.3340598422212429E-3</v>
      </c>
      <c r="K94" s="2"/>
      <c r="W94" s="92">
        <v>45497</v>
      </c>
      <c r="X94" s="90">
        <v>437.3</v>
      </c>
      <c r="Y94" s="40">
        <f t="shared" si="11"/>
        <v>1.6976744186046444E-2</v>
      </c>
      <c r="AA94" s="92">
        <v>45303</v>
      </c>
      <c r="AB94" s="90">
        <v>416.7</v>
      </c>
      <c r="AC94" s="40">
        <f t="shared" si="9"/>
        <v>-1.6056670602125123E-2</v>
      </c>
    </row>
    <row r="95" spans="1:29">
      <c r="A95" s="92">
        <v>45497</v>
      </c>
      <c r="B95" s="90">
        <v>437.3</v>
      </c>
      <c r="C95" s="40">
        <f t="shared" si="12"/>
        <v>1.6976744186046444E-2</v>
      </c>
      <c r="D95" s="93">
        <v>24413.5</v>
      </c>
      <c r="E95" s="94">
        <f t="shared" si="13"/>
        <v>-2.6777999963233379E-3</v>
      </c>
      <c r="F95" s="95">
        <v>20908.5</v>
      </c>
      <c r="G95" s="41">
        <f t="shared" si="10"/>
        <v>-7.3247722218237055E-3</v>
      </c>
      <c r="K95" s="2"/>
      <c r="W95" s="92">
        <v>45496</v>
      </c>
      <c r="X95" s="90">
        <v>430</v>
      </c>
      <c r="Y95" s="40">
        <f t="shared" si="11"/>
        <v>-2.714932126696834E-2</v>
      </c>
      <c r="AA95" s="92">
        <v>45302</v>
      </c>
      <c r="AB95" s="90">
        <v>423.5</v>
      </c>
      <c r="AC95" s="40">
        <f t="shared" si="9"/>
        <v>1.1947431302270051E-2</v>
      </c>
    </row>
    <row r="96" spans="1:29">
      <c r="A96" s="92">
        <v>45496</v>
      </c>
      <c r="B96" s="90">
        <v>430</v>
      </c>
      <c r="C96" s="40">
        <f t="shared" si="12"/>
        <v>-2.714932126696834E-2</v>
      </c>
      <c r="D96" s="93">
        <v>24479.05</v>
      </c>
      <c r="E96" s="94">
        <f t="shared" si="13"/>
        <v>-1.2321878474453873E-3</v>
      </c>
      <c r="F96" s="95">
        <v>20755.349999999999</v>
      </c>
      <c r="G96" s="41">
        <f t="shared" si="10"/>
        <v>-5.4829236799186498E-3</v>
      </c>
      <c r="K96" s="2"/>
      <c r="W96" s="92">
        <v>45495</v>
      </c>
      <c r="X96" s="90">
        <v>442</v>
      </c>
      <c r="Y96" s="40">
        <f t="shared" si="11"/>
        <v>3.1774852473898108E-3</v>
      </c>
      <c r="AA96" s="92">
        <v>45301</v>
      </c>
      <c r="AB96" s="90">
        <v>418.5</v>
      </c>
      <c r="AC96" s="40">
        <f t="shared" si="9"/>
        <v>-1.4134275618374548E-2</v>
      </c>
    </row>
    <row r="97" spans="1:29">
      <c r="A97" s="92">
        <v>45495</v>
      </c>
      <c r="B97" s="90">
        <v>442</v>
      </c>
      <c r="C97" s="40">
        <f t="shared" si="12"/>
        <v>3.1774852473898108E-3</v>
      </c>
      <c r="D97" s="93">
        <v>24509.25</v>
      </c>
      <c r="E97" s="94">
        <f t="shared" si="13"/>
        <v>-8.8256036264466875E-4</v>
      </c>
      <c r="F97" s="95">
        <v>20641.55</v>
      </c>
      <c r="G97" s="41">
        <f t="shared" si="10"/>
        <v>-1.0471597336440208E-2</v>
      </c>
      <c r="K97" s="2"/>
      <c r="W97" s="92">
        <v>45492</v>
      </c>
      <c r="X97" s="90">
        <v>440.6</v>
      </c>
      <c r="Y97" s="40">
        <f t="shared" si="11"/>
        <v>-3.6729339746392586E-2</v>
      </c>
      <c r="AA97" s="92">
        <v>45300</v>
      </c>
      <c r="AB97" s="90">
        <v>424.5</v>
      </c>
      <c r="AC97" s="40">
        <f t="shared" si="9"/>
        <v>1.3247404224847825E-2</v>
      </c>
    </row>
    <row r="98" spans="1:29">
      <c r="A98" s="92">
        <v>45492</v>
      </c>
      <c r="B98" s="90">
        <v>440.6</v>
      </c>
      <c r="C98" s="40">
        <f t="shared" si="12"/>
        <v>-3.6729339746392586E-2</v>
      </c>
      <c r="D98" s="93">
        <v>24530.9</v>
      </c>
      <c r="E98" s="94">
        <f t="shared" si="13"/>
        <v>-1.0884707580586794E-2</v>
      </c>
      <c r="F98" s="95">
        <v>20425.400000000001</v>
      </c>
      <c r="G98" s="41">
        <f t="shared" si="10"/>
        <v>1.6790368854465276E-2</v>
      </c>
      <c r="K98" s="2"/>
      <c r="W98" s="92">
        <v>45491</v>
      </c>
      <c r="X98" s="90">
        <v>457.4</v>
      </c>
      <c r="Y98" s="40">
        <f t="shared" si="11"/>
        <v>-1.6766981943250214E-2</v>
      </c>
      <c r="AA98" s="92">
        <v>45299</v>
      </c>
      <c r="AB98" s="90">
        <v>418.95</v>
      </c>
      <c r="AC98" s="40">
        <f t="shared" si="9"/>
        <v>-1.885245901639343E-2</v>
      </c>
    </row>
    <row r="99" spans="1:29">
      <c r="A99" s="92">
        <v>45491</v>
      </c>
      <c r="B99" s="90">
        <v>457.4</v>
      </c>
      <c r="C99" s="40">
        <f t="shared" si="12"/>
        <v>-1.6766981943250214E-2</v>
      </c>
      <c r="D99" s="93">
        <v>24800.85</v>
      </c>
      <c r="E99" s="94">
        <f t="shared" si="13"/>
        <v>7.6321456141064115E-3</v>
      </c>
      <c r="F99" s="95">
        <v>20768.349999999999</v>
      </c>
      <c r="G99" s="41">
        <f t="shared" si="10"/>
        <v>-1.3963555121121463E-4</v>
      </c>
      <c r="K99" s="2"/>
      <c r="W99" s="92">
        <v>45489</v>
      </c>
      <c r="X99" s="90">
        <v>465.2</v>
      </c>
      <c r="Y99" s="40">
        <f t="shared" si="11"/>
        <v>-1.7167381974249052E-3</v>
      </c>
      <c r="AA99" s="92">
        <v>45296</v>
      </c>
      <c r="AB99" s="90">
        <v>427</v>
      </c>
      <c r="AC99" s="40">
        <f t="shared" si="9"/>
        <v>-1.2488436632747457E-2</v>
      </c>
    </row>
    <row r="100" spans="1:29">
      <c r="A100" s="92">
        <v>45489</v>
      </c>
      <c r="B100" s="90">
        <v>465.2</v>
      </c>
      <c r="C100" s="40">
        <f t="shared" si="12"/>
        <v>-1.7167381974249052E-3</v>
      </c>
      <c r="D100" s="93">
        <v>24613</v>
      </c>
      <c r="E100" s="94">
        <f t="shared" si="13"/>
        <v>1.0696840161550369E-3</v>
      </c>
      <c r="F100" s="95">
        <v>20765.45</v>
      </c>
      <c r="G100" s="41">
        <f t="shared" si="10"/>
        <v>3.809211936172785E-3</v>
      </c>
      <c r="K100" s="2"/>
      <c r="W100" s="92">
        <v>45488</v>
      </c>
      <c r="X100" s="90">
        <v>466</v>
      </c>
      <c r="Y100" s="40">
        <f t="shared" si="11"/>
        <v>8.8763801688678257E-3</v>
      </c>
      <c r="AA100" s="92">
        <v>45295</v>
      </c>
      <c r="AB100" s="90">
        <v>432.4</v>
      </c>
      <c r="AC100" s="40">
        <f t="shared" si="9"/>
        <v>3.4810860988627734E-3</v>
      </c>
    </row>
    <row r="101" spans="1:29">
      <c r="A101" s="92">
        <v>45488</v>
      </c>
      <c r="B101" s="90">
        <v>466</v>
      </c>
      <c r="C101" s="40">
        <f t="shared" si="12"/>
        <v>8.8763801688678257E-3</v>
      </c>
      <c r="D101" s="93">
        <v>24586.7</v>
      </c>
      <c r="E101" s="94">
        <f t="shared" si="13"/>
        <v>3.4507175900890807E-3</v>
      </c>
      <c r="F101" s="95">
        <v>20844.55</v>
      </c>
      <c r="G101" s="41">
        <f t="shared" si="10"/>
        <v>-1.1125210186835321E-2</v>
      </c>
      <c r="K101" s="2"/>
      <c r="W101" s="92">
        <v>45485</v>
      </c>
      <c r="X101" s="90">
        <v>461.9</v>
      </c>
      <c r="Y101" s="40">
        <f t="shared" si="11"/>
        <v>-2.1398305084745828E-2</v>
      </c>
      <c r="AA101" s="92">
        <v>45294</v>
      </c>
      <c r="AB101" s="90">
        <v>430.9</v>
      </c>
      <c r="AC101" s="40">
        <f t="shared" si="9"/>
        <v>-1.0562571756601691E-2</v>
      </c>
    </row>
    <row r="102" spans="1:29">
      <c r="A102" s="92">
        <v>45485</v>
      </c>
      <c r="B102" s="90">
        <v>461.9</v>
      </c>
      <c r="C102" s="40">
        <f t="shared" si="12"/>
        <v>-2.1398305084745828E-2</v>
      </c>
      <c r="D102" s="93">
        <v>24502.15</v>
      </c>
      <c r="E102" s="94">
        <f t="shared" si="13"/>
        <v>7.6575252046495734E-3</v>
      </c>
      <c r="F102" s="95">
        <v>20612.650000000001</v>
      </c>
      <c r="G102" s="41">
        <f t="shared" si="10"/>
        <v>-5.3122718330733676E-4</v>
      </c>
      <c r="K102" s="2"/>
      <c r="W102" s="92">
        <v>45484</v>
      </c>
      <c r="X102" s="90">
        <v>472</v>
      </c>
      <c r="Y102" s="40">
        <f t="shared" si="11"/>
        <v>-1.3752247963608744E-3</v>
      </c>
      <c r="AA102" s="92">
        <v>45293</v>
      </c>
      <c r="AB102" s="90">
        <v>435.5</v>
      </c>
      <c r="AC102" s="40">
        <f t="shared" si="9"/>
        <v>8.1018518518518601E-3</v>
      </c>
    </row>
    <row r="103" spans="1:29">
      <c r="A103" s="92">
        <v>45484</v>
      </c>
      <c r="B103" s="90">
        <v>472</v>
      </c>
      <c r="C103" s="40">
        <f t="shared" si="12"/>
        <v>-1.3752247963608744E-3</v>
      </c>
      <c r="D103" s="93">
        <v>24315.95</v>
      </c>
      <c r="E103" s="94">
        <f t="shared" si="13"/>
        <v>-3.4944263899083783E-4</v>
      </c>
      <c r="F103" s="95">
        <v>20601.7</v>
      </c>
      <c r="G103" s="41">
        <f t="shared" si="10"/>
        <v>6.0310556895790679E-3</v>
      </c>
      <c r="K103" s="2"/>
      <c r="W103" s="92">
        <v>45483</v>
      </c>
      <c r="X103" s="90">
        <v>472.65</v>
      </c>
      <c r="Y103" s="40">
        <f t="shared" si="11"/>
        <v>-1.2844611528822103E-2</v>
      </c>
      <c r="AA103" s="92">
        <v>45292</v>
      </c>
      <c r="AB103" s="90">
        <v>432</v>
      </c>
      <c r="AC103" s="40">
        <f t="shared" si="9"/>
        <v>3.6008827970728241E-3</v>
      </c>
    </row>
    <row r="104" spans="1:29">
      <c r="A104" s="92">
        <v>45483</v>
      </c>
      <c r="B104" s="90">
        <v>472.65</v>
      </c>
      <c r="C104" s="40">
        <f t="shared" si="12"/>
        <v>-1.2844611528822103E-2</v>
      </c>
      <c r="D104" s="93">
        <v>24324.45</v>
      </c>
      <c r="E104" s="94">
        <f t="shared" si="13"/>
        <v>-4.4509110554491471E-3</v>
      </c>
      <c r="F104" s="95">
        <v>20725.95</v>
      </c>
      <c r="G104" s="41">
        <f t="shared" si="10"/>
        <v>-3.8671327490417129E-3</v>
      </c>
      <c r="K104" s="2"/>
      <c r="W104" s="92">
        <v>45482</v>
      </c>
      <c r="X104" s="90">
        <v>478.8</v>
      </c>
      <c r="Y104" s="40">
        <f t="shared" si="11"/>
        <v>6.8341919882242141E-3</v>
      </c>
      <c r="AA104" s="92">
        <v>45289</v>
      </c>
      <c r="AB104" s="90">
        <v>430.45</v>
      </c>
      <c r="AC104" s="40">
        <f t="shared" si="9"/>
        <v>7.2540072540072664E-3</v>
      </c>
    </row>
    <row r="105" spans="1:29">
      <c r="A105" s="92">
        <v>45482</v>
      </c>
      <c r="B105" s="90">
        <v>478.8</v>
      </c>
      <c r="C105" s="40">
        <f t="shared" si="12"/>
        <v>6.8341919882242141E-3</v>
      </c>
      <c r="D105" s="93">
        <v>24433.200000000001</v>
      </c>
      <c r="E105" s="94">
        <f t="shared" si="13"/>
        <v>4.6318853808815508E-3</v>
      </c>
      <c r="F105" s="95">
        <v>20645.8</v>
      </c>
      <c r="G105" s="41">
        <f t="shared" si="10"/>
        <v>-1.549952048358505E-2</v>
      </c>
      <c r="K105" s="2"/>
      <c r="W105" s="92">
        <v>45481</v>
      </c>
      <c r="X105" s="90">
        <v>475.55</v>
      </c>
      <c r="Y105" s="40">
        <f t="shared" si="11"/>
        <v>-3.7708180580287021E-3</v>
      </c>
      <c r="AA105" s="92">
        <v>45288</v>
      </c>
      <c r="AB105" s="90">
        <v>427.35</v>
      </c>
      <c r="AC105" s="40">
        <f t="shared" si="9"/>
        <v>-9.6176129779836916E-3</v>
      </c>
    </row>
    <row r="106" spans="1:29">
      <c r="A106" s="92">
        <v>45481</v>
      </c>
      <c r="B106" s="90">
        <v>475.55</v>
      </c>
      <c r="C106" s="40">
        <f t="shared" si="12"/>
        <v>-3.7708180580287021E-3</v>
      </c>
      <c r="D106" s="93">
        <v>24320.55</v>
      </c>
      <c r="E106" s="94">
        <f t="shared" si="13"/>
        <v>-1.3566931221820067E-4</v>
      </c>
      <c r="F106" s="95">
        <v>20325.8</v>
      </c>
      <c r="G106" s="41">
        <f t="shared" si="10"/>
        <v>6.2998750356688671E-3</v>
      </c>
      <c r="K106" s="2"/>
      <c r="W106" s="92">
        <v>45478</v>
      </c>
      <c r="X106" s="90">
        <v>477.35</v>
      </c>
      <c r="Y106" s="40">
        <f t="shared" si="11"/>
        <v>4.9120879120879257E-2</v>
      </c>
      <c r="AA106" s="92">
        <v>45287</v>
      </c>
      <c r="AB106" s="90">
        <v>431.5</v>
      </c>
      <c r="AC106" s="40">
        <f t="shared" si="9"/>
        <v>-8.0459770114942319E-3</v>
      </c>
    </row>
    <row r="107" spans="1:29">
      <c r="A107" s="92">
        <v>45478</v>
      </c>
      <c r="B107" s="90">
        <v>477.35</v>
      </c>
      <c r="C107" s="40">
        <f t="shared" si="12"/>
        <v>4.9120879120879257E-2</v>
      </c>
      <c r="D107" s="93">
        <v>24323.85</v>
      </c>
      <c r="E107" s="94">
        <f t="shared" si="13"/>
        <v>8.9292511156413568E-4</v>
      </c>
      <c r="F107" s="95">
        <v>20453.849999999999</v>
      </c>
      <c r="G107" s="41">
        <f t="shared" si="10"/>
        <v>-1.2772656492543E-2</v>
      </c>
      <c r="K107" s="2"/>
      <c r="W107" s="92">
        <v>45477</v>
      </c>
      <c r="X107" s="90">
        <v>455</v>
      </c>
      <c r="Y107" s="40">
        <f t="shared" si="11"/>
        <v>4.3577981651376163E-2</v>
      </c>
      <c r="AA107" s="92">
        <v>45286</v>
      </c>
      <c r="AB107" s="90">
        <v>435</v>
      </c>
      <c r="AC107" s="40">
        <f t="shared" si="9"/>
        <v>4.6176046176046093E-2</v>
      </c>
    </row>
    <row r="108" spans="1:29">
      <c r="A108" s="92">
        <v>45477</v>
      </c>
      <c r="B108" s="90">
        <v>455</v>
      </c>
      <c r="C108" s="40">
        <f t="shared" si="12"/>
        <v>4.3577981651376163E-2</v>
      </c>
      <c r="D108" s="93">
        <v>24302.15</v>
      </c>
      <c r="E108" s="94">
        <f t="shared" si="13"/>
        <v>6.4439091676460336E-4</v>
      </c>
      <c r="F108" s="95">
        <v>20192.599999999999</v>
      </c>
      <c r="G108" s="41">
        <f t="shared" si="10"/>
        <v>-1.3732753582995749E-2</v>
      </c>
      <c r="K108" s="2"/>
      <c r="W108" s="92">
        <v>45476</v>
      </c>
      <c r="X108" s="90">
        <v>436</v>
      </c>
      <c r="Y108" s="40">
        <f t="shared" si="11"/>
        <v>-5.4744525547444356E-3</v>
      </c>
      <c r="AA108" s="92">
        <v>45282</v>
      </c>
      <c r="AB108" s="90">
        <v>415.8</v>
      </c>
      <c r="AC108" s="40">
        <f t="shared" si="9"/>
        <v>4.7751039435554921E-2</v>
      </c>
    </row>
    <row r="109" spans="1:29">
      <c r="A109" s="92">
        <v>45476</v>
      </c>
      <c r="B109" s="90">
        <v>436</v>
      </c>
      <c r="C109" s="40">
        <f t="shared" si="12"/>
        <v>-5.4744525547444356E-3</v>
      </c>
      <c r="D109" s="93">
        <v>24286.5</v>
      </c>
      <c r="E109" s="94">
        <f t="shared" si="13"/>
        <v>6.7422903060665451E-3</v>
      </c>
      <c r="F109" s="95">
        <v>19915.3</v>
      </c>
      <c r="G109" s="41">
        <f t="shared" si="10"/>
        <v>-6.4724106591413921E-3</v>
      </c>
      <c r="K109" s="2"/>
      <c r="W109" s="92">
        <v>45475</v>
      </c>
      <c r="X109" s="90">
        <v>438.4</v>
      </c>
      <c r="Y109" s="40">
        <f t="shared" si="11"/>
        <v>1.4814814814814836E-2</v>
      </c>
      <c r="AA109" s="92">
        <v>45281</v>
      </c>
      <c r="AB109" s="90">
        <v>396.85</v>
      </c>
      <c r="AC109" s="40">
        <f t="shared" si="9"/>
        <v>2.5054888286194066E-2</v>
      </c>
    </row>
    <row r="110" spans="1:29">
      <c r="A110" s="92">
        <v>45475</v>
      </c>
      <c r="B110" s="90">
        <v>438.4</v>
      </c>
      <c r="C110" s="40">
        <f t="shared" si="12"/>
        <v>1.4814814814814836E-2</v>
      </c>
      <c r="D110" s="93">
        <v>24123.85</v>
      </c>
      <c r="E110" s="94">
        <f t="shared" si="13"/>
        <v>-7.4973231242725369E-4</v>
      </c>
      <c r="F110" s="95">
        <v>19786.400000000001</v>
      </c>
      <c r="G110" s="41">
        <f t="shared" si="10"/>
        <v>-1.4226943759350075E-3</v>
      </c>
      <c r="K110" s="2"/>
      <c r="W110" s="92">
        <v>45474</v>
      </c>
      <c r="X110" s="90">
        <v>432</v>
      </c>
      <c r="Y110" s="40">
        <f t="shared" si="11"/>
        <v>1.6111960484535004E-2</v>
      </c>
      <c r="AA110" s="92">
        <v>45280</v>
      </c>
      <c r="AB110" s="90">
        <v>387.15</v>
      </c>
      <c r="AC110" s="40">
        <f t="shared" si="9"/>
        <v>-2.7261306532663343E-2</v>
      </c>
    </row>
    <row r="111" spans="1:29">
      <c r="A111" s="92">
        <v>45474</v>
      </c>
      <c r="B111" s="90">
        <v>432</v>
      </c>
      <c r="C111" s="40">
        <f t="shared" si="12"/>
        <v>1.6111960484535004E-2</v>
      </c>
      <c r="D111" s="93">
        <v>24141.95</v>
      </c>
      <c r="E111" s="94">
        <f t="shared" si="13"/>
        <v>5.4705005289330533E-3</v>
      </c>
      <c r="F111" s="95">
        <v>19758.25</v>
      </c>
      <c r="G111" s="41">
        <f t="shared" si="10"/>
        <v>-1.3513342527805561E-3</v>
      </c>
      <c r="K111" s="2"/>
      <c r="W111" s="92">
        <v>45471</v>
      </c>
      <c r="X111" s="90">
        <v>425.15</v>
      </c>
      <c r="Y111" s="40">
        <f t="shared" si="11"/>
        <v>2.1213906894519408E-3</v>
      </c>
      <c r="AA111" s="92">
        <v>45279</v>
      </c>
      <c r="AB111" s="90">
        <v>398</v>
      </c>
      <c r="AC111" s="40">
        <f t="shared" si="9"/>
        <v>-2.5062656641604564E-3</v>
      </c>
    </row>
    <row r="112" spans="1:29">
      <c r="A112" s="92">
        <v>45471</v>
      </c>
      <c r="B112" s="90">
        <v>425.15</v>
      </c>
      <c r="C112" s="40">
        <f t="shared" si="12"/>
        <v>2.1213906894519408E-3</v>
      </c>
      <c r="D112" s="93">
        <v>24010.6</v>
      </c>
      <c r="E112" s="94">
        <f t="shared" si="13"/>
        <v>-1.4098858366778932E-3</v>
      </c>
      <c r="F112" s="95">
        <v>19731.55</v>
      </c>
      <c r="G112" s="41">
        <f t="shared" si="10"/>
        <v>-1.0984945430034587E-2</v>
      </c>
      <c r="K112" s="2"/>
      <c r="W112" s="92">
        <v>45470</v>
      </c>
      <c r="X112" s="90">
        <v>424.25</v>
      </c>
      <c r="Y112" s="40">
        <f t="shared" si="11"/>
        <v>-4.3417038253931173E-3</v>
      </c>
      <c r="AA112" s="92">
        <v>45278</v>
      </c>
      <c r="AB112" s="90">
        <v>399</v>
      </c>
      <c r="AC112" s="40">
        <f t="shared" si="9"/>
        <v>3.2608695652174058E-2</v>
      </c>
    </row>
    <row r="113" spans="1:29">
      <c r="A113" s="92">
        <v>45470</v>
      </c>
      <c r="B113" s="90">
        <v>424.25</v>
      </c>
      <c r="C113" s="40">
        <f t="shared" si="12"/>
        <v>-4.3417038253931173E-3</v>
      </c>
      <c r="D113" s="93">
        <v>24044.5</v>
      </c>
      <c r="E113" s="94">
        <f t="shared" si="13"/>
        <v>7.3610738704921186E-3</v>
      </c>
      <c r="F113" s="95">
        <v>19514.8</v>
      </c>
      <c r="G113" s="41">
        <f t="shared" si="10"/>
        <v>1.5654785086189893E-3</v>
      </c>
      <c r="K113" s="2"/>
      <c r="W113" s="92">
        <v>45469</v>
      </c>
      <c r="X113" s="90">
        <v>426.1</v>
      </c>
      <c r="Y113" s="40">
        <f t="shared" si="11"/>
        <v>-1.9908654409180881E-3</v>
      </c>
      <c r="AA113" s="92">
        <v>45275</v>
      </c>
      <c r="AB113" s="90">
        <v>386.4</v>
      </c>
      <c r="AC113" s="40">
        <f t="shared" si="9"/>
        <v>1.0362694300518616E-3</v>
      </c>
    </row>
    <row r="114" spans="1:29">
      <c r="A114" s="92">
        <v>45469</v>
      </c>
      <c r="B114" s="90">
        <v>426.1</v>
      </c>
      <c r="C114" s="40">
        <f t="shared" si="12"/>
        <v>-1.9908654409180881E-3</v>
      </c>
      <c r="D114" s="93">
        <v>23868.799999999999</v>
      </c>
      <c r="E114" s="94">
        <f t="shared" si="13"/>
        <v>6.2180403266263173E-3</v>
      </c>
      <c r="F114" s="95">
        <v>19545.349999999999</v>
      </c>
      <c r="G114" s="41">
        <f t="shared" si="10"/>
        <v>-6.6767798990552407E-4</v>
      </c>
      <c r="K114" s="2"/>
      <c r="W114" s="92">
        <v>45468</v>
      </c>
      <c r="X114" s="90">
        <v>426.95</v>
      </c>
      <c r="Y114" s="40">
        <f t="shared" si="11"/>
        <v>-4.3143656716418954E-3</v>
      </c>
      <c r="AA114" s="92">
        <v>45274</v>
      </c>
      <c r="AB114" s="90">
        <v>386</v>
      </c>
      <c r="AC114" s="40">
        <f t="shared" si="9"/>
        <v>1.1530398322851187E-2</v>
      </c>
    </row>
    <row r="115" spans="1:29">
      <c r="A115" s="92">
        <v>45468</v>
      </c>
      <c r="B115" s="90">
        <v>426.95</v>
      </c>
      <c r="C115" s="40">
        <f t="shared" si="12"/>
        <v>-4.3143656716418954E-3</v>
      </c>
      <c r="D115" s="93">
        <v>23721.3</v>
      </c>
      <c r="E115" s="94">
        <f t="shared" si="13"/>
        <v>7.7938299377386944E-3</v>
      </c>
      <c r="F115" s="95">
        <v>19532.3</v>
      </c>
      <c r="G115" s="41">
        <f t="shared" si="10"/>
        <v>-5.7084931114093074E-4</v>
      </c>
      <c r="K115" s="2"/>
      <c r="W115" s="92">
        <v>45467</v>
      </c>
      <c r="X115" s="90">
        <v>428.8</v>
      </c>
      <c r="Y115" s="40">
        <f t="shared" si="11"/>
        <v>-1.6298020954598202E-3</v>
      </c>
      <c r="AA115" s="92">
        <v>45273</v>
      </c>
      <c r="AB115" s="90">
        <v>381.6</v>
      </c>
      <c r="AC115" s="40">
        <f t="shared" si="9"/>
        <v>-2.1914648212225996E-2</v>
      </c>
    </row>
    <row r="116" spans="1:29">
      <c r="A116" s="92">
        <v>45467</v>
      </c>
      <c r="B116" s="90">
        <v>428.8</v>
      </c>
      <c r="C116" s="40">
        <f t="shared" si="12"/>
        <v>-1.6298020954598202E-3</v>
      </c>
      <c r="D116" s="93">
        <v>23537.85</v>
      </c>
      <c r="E116" s="94">
        <f t="shared" si="13"/>
        <v>1.5637565901169825E-3</v>
      </c>
      <c r="F116" s="95">
        <v>19521.150000000001</v>
      </c>
      <c r="G116" s="41">
        <f t="shared" si="10"/>
        <v>3.7139205425917865E-4</v>
      </c>
      <c r="K116" s="2"/>
      <c r="W116" s="92">
        <v>45464</v>
      </c>
      <c r="X116" s="90">
        <v>429.5</v>
      </c>
      <c r="Y116" s="40">
        <f t="shared" si="11"/>
        <v>-5.9020946649693817E-3</v>
      </c>
      <c r="AA116" s="92">
        <v>45272</v>
      </c>
      <c r="AB116" s="90">
        <v>390.15</v>
      </c>
      <c r="AC116" s="40">
        <f t="shared" si="9"/>
        <v>-1.9186492709132308E-3</v>
      </c>
    </row>
    <row r="117" spans="1:29">
      <c r="A117" s="92">
        <v>45464</v>
      </c>
      <c r="B117" s="90">
        <v>429.5</v>
      </c>
      <c r="C117" s="40">
        <f t="shared" si="12"/>
        <v>-5.9020946649693817E-3</v>
      </c>
      <c r="D117" s="93">
        <v>23501.1</v>
      </c>
      <c r="E117" s="94">
        <f t="shared" si="13"/>
        <v>-2.7962829380066001E-3</v>
      </c>
      <c r="F117" s="95">
        <v>19528.400000000001</v>
      </c>
      <c r="G117" s="41">
        <f t="shared" si="10"/>
        <v>8.2700067593854953E-4</v>
      </c>
      <c r="K117" s="2"/>
      <c r="W117" s="92">
        <v>45463</v>
      </c>
      <c r="X117" s="90">
        <v>432.05</v>
      </c>
      <c r="Y117" s="40">
        <f t="shared" si="11"/>
        <v>4.7674418604650715E-3</v>
      </c>
      <c r="AA117" s="92">
        <v>45271</v>
      </c>
      <c r="AB117" s="90">
        <v>390.9</v>
      </c>
      <c r="AC117" s="40">
        <f t="shared" si="9"/>
        <v>1.5456552799064882E-2</v>
      </c>
    </row>
    <row r="118" spans="1:29">
      <c r="A118" s="92">
        <v>45463</v>
      </c>
      <c r="B118" s="90">
        <v>432.05</v>
      </c>
      <c r="C118" s="40">
        <f t="shared" si="12"/>
        <v>4.7674418604650715E-3</v>
      </c>
      <c r="D118" s="93">
        <v>23567</v>
      </c>
      <c r="E118" s="94">
        <f t="shared" si="13"/>
        <v>2.1687361796223215E-3</v>
      </c>
      <c r="F118" s="95">
        <v>19544.55</v>
      </c>
      <c r="G118" s="41">
        <f t="shared" si="10"/>
        <v>5.1139575994332276E-3</v>
      </c>
      <c r="K118" s="2"/>
      <c r="W118" s="92">
        <v>45462</v>
      </c>
      <c r="X118" s="90">
        <v>430</v>
      </c>
      <c r="Y118" s="40">
        <f t="shared" si="11"/>
        <v>1.8639328984155767E-3</v>
      </c>
      <c r="AA118" s="92">
        <v>45268</v>
      </c>
      <c r="AB118" s="90">
        <v>384.95</v>
      </c>
      <c r="AC118" s="40">
        <f t="shared" si="9"/>
        <v>-1.2948717948717992E-2</v>
      </c>
    </row>
    <row r="119" spans="1:29">
      <c r="A119" s="92">
        <v>45462</v>
      </c>
      <c r="B119" s="90">
        <v>430</v>
      </c>
      <c r="C119" s="40">
        <f t="shared" si="12"/>
        <v>1.8639328984155767E-3</v>
      </c>
      <c r="D119" s="93">
        <v>23516</v>
      </c>
      <c r="E119" s="94">
        <f t="shared" si="13"/>
        <v>-1.7785965642099777E-3</v>
      </c>
      <c r="F119" s="95">
        <v>19644.5</v>
      </c>
      <c r="G119" s="41">
        <f t="shared" si="10"/>
        <v>9.2723154063478752E-3</v>
      </c>
      <c r="K119" s="2"/>
      <c r="W119" s="92">
        <v>45461</v>
      </c>
      <c r="X119" s="90">
        <v>429.2</v>
      </c>
      <c r="Y119" s="40">
        <f t="shared" si="11"/>
        <v>-1.2425218591808673E-2</v>
      </c>
      <c r="AA119" s="92">
        <v>45267</v>
      </c>
      <c r="AB119" s="90">
        <v>390</v>
      </c>
      <c r="AC119" s="40">
        <f t="shared" si="9"/>
        <v>2.9023746701847042E-2</v>
      </c>
    </row>
    <row r="120" spans="1:29">
      <c r="A120" s="92">
        <v>45461</v>
      </c>
      <c r="B120" s="90">
        <v>429.2</v>
      </c>
      <c r="C120" s="40">
        <f t="shared" si="12"/>
        <v>-1.2425218591808673E-2</v>
      </c>
      <c r="D120" s="93">
        <v>23557.9</v>
      </c>
      <c r="E120" s="94">
        <f t="shared" si="13"/>
        <v>3.933417428064967E-3</v>
      </c>
      <c r="F120" s="95">
        <v>19826.650000000001</v>
      </c>
      <c r="G120" s="41">
        <f t="shared" si="10"/>
        <v>3.4801643242807767E-3</v>
      </c>
      <c r="K120" s="2"/>
      <c r="W120" s="92">
        <v>45457</v>
      </c>
      <c r="X120" s="90">
        <v>434.6</v>
      </c>
      <c r="Y120" s="40">
        <f t="shared" si="11"/>
        <v>-1.0248235026189878E-2</v>
      </c>
      <c r="AA120" s="92">
        <v>45266</v>
      </c>
      <c r="AB120" s="90">
        <v>379</v>
      </c>
      <c r="AC120" s="40">
        <f t="shared" si="9"/>
        <v>7.9787234042554278E-3</v>
      </c>
    </row>
    <row r="121" spans="1:29">
      <c r="A121" s="92">
        <v>45457</v>
      </c>
      <c r="B121" s="90">
        <v>434.6</v>
      </c>
      <c r="C121" s="40">
        <f t="shared" si="12"/>
        <v>-1.0248235026189878E-2</v>
      </c>
      <c r="D121" s="93">
        <v>23465.599999999999</v>
      </c>
      <c r="E121" s="94">
        <f t="shared" si="13"/>
        <v>2.8505613511744521E-3</v>
      </c>
      <c r="F121" s="95">
        <v>19895.650000000001</v>
      </c>
      <c r="G121" s="41">
        <f t="shared" si="10"/>
        <v>-2.8724872019764147E-3</v>
      </c>
      <c r="K121" s="2"/>
      <c r="W121" s="92">
        <v>45456</v>
      </c>
      <c r="X121" s="90">
        <v>439.1</v>
      </c>
      <c r="Y121" s="40">
        <f t="shared" si="11"/>
        <v>1.1399908800728831E-3</v>
      </c>
      <c r="AA121" s="92">
        <v>45265</v>
      </c>
      <c r="AB121" s="90">
        <v>376</v>
      </c>
      <c r="AC121" s="40">
        <f t="shared" si="9"/>
        <v>-1.0005265929436624E-2</v>
      </c>
    </row>
    <row r="122" spans="1:29">
      <c r="A122" s="92">
        <v>45456</v>
      </c>
      <c r="B122" s="90">
        <v>439.1</v>
      </c>
      <c r="C122" s="40">
        <f t="shared" si="12"/>
        <v>1.1399908800728831E-3</v>
      </c>
      <c r="D122" s="93">
        <v>23398.9</v>
      </c>
      <c r="E122" s="94">
        <f t="shared" si="13"/>
        <v>3.2564491198583401E-3</v>
      </c>
      <c r="F122" s="95">
        <v>19838.5</v>
      </c>
      <c r="G122" s="41">
        <f t="shared" si="10"/>
        <v>-5.0104594601406705E-3</v>
      </c>
      <c r="K122" s="2"/>
      <c r="W122" s="92">
        <v>45455</v>
      </c>
      <c r="X122" s="90">
        <v>438.6</v>
      </c>
      <c r="Y122" s="40">
        <f t="shared" si="11"/>
        <v>-5.4421768707482165E-3</v>
      </c>
      <c r="AA122" s="92">
        <v>45264</v>
      </c>
      <c r="AB122" s="90">
        <v>379.8</v>
      </c>
      <c r="AC122" s="40">
        <f t="shared" si="9"/>
        <v>5.8262711864407457E-3</v>
      </c>
    </row>
    <row r="123" spans="1:29">
      <c r="A123" s="92">
        <v>45455</v>
      </c>
      <c r="B123" s="90">
        <v>438.6</v>
      </c>
      <c r="C123" s="40">
        <f t="shared" si="12"/>
        <v>-5.4421768707482165E-3</v>
      </c>
      <c r="D123" s="93">
        <v>23322.95</v>
      </c>
      <c r="E123" s="94">
        <f t="shared" si="13"/>
        <v>2.4973296625596664E-3</v>
      </c>
      <c r="F123" s="95">
        <v>19739.099999999999</v>
      </c>
      <c r="G123" s="41">
        <f t="shared" si="10"/>
        <v>-2.50264703051295E-3</v>
      </c>
      <c r="K123" s="2"/>
      <c r="W123" s="92">
        <v>45454</v>
      </c>
      <c r="X123" s="90">
        <v>441</v>
      </c>
      <c r="Y123" s="40">
        <f t="shared" si="11"/>
        <v>-6.1971830985915188E-3</v>
      </c>
      <c r="AA123" s="92">
        <v>45261</v>
      </c>
      <c r="AB123" s="90">
        <v>377.6</v>
      </c>
      <c r="AC123" s="40">
        <f t="shared" si="9"/>
        <v>-8.1428946677172265E-3</v>
      </c>
    </row>
    <row r="124" spans="1:29">
      <c r="A124" s="92">
        <v>45454</v>
      </c>
      <c r="B124" s="90">
        <v>441</v>
      </c>
      <c r="C124" s="40">
        <f t="shared" si="12"/>
        <v>-6.1971830985915188E-3</v>
      </c>
      <c r="D124" s="93">
        <v>23264.85</v>
      </c>
      <c r="E124" s="94">
        <f t="shared" si="13"/>
        <v>2.4291463162962046E-4</v>
      </c>
      <c r="F124" s="95">
        <v>19689.7</v>
      </c>
      <c r="G124" s="41">
        <f t="shared" si="10"/>
        <v>4.3169779123095608E-3</v>
      </c>
      <c r="K124" s="2"/>
      <c r="W124" s="92">
        <v>45453</v>
      </c>
      <c r="X124" s="90">
        <v>443.75</v>
      </c>
      <c r="Y124" s="40">
        <f t="shared" si="11"/>
        <v>1.7775229357798183E-2</v>
      </c>
      <c r="AA124" s="92">
        <v>45260</v>
      </c>
      <c r="AB124" s="90">
        <v>380.7</v>
      </c>
      <c r="AC124" s="40">
        <f t="shared" si="9"/>
        <v>1.519999999999988E-2</v>
      </c>
    </row>
    <row r="125" spans="1:29">
      <c r="A125" s="92">
        <v>45453</v>
      </c>
      <c r="B125" s="90">
        <v>443.75</v>
      </c>
      <c r="C125" s="40">
        <f t="shared" si="12"/>
        <v>1.7775229357798183E-2</v>
      </c>
      <c r="D125" s="93">
        <v>23259.200000000001</v>
      </c>
      <c r="E125" s="94">
        <f t="shared" si="13"/>
        <v>-1.3288879633664985E-3</v>
      </c>
      <c r="F125" s="95">
        <v>19774.7</v>
      </c>
      <c r="G125" s="41">
        <f t="shared" si="10"/>
        <v>-9.9470535583346953E-3</v>
      </c>
      <c r="K125" s="2"/>
      <c r="W125" s="92">
        <v>45450</v>
      </c>
      <c r="X125" s="90">
        <v>436</v>
      </c>
      <c r="Y125" s="40">
        <f t="shared" si="11"/>
        <v>1.3953488372093092E-2</v>
      </c>
      <c r="AA125" s="92">
        <v>45259</v>
      </c>
      <c r="AB125" s="90">
        <v>375</v>
      </c>
      <c r="AC125" s="40">
        <f t="shared" si="9"/>
        <v>1.1736139214892916E-2</v>
      </c>
    </row>
    <row r="126" spans="1:29">
      <c r="A126" s="92">
        <v>45450</v>
      </c>
      <c r="B126" s="90">
        <v>436</v>
      </c>
      <c r="C126" s="40">
        <f t="shared" si="12"/>
        <v>1.3953488372093092E-2</v>
      </c>
      <c r="D126" s="93">
        <v>23290.15</v>
      </c>
      <c r="E126" s="94">
        <f t="shared" si="13"/>
        <v>2.0539931818380985E-2</v>
      </c>
      <c r="F126" s="95">
        <v>19578</v>
      </c>
      <c r="G126" s="41">
        <f t="shared" si="10"/>
        <v>-1.7667790376953763E-2</v>
      </c>
      <c r="K126" s="2"/>
      <c r="W126" s="92">
        <v>45449</v>
      </c>
      <c r="X126" s="90">
        <v>430</v>
      </c>
      <c r="Y126" s="40">
        <f t="shared" si="11"/>
        <v>1.0457055575137986E-2</v>
      </c>
      <c r="AA126" s="92">
        <v>45258</v>
      </c>
      <c r="AB126" s="90">
        <v>370.65</v>
      </c>
      <c r="AC126" s="40">
        <f t="shared" si="9"/>
        <v>-5.5004024684733865E-3</v>
      </c>
    </row>
    <row r="127" spans="1:29">
      <c r="A127" s="92">
        <v>45449</v>
      </c>
      <c r="B127" s="90">
        <v>430</v>
      </c>
      <c r="C127" s="40">
        <f t="shared" si="12"/>
        <v>1.0457055575137986E-2</v>
      </c>
      <c r="D127" s="93">
        <v>22821.4</v>
      </c>
      <c r="E127" s="94">
        <f t="shared" si="13"/>
        <v>8.888014553267487E-3</v>
      </c>
      <c r="F127" s="95">
        <v>19232.099999999999</v>
      </c>
      <c r="G127" s="41">
        <f t="shared" si="10"/>
        <v>2.5556231508780947E-3</v>
      </c>
      <c r="K127" s="2"/>
      <c r="W127" s="92">
        <v>45448</v>
      </c>
      <c r="X127" s="90">
        <v>425.55</v>
      </c>
      <c r="Y127" s="40">
        <f t="shared" si="11"/>
        <v>4.5577395577395707E-2</v>
      </c>
      <c r="AA127" s="92">
        <v>45254</v>
      </c>
      <c r="AB127" s="90">
        <v>372.7</v>
      </c>
      <c r="AC127" s="40">
        <f t="shared" si="9"/>
        <v>8.6603518267929225E-3</v>
      </c>
    </row>
    <row r="128" spans="1:29">
      <c r="A128" s="92">
        <v>45448</v>
      </c>
      <c r="B128" s="90">
        <v>425.55</v>
      </c>
      <c r="C128" s="40">
        <f t="shared" si="12"/>
        <v>4.5577395577395707E-2</v>
      </c>
      <c r="D128" s="93">
        <v>22620.35</v>
      </c>
      <c r="E128" s="94">
        <f t="shared" si="13"/>
        <v>3.3624254609426751E-2</v>
      </c>
      <c r="F128" s="95">
        <v>19281.25</v>
      </c>
      <c r="G128" s="41">
        <f t="shared" si="10"/>
        <v>-3.5168881685575304E-2</v>
      </c>
      <c r="K128" s="2"/>
      <c r="W128" s="92">
        <v>45447</v>
      </c>
      <c r="X128" s="90">
        <v>407</v>
      </c>
      <c r="Y128" s="40">
        <f t="shared" si="11"/>
        <v>-4.8732032254294788E-2</v>
      </c>
      <c r="AA128" s="92">
        <v>45253</v>
      </c>
      <c r="AB128" s="90">
        <v>369.5</v>
      </c>
      <c r="AC128" s="40">
        <f t="shared" si="9"/>
        <v>-1.0841922098781986E-2</v>
      </c>
    </row>
    <row r="129" spans="1:29">
      <c r="A129" s="92">
        <v>45447</v>
      </c>
      <c r="B129" s="90">
        <v>407</v>
      </c>
      <c r="C129" s="40">
        <f t="shared" si="12"/>
        <v>-4.8732032254294788E-2</v>
      </c>
      <c r="D129" s="93">
        <v>21884.5</v>
      </c>
      <c r="E129" s="94">
        <f t="shared" si="13"/>
        <v>-5.9293583620975032E-2</v>
      </c>
      <c r="F129" s="95">
        <v>18603.150000000001</v>
      </c>
      <c r="G129" s="41">
        <f t="shared" si="10"/>
        <v>1.4029882036106889E-2</v>
      </c>
      <c r="K129" s="2"/>
      <c r="W129" s="92">
        <v>45446</v>
      </c>
      <c r="X129" s="90">
        <v>427.85</v>
      </c>
      <c r="Y129" s="40">
        <f t="shared" si="11"/>
        <v>2.0391128070593956E-2</v>
      </c>
      <c r="AA129" s="92">
        <v>45252</v>
      </c>
      <c r="AB129" s="90">
        <v>373.55</v>
      </c>
      <c r="AC129" s="40">
        <f t="shared" si="9"/>
        <v>-5.3511705685616029E-4</v>
      </c>
    </row>
    <row r="130" spans="1:29">
      <c r="A130" s="92">
        <v>45446</v>
      </c>
      <c r="B130" s="90">
        <v>427.85</v>
      </c>
      <c r="C130" s="40">
        <f t="shared" si="12"/>
        <v>2.0391128070593956E-2</v>
      </c>
      <c r="D130" s="93">
        <v>23263.9</v>
      </c>
      <c r="E130" s="94">
        <f t="shared" si="13"/>
        <v>3.2542264554585643E-2</v>
      </c>
      <c r="F130" s="95">
        <v>18864.150000000001</v>
      </c>
      <c r="G130" s="41">
        <f t="shared" si="10"/>
        <v>-3.5967695337453254E-3</v>
      </c>
      <c r="K130" s="2"/>
      <c r="W130" s="92">
        <v>45443</v>
      </c>
      <c r="X130" s="90">
        <v>419.3</v>
      </c>
      <c r="Y130" s="40">
        <f t="shared" si="11"/>
        <v>-2.2610722610722611E-2</v>
      </c>
      <c r="AA130" s="92">
        <v>45251</v>
      </c>
      <c r="AB130" s="90">
        <v>373.75</v>
      </c>
      <c r="AC130" s="40">
        <f t="shared" si="9"/>
        <v>1.5625E-2</v>
      </c>
    </row>
    <row r="131" spans="1:29">
      <c r="A131" s="92">
        <v>45443</v>
      </c>
      <c r="B131" s="90">
        <v>419.3</v>
      </c>
      <c r="C131" s="40">
        <f t="shared" si="12"/>
        <v>-2.2610722610722611E-2</v>
      </c>
      <c r="D131" s="93">
        <v>22530.7</v>
      </c>
      <c r="E131" s="94">
        <f t="shared" si="13"/>
        <v>1.8698321153114428E-3</v>
      </c>
      <c r="F131" s="95">
        <v>18796.3</v>
      </c>
      <c r="G131" s="41">
        <f t="shared" si="10"/>
        <v>9.294382405047763E-3</v>
      </c>
      <c r="K131" s="2"/>
      <c r="W131" s="92">
        <v>45442</v>
      </c>
      <c r="X131" s="90">
        <v>429</v>
      </c>
      <c r="Y131" s="40">
        <f t="shared" si="11"/>
        <v>-2.8422602196806701E-2</v>
      </c>
      <c r="AA131" s="92">
        <v>45250</v>
      </c>
      <c r="AB131" s="90">
        <v>368</v>
      </c>
      <c r="AC131" s="40"/>
    </row>
    <row r="132" spans="1:29">
      <c r="A132" s="92">
        <v>45442</v>
      </c>
      <c r="B132" s="90">
        <v>429</v>
      </c>
      <c r="C132" s="40">
        <f t="shared" si="12"/>
        <v>-2.8422602196806701E-2</v>
      </c>
      <c r="D132" s="93">
        <v>22488.65</v>
      </c>
      <c r="E132" s="94">
        <f t="shared" si="13"/>
        <v>-9.515650944518117E-3</v>
      </c>
      <c r="F132" s="95">
        <v>18971</v>
      </c>
      <c r="G132" s="41">
        <f t="shared" si="10"/>
        <v>1.8467661167044458E-2</v>
      </c>
      <c r="K132" s="2"/>
      <c r="W132" s="92">
        <v>45441</v>
      </c>
      <c r="X132" s="90">
        <v>441.55</v>
      </c>
      <c r="Y132" s="40">
        <f t="shared" si="11"/>
        <v>-1.042133572389059E-2</v>
      </c>
    </row>
    <row r="133" spans="1:29">
      <c r="A133" s="92">
        <v>45441</v>
      </c>
      <c r="B133" s="90">
        <v>441.55</v>
      </c>
      <c r="C133" s="40">
        <f t="shared" si="12"/>
        <v>-1.042133572389059E-2</v>
      </c>
      <c r="D133" s="93">
        <v>22704.7</v>
      </c>
      <c r="E133" s="94">
        <f t="shared" si="13"/>
        <v>-8.015064563977492E-3</v>
      </c>
      <c r="F133" s="95">
        <v>19321.349999999999</v>
      </c>
      <c r="G133" s="41">
        <f t="shared" si="10"/>
        <v>-5.4654566062929399E-3</v>
      </c>
      <c r="K133" s="2"/>
      <c r="W133" s="92">
        <v>45440</v>
      </c>
      <c r="X133" s="90">
        <v>446.2</v>
      </c>
      <c r="Y133" s="40">
        <f t="shared" si="11"/>
        <v>6.6553863508178601E-3</v>
      </c>
    </row>
    <row r="134" spans="1:29">
      <c r="A134" s="92">
        <v>45440</v>
      </c>
      <c r="B134" s="90">
        <v>446.2</v>
      </c>
      <c r="C134" s="40">
        <f t="shared" si="12"/>
        <v>6.6553863508178601E-3</v>
      </c>
      <c r="D134" s="93">
        <v>22888.15</v>
      </c>
      <c r="E134" s="94">
        <f t="shared" si="13"/>
        <v>-1.9317604529824894E-3</v>
      </c>
      <c r="F134" s="95">
        <v>19215.75</v>
      </c>
      <c r="G134" s="41">
        <f t="shared" si="10"/>
        <v>-5.4018188204987272E-3</v>
      </c>
      <c r="K134" s="2"/>
      <c r="W134" s="92">
        <v>45439</v>
      </c>
      <c r="X134" s="90">
        <v>443.25</v>
      </c>
      <c r="Y134" s="40">
        <f t="shared" si="11"/>
        <v>1.0371552313654053E-2</v>
      </c>
    </row>
    <row r="135" spans="1:29">
      <c r="A135" s="92">
        <v>45439</v>
      </c>
      <c r="B135" s="90">
        <v>443.25</v>
      </c>
      <c r="C135" s="40">
        <f t="shared" si="12"/>
        <v>1.0371552313654053E-2</v>
      </c>
      <c r="D135" s="93">
        <v>22932.45</v>
      </c>
      <c r="E135" s="94">
        <f t="shared" si="13"/>
        <v>-1.073741892486324E-3</v>
      </c>
      <c r="F135" s="95">
        <v>19111.95</v>
      </c>
      <c r="G135" s="41">
        <f t="shared" si="10"/>
        <v>3.9504079908114775E-4</v>
      </c>
      <c r="K135" s="2"/>
      <c r="W135" s="92">
        <v>45436</v>
      </c>
      <c r="X135" s="90">
        <v>438.7</v>
      </c>
      <c r="Y135" s="40">
        <f t="shared" si="11"/>
        <v>-2.2286605749944233E-2</v>
      </c>
    </row>
    <row r="136" spans="1:29">
      <c r="A136" s="92">
        <v>45436</v>
      </c>
      <c r="B136" s="90">
        <v>438.7</v>
      </c>
      <c r="C136" s="40">
        <f t="shared" si="12"/>
        <v>-2.2286605749944233E-2</v>
      </c>
      <c r="D136" s="93">
        <v>22957.1</v>
      </c>
      <c r="E136" s="94">
        <f t="shared" si="13"/>
        <v>-4.5934172629780168E-4</v>
      </c>
      <c r="F136" s="95">
        <v>19119.5</v>
      </c>
      <c r="G136" s="41">
        <f t="shared" si="10"/>
        <v>5.0655090352780263E-3</v>
      </c>
      <c r="K136" s="2"/>
      <c r="W136" s="92">
        <v>45435</v>
      </c>
      <c r="X136" s="90">
        <v>448.7</v>
      </c>
      <c r="Y136" s="40">
        <f t="shared" si="11"/>
        <v>-1.719417369400944E-2</v>
      </c>
    </row>
    <row r="137" spans="1:29">
      <c r="A137" s="92">
        <v>45435</v>
      </c>
      <c r="B137" s="90">
        <v>448.7</v>
      </c>
      <c r="C137" s="40">
        <f t="shared" si="12"/>
        <v>-1.719417369400944E-2</v>
      </c>
      <c r="D137" s="93">
        <v>22967.65</v>
      </c>
      <c r="E137" s="94">
        <f t="shared" si="13"/>
        <v>1.6366637460283773E-2</v>
      </c>
      <c r="F137" s="95">
        <v>19216.349999999999</v>
      </c>
      <c r="G137" s="41">
        <f t="shared" ref="G137:G200" si="14">F138/F137-1</f>
        <v>5.2585428554332569E-3</v>
      </c>
      <c r="K137" s="2"/>
      <c r="W137" s="92">
        <v>45434</v>
      </c>
      <c r="X137" s="90">
        <v>456.55</v>
      </c>
      <c r="Y137" s="40">
        <f t="shared" ref="Y137:Y200" si="15">X137/X138-1</f>
        <v>7.8366445916115968E-3</v>
      </c>
    </row>
    <row r="138" spans="1:29">
      <c r="A138" s="92">
        <v>45434</v>
      </c>
      <c r="B138" s="90">
        <v>456.55</v>
      </c>
      <c r="C138" s="40">
        <f t="shared" ref="C138:C201" si="16">B138/B139-1</f>
        <v>7.8366445916115968E-3</v>
      </c>
      <c r="D138" s="93">
        <v>22597.8</v>
      </c>
      <c r="E138" s="94">
        <f t="shared" ref="E138:E201" si="17">D138/D139-1</f>
        <v>3.0516155807722711E-3</v>
      </c>
      <c r="F138" s="95">
        <v>19317.400000000001</v>
      </c>
      <c r="G138" s="41">
        <f t="shared" si="14"/>
        <v>-5.8082350626896817E-3</v>
      </c>
      <c r="K138" s="2"/>
      <c r="W138" s="92">
        <v>45433</v>
      </c>
      <c r="X138" s="90">
        <v>453</v>
      </c>
      <c r="Y138" s="40">
        <f t="shared" si="15"/>
        <v>2.0155387906767297E-2</v>
      </c>
    </row>
    <row r="139" spans="1:29">
      <c r="A139" s="92">
        <v>45433</v>
      </c>
      <c r="B139" s="90">
        <v>453</v>
      </c>
      <c r="C139" s="40">
        <f t="shared" si="16"/>
        <v>2.0155387906767297E-2</v>
      </c>
      <c r="D139" s="93">
        <v>22529.05</v>
      </c>
      <c r="E139" s="94">
        <f t="shared" si="17"/>
        <v>1.2021153675227936E-3</v>
      </c>
      <c r="F139" s="95">
        <v>19205.2</v>
      </c>
      <c r="G139" s="41">
        <f t="shared" si="14"/>
        <v>-5.061129277487364E-3</v>
      </c>
      <c r="K139" s="2"/>
      <c r="W139" s="92">
        <v>45430</v>
      </c>
      <c r="X139" s="90">
        <v>444.05</v>
      </c>
      <c r="Y139" s="40">
        <f t="shared" si="15"/>
        <v>1.0352673492605158E-2</v>
      </c>
    </row>
    <row r="140" spans="1:29">
      <c r="A140" s="92">
        <v>45430</v>
      </c>
      <c r="B140" s="90">
        <v>444.05</v>
      </c>
      <c r="C140" s="40">
        <f t="shared" si="16"/>
        <v>1.0352673492605158E-2</v>
      </c>
      <c r="D140" s="93">
        <v>22502</v>
      </c>
      <c r="E140" s="94">
        <f t="shared" si="17"/>
        <v>1.5979631533733496E-3</v>
      </c>
      <c r="F140" s="95">
        <v>19108</v>
      </c>
      <c r="G140" s="41">
        <f t="shared" si="14"/>
        <v>-6.6150303537786392E-3</v>
      </c>
      <c r="K140" s="2"/>
      <c r="W140" s="92">
        <v>45429</v>
      </c>
      <c r="X140" s="90">
        <v>439.5</v>
      </c>
      <c r="Y140" s="40">
        <f t="shared" si="15"/>
        <v>-1.2359550561797716E-2</v>
      </c>
    </row>
    <row r="141" spans="1:29">
      <c r="A141" s="92">
        <v>45429</v>
      </c>
      <c r="B141" s="90">
        <v>439.5</v>
      </c>
      <c r="C141" s="40">
        <f t="shared" si="16"/>
        <v>-1.2359550561797716E-2</v>
      </c>
      <c r="D141" s="93">
        <v>22466.1</v>
      </c>
      <c r="E141" s="94">
        <f t="shared" si="17"/>
        <v>2.7785402955295968E-3</v>
      </c>
      <c r="F141" s="95">
        <v>18981.599999999999</v>
      </c>
      <c r="G141" s="41">
        <f t="shared" si="14"/>
        <v>7.6653179921626347E-4</v>
      </c>
      <c r="K141" s="2"/>
      <c r="W141" s="92">
        <v>45428</v>
      </c>
      <c r="X141" s="90">
        <v>445</v>
      </c>
      <c r="Y141" s="40">
        <f t="shared" si="15"/>
        <v>2.0642201834862428E-2</v>
      </c>
    </row>
    <row r="142" spans="1:29">
      <c r="A142" s="92">
        <v>45428</v>
      </c>
      <c r="B142" s="90">
        <v>445</v>
      </c>
      <c r="C142" s="40">
        <f t="shared" si="16"/>
        <v>2.0642201834862428E-2</v>
      </c>
      <c r="D142" s="93">
        <v>22403.85</v>
      </c>
      <c r="E142" s="94">
        <f t="shared" si="17"/>
        <v>9.1574307843724778E-3</v>
      </c>
      <c r="F142" s="95">
        <v>18996.150000000001</v>
      </c>
      <c r="G142" s="41">
        <f t="shared" si="14"/>
        <v>-5.7695901537944128E-3</v>
      </c>
      <c r="K142" s="2"/>
      <c r="W142" s="92">
        <v>45427</v>
      </c>
      <c r="X142" s="90">
        <v>436</v>
      </c>
      <c r="Y142" s="40">
        <f t="shared" si="15"/>
        <v>2.2988505747125743E-3</v>
      </c>
    </row>
    <row r="143" spans="1:29">
      <c r="A143" s="92">
        <v>45427</v>
      </c>
      <c r="B143" s="90">
        <v>436</v>
      </c>
      <c r="C143" s="40">
        <f t="shared" si="16"/>
        <v>2.2988505747125743E-3</v>
      </c>
      <c r="D143" s="93">
        <v>22200.55</v>
      </c>
      <c r="E143" s="94">
        <f t="shared" si="17"/>
        <v>-7.7865320001702099E-4</v>
      </c>
      <c r="F143" s="95">
        <v>18886.55</v>
      </c>
      <c r="G143" s="41">
        <f t="shared" si="14"/>
        <v>-1.3607567289950495E-3</v>
      </c>
      <c r="K143" s="2"/>
      <c r="W143" s="92">
        <v>45426</v>
      </c>
      <c r="X143" s="90">
        <v>435</v>
      </c>
      <c r="Y143" s="40">
        <f t="shared" si="15"/>
        <v>8.1112398609501923E-3</v>
      </c>
    </row>
    <row r="144" spans="1:29">
      <c r="A144" s="92">
        <v>45426</v>
      </c>
      <c r="B144" s="90">
        <v>435</v>
      </c>
      <c r="C144" s="40">
        <f t="shared" si="16"/>
        <v>8.1112398609501923E-3</v>
      </c>
      <c r="D144" s="93">
        <v>22217.85</v>
      </c>
      <c r="E144" s="94">
        <f t="shared" si="17"/>
        <v>5.1483777859713253E-3</v>
      </c>
      <c r="F144" s="95">
        <v>18860.849999999999</v>
      </c>
      <c r="G144" s="41">
        <f t="shared" si="14"/>
        <v>4.1435036066774789E-3</v>
      </c>
      <c r="K144" s="2"/>
      <c r="W144" s="92">
        <v>45425</v>
      </c>
      <c r="X144" s="90">
        <v>431.5</v>
      </c>
      <c r="Y144" s="40">
        <f t="shared" si="15"/>
        <v>-1.7084282460136713E-2</v>
      </c>
    </row>
    <row r="145" spans="1:25">
      <c r="A145" s="92">
        <v>45425</v>
      </c>
      <c r="B145" s="90">
        <v>431.5</v>
      </c>
      <c r="C145" s="40">
        <f t="shared" si="16"/>
        <v>-1.7084282460136713E-2</v>
      </c>
      <c r="D145" s="93">
        <v>22104.05</v>
      </c>
      <c r="E145" s="94">
        <f t="shared" si="17"/>
        <v>2.2148971671078765E-3</v>
      </c>
      <c r="F145" s="95">
        <v>18939</v>
      </c>
      <c r="G145" s="41">
        <f t="shared" si="14"/>
        <v>-1.7400601932520132E-2</v>
      </c>
      <c r="K145" s="2"/>
      <c r="W145" s="92">
        <v>45422</v>
      </c>
      <c r="X145" s="90">
        <v>439</v>
      </c>
      <c r="Y145" s="40">
        <f t="shared" si="15"/>
        <v>3.2698188661491434E-2</v>
      </c>
    </row>
    <row r="146" spans="1:25">
      <c r="A146" s="92">
        <v>45422</v>
      </c>
      <c r="B146" s="90">
        <v>439</v>
      </c>
      <c r="C146" s="40">
        <f t="shared" si="16"/>
        <v>3.2698188661491434E-2</v>
      </c>
      <c r="D146" s="93">
        <v>22055.200000000001</v>
      </c>
      <c r="E146" s="94">
        <f t="shared" si="17"/>
        <v>4.4495047250370234E-3</v>
      </c>
      <c r="F146" s="95">
        <v>18609.45</v>
      </c>
      <c r="G146" s="41">
        <f t="shared" si="14"/>
        <v>-9.2641104385138284E-3</v>
      </c>
      <c r="K146" s="2"/>
      <c r="W146" s="92">
        <v>45421</v>
      </c>
      <c r="X146" s="90">
        <v>425.1</v>
      </c>
      <c r="Y146" s="40">
        <f t="shared" si="15"/>
        <v>-2.5335320417287477E-2</v>
      </c>
    </row>
    <row r="147" spans="1:25">
      <c r="A147" s="92">
        <v>45421</v>
      </c>
      <c r="B147" s="90">
        <v>425.1</v>
      </c>
      <c r="C147" s="40">
        <f t="shared" si="16"/>
        <v>-2.5335320417287477E-2</v>
      </c>
      <c r="D147" s="93">
        <v>21957.5</v>
      </c>
      <c r="E147" s="94">
        <f t="shared" si="17"/>
        <v>-1.546911781190452E-2</v>
      </c>
      <c r="F147" s="95">
        <v>18437.05</v>
      </c>
      <c r="G147" s="41">
        <f t="shared" si="14"/>
        <v>2.2443937614748499E-2</v>
      </c>
      <c r="K147" s="2"/>
      <c r="W147" s="92">
        <v>45420</v>
      </c>
      <c r="X147" s="90">
        <v>436.15</v>
      </c>
      <c r="Y147" s="40">
        <f t="shared" si="15"/>
        <v>1.6311313060701327E-2</v>
      </c>
    </row>
    <row r="148" spans="1:25">
      <c r="A148" s="92">
        <v>45420</v>
      </c>
      <c r="B148" s="90">
        <v>436.15</v>
      </c>
      <c r="C148" s="40">
        <f t="shared" si="16"/>
        <v>1.6311313060701327E-2</v>
      </c>
      <c r="D148" s="93">
        <v>22302.5</v>
      </c>
      <c r="E148" s="94">
        <f t="shared" si="17"/>
        <v>0</v>
      </c>
      <c r="F148" s="95">
        <v>18850.849999999999</v>
      </c>
      <c r="G148" s="41">
        <f t="shared" si="14"/>
        <v>-2.4136842635735789E-4</v>
      </c>
      <c r="K148" s="2"/>
      <c r="W148" s="92">
        <v>45419</v>
      </c>
      <c r="X148" s="90">
        <v>429.15</v>
      </c>
      <c r="Y148" s="40">
        <f t="shared" si="15"/>
        <v>-2.3104939676758529E-2</v>
      </c>
    </row>
    <row r="149" spans="1:25">
      <c r="A149" s="92">
        <v>45419</v>
      </c>
      <c r="B149" s="90">
        <v>429.15</v>
      </c>
      <c r="C149" s="40">
        <f t="shared" si="16"/>
        <v>-2.3104939676758529E-2</v>
      </c>
      <c r="D149" s="93">
        <v>22302.5</v>
      </c>
      <c r="E149" s="94">
        <f t="shared" si="17"/>
        <v>-6.2470201891929866E-3</v>
      </c>
      <c r="F149" s="95">
        <v>18846.3</v>
      </c>
      <c r="G149" s="41">
        <f t="shared" si="14"/>
        <v>1.8942710240206218E-2</v>
      </c>
      <c r="K149" s="2"/>
      <c r="W149" s="92">
        <v>45418</v>
      </c>
      <c r="X149" s="90">
        <v>439.3</v>
      </c>
      <c r="Y149" s="40">
        <f t="shared" si="15"/>
        <v>-1.5905017921146847E-2</v>
      </c>
    </row>
    <row r="150" spans="1:25">
      <c r="A150" s="92">
        <v>45418</v>
      </c>
      <c r="B150" s="90">
        <v>439.3</v>
      </c>
      <c r="C150" s="40">
        <f t="shared" si="16"/>
        <v>-1.5905017921146847E-2</v>
      </c>
      <c r="D150" s="93">
        <v>22442.7</v>
      </c>
      <c r="E150" s="94">
        <f t="shared" si="17"/>
        <v>-1.4749164102803025E-3</v>
      </c>
      <c r="F150" s="95">
        <v>19203.3</v>
      </c>
      <c r="G150" s="41">
        <f t="shared" si="14"/>
        <v>-3.6399993751072834E-3</v>
      </c>
      <c r="K150" s="2"/>
      <c r="W150" s="92">
        <v>45415</v>
      </c>
      <c r="X150" s="90">
        <v>446.4</v>
      </c>
      <c r="Y150" s="40">
        <f t="shared" si="15"/>
        <v>-9.5407144441979064E-3</v>
      </c>
    </row>
    <row r="151" spans="1:25">
      <c r="A151" s="92">
        <v>45415</v>
      </c>
      <c r="B151" s="90">
        <v>446.4</v>
      </c>
      <c r="C151" s="40">
        <f t="shared" si="16"/>
        <v>-9.5407144441979064E-3</v>
      </c>
      <c r="D151" s="93">
        <v>22475.85</v>
      </c>
      <c r="E151" s="94">
        <f t="shared" si="17"/>
        <v>-7.6098762815588472E-3</v>
      </c>
      <c r="F151" s="95">
        <v>19133.400000000001</v>
      </c>
      <c r="G151" s="41">
        <f t="shared" si="14"/>
        <v>-4.6776840498818917E-4</v>
      </c>
      <c r="K151" s="2"/>
      <c r="W151" s="92">
        <v>45414</v>
      </c>
      <c r="X151" s="90">
        <v>450.7</v>
      </c>
      <c r="Y151" s="40">
        <f t="shared" si="15"/>
        <v>-6.6518847006658E-4</v>
      </c>
    </row>
    <row r="152" spans="1:25">
      <c r="A152" s="92">
        <v>45414</v>
      </c>
      <c r="B152" s="90">
        <v>450.7</v>
      </c>
      <c r="C152" s="40">
        <f t="shared" si="16"/>
        <v>-6.6518847006658E-4</v>
      </c>
      <c r="D152" s="93">
        <v>22648.2</v>
      </c>
      <c r="E152" s="94">
        <f t="shared" si="17"/>
        <v>1.917730044658672E-3</v>
      </c>
      <c r="F152" s="95">
        <v>19124.45</v>
      </c>
      <c r="G152" s="41">
        <f t="shared" si="14"/>
        <v>-8.0446757945981107E-3</v>
      </c>
      <c r="K152" s="2"/>
      <c r="W152" s="92">
        <v>45412</v>
      </c>
      <c r="X152" s="90">
        <v>451</v>
      </c>
      <c r="Y152" s="40">
        <f t="shared" si="15"/>
        <v>1.348314606741563E-2</v>
      </c>
    </row>
    <row r="153" spans="1:25">
      <c r="A153" s="92">
        <v>45412</v>
      </c>
      <c r="B153" s="90">
        <v>451</v>
      </c>
      <c r="C153" s="40">
        <f t="shared" si="16"/>
        <v>1.348314606741563E-2</v>
      </c>
      <c r="D153" s="93">
        <v>22604.85</v>
      </c>
      <c r="E153" s="94">
        <f t="shared" si="17"/>
        <v>-1.7024828426828176E-3</v>
      </c>
      <c r="F153" s="95">
        <v>18970.599999999999</v>
      </c>
      <c r="G153" s="41">
        <f t="shared" si="14"/>
        <v>6.6576702898171192E-3</v>
      </c>
      <c r="K153" s="2"/>
      <c r="W153" s="92">
        <v>45411</v>
      </c>
      <c r="X153" s="90">
        <v>445</v>
      </c>
      <c r="Y153" s="40">
        <f t="shared" si="15"/>
        <v>1.9356316573130306E-2</v>
      </c>
    </row>
    <row r="154" spans="1:25">
      <c r="A154" s="92">
        <v>45411</v>
      </c>
      <c r="B154" s="90">
        <v>445</v>
      </c>
      <c r="C154" s="40">
        <f t="shared" si="16"/>
        <v>1.9356316573130306E-2</v>
      </c>
      <c r="D154" s="93">
        <v>22643.4</v>
      </c>
      <c r="E154" s="94">
        <f t="shared" si="17"/>
        <v>9.9665699522077933E-3</v>
      </c>
      <c r="F154" s="95">
        <v>19096.900000000001</v>
      </c>
      <c r="G154" s="41">
        <f t="shared" si="14"/>
        <v>-5.3542721593556886E-3</v>
      </c>
      <c r="K154" s="2"/>
      <c r="W154" s="92">
        <v>45408</v>
      </c>
      <c r="X154" s="90">
        <v>436.55</v>
      </c>
      <c r="Y154" s="40">
        <f t="shared" si="15"/>
        <v>2.9599056603773599E-2</v>
      </c>
    </row>
    <row r="155" spans="1:25">
      <c r="A155" s="92">
        <v>45408</v>
      </c>
      <c r="B155" s="90">
        <v>436.55</v>
      </c>
      <c r="C155" s="40">
        <f t="shared" si="16"/>
        <v>2.9599056603773599E-2</v>
      </c>
      <c r="D155" s="93">
        <v>22419.95</v>
      </c>
      <c r="E155" s="94">
        <f t="shared" si="17"/>
        <v>-6.6636095585579369E-3</v>
      </c>
      <c r="F155" s="95">
        <v>18994.650000000001</v>
      </c>
      <c r="G155" s="41">
        <f t="shared" si="14"/>
        <v>-6.1333059572037385E-3</v>
      </c>
      <c r="K155" s="2"/>
      <c r="W155" s="92">
        <v>45407</v>
      </c>
      <c r="X155" s="90">
        <v>424</v>
      </c>
      <c r="Y155" s="40">
        <f t="shared" si="15"/>
        <v>-2.4614676788589751E-2</v>
      </c>
    </row>
    <row r="156" spans="1:25">
      <c r="A156" s="92">
        <v>45407</v>
      </c>
      <c r="B156" s="90">
        <v>424</v>
      </c>
      <c r="C156" s="40">
        <f t="shared" si="16"/>
        <v>-2.4614676788589751E-2</v>
      </c>
      <c r="D156" s="93">
        <v>22570.35</v>
      </c>
      <c r="E156" s="94">
        <f t="shared" si="17"/>
        <v>7.496964610934409E-3</v>
      </c>
      <c r="F156" s="95">
        <v>18878.150000000001</v>
      </c>
      <c r="G156" s="41">
        <f t="shared" si="14"/>
        <v>-1.5464968760180442E-2</v>
      </c>
      <c r="K156" s="2"/>
      <c r="W156" s="92">
        <v>45406</v>
      </c>
      <c r="X156" s="90">
        <v>434.7</v>
      </c>
      <c r="Y156" s="40">
        <f t="shared" si="15"/>
        <v>4.7382410724603474E-3</v>
      </c>
    </row>
    <row r="157" spans="1:25">
      <c r="A157" s="92">
        <v>45406</v>
      </c>
      <c r="B157" s="90">
        <v>434.7</v>
      </c>
      <c r="C157" s="40">
        <f t="shared" si="16"/>
        <v>4.7382410724603474E-3</v>
      </c>
      <c r="D157" s="93">
        <v>22402.400000000001</v>
      </c>
      <c r="E157" s="94">
        <f t="shared" si="17"/>
        <v>1.5379113018598733E-3</v>
      </c>
      <c r="F157" s="95">
        <v>18586.2</v>
      </c>
      <c r="G157" s="41">
        <f t="shared" si="14"/>
        <v>-6.588221368542313E-3</v>
      </c>
      <c r="K157" s="2"/>
      <c r="W157" s="92">
        <v>45405</v>
      </c>
      <c r="X157" s="90">
        <v>432.65</v>
      </c>
      <c r="Y157" s="40">
        <f t="shared" si="15"/>
        <v>1.3887281564632925E-3</v>
      </c>
    </row>
    <row r="158" spans="1:25">
      <c r="A158" s="92">
        <v>45405</v>
      </c>
      <c r="B158" s="90">
        <v>432.65</v>
      </c>
      <c r="C158" s="40">
        <f t="shared" si="16"/>
        <v>1.3887281564632925E-3</v>
      </c>
      <c r="D158" s="93">
        <v>22368</v>
      </c>
      <c r="E158" s="94">
        <f t="shared" si="17"/>
        <v>1.4147311115488836E-3</v>
      </c>
      <c r="F158" s="95">
        <v>18463.75</v>
      </c>
      <c r="G158" s="41">
        <f t="shared" si="14"/>
        <v>9.708212037099706E-3</v>
      </c>
      <c r="K158" s="2"/>
      <c r="W158" s="92">
        <v>45404</v>
      </c>
      <c r="X158" s="90">
        <v>432.05</v>
      </c>
      <c r="Y158" s="40">
        <f t="shared" si="15"/>
        <v>1.42018779342723E-2</v>
      </c>
    </row>
    <row r="159" spans="1:25">
      <c r="A159" s="92">
        <v>45404</v>
      </c>
      <c r="B159" s="90">
        <v>432.05</v>
      </c>
      <c r="C159" s="40">
        <f t="shared" si="16"/>
        <v>1.42018779342723E-2</v>
      </c>
      <c r="D159" s="93">
        <v>22336.400000000001</v>
      </c>
      <c r="E159" s="94">
        <f t="shared" si="17"/>
        <v>8.5519483451483858E-3</v>
      </c>
      <c r="F159" s="95">
        <v>18643</v>
      </c>
      <c r="G159" s="41">
        <f t="shared" si="14"/>
        <v>-1.2787641474011791E-2</v>
      </c>
      <c r="K159" s="2"/>
      <c r="W159" s="92">
        <v>45401</v>
      </c>
      <c r="X159" s="90">
        <v>426</v>
      </c>
      <c r="Y159" s="40">
        <f t="shared" si="15"/>
        <v>-1.6166281755196299E-2</v>
      </c>
    </row>
    <row r="160" spans="1:25">
      <c r="A160" s="92">
        <v>45401</v>
      </c>
      <c r="B160" s="90">
        <v>426</v>
      </c>
      <c r="C160" s="40">
        <f t="shared" si="16"/>
        <v>-1.6166281755196299E-2</v>
      </c>
      <c r="D160" s="93">
        <v>22147</v>
      </c>
      <c r="E160" s="94">
        <f t="shared" si="17"/>
        <v>6.8717508075386569E-3</v>
      </c>
      <c r="F160" s="95">
        <v>18404.599999999999</v>
      </c>
      <c r="G160" s="41">
        <f t="shared" si="14"/>
        <v>6.5825934820642473E-3</v>
      </c>
      <c r="K160" s="2"/>
      <c r="W160" s="92">
        <v>45400</v>
      </c>
      <c r="X160" s="90">
        <v>433</v>
      </c>
      <c r="Y160" s="40">
        <f t="shared" si="15"/>
        <v>-2.4774774774774744E-2</v>
      </c>
    </row>
    <row r="161" spans="1:25">
      <c r="A161" s="92">
        <v>45400</v>
      </c>
      <c r="B161" s="90">
        <v>433</v>
      </c>
      <c r="C161" s="40">
        <f t="shared" si="16"/>
        <v>-2.4774774774774744E-2</v>
      </c>
      <c r="D161" s="93">
        <v>21995.85</v>
      </c>
      <c r="E161" s="94">
        <f t="shared" si="17"/>
        <v>-6.8652106971768267E-3</v>
      </c>
      <c r="F161" s="95">
        <v>18525.75</v>
      </c>
      <c r="G161" s="41">
        <f t="shared" si="14"/>
        <v>9.1683197711291964E-3</v>
      </c>
      <c r="K161" s="2"/>
      <c r="W161" s="92">
        <v>45398</v>
      </c>
      <c r="X161" s="90">
        <v>444</v>
      </c>
      <c r="Y161" s="40">
        <f t="shared" si="15"/>
        <v>3.0162412993039345E-2</v>
      </c>
    </row>
    <row r="162" spans="1:25">
      <c r="A162" s="92">
        <v>45398</v>
      </c>
      <c r="B162" s="90">
        <v>444</v>
      </c>
      <c r="C162" s="40">
        <f t="shared" si="16"/>
        <v>3.0162412993039345E-2</v>
      </c>
      <c r="D162" s="93">
        <v>22147.9</v>
      </c>
      <c r="E162" s="94">
        <f t="shared" si="17"/>
        <v>-5.5943427994162853E-3</v>
      </c>
      <c r="F162" s="95">
        <v>18695.599999999999</v>
      </c>
      <c r="G162" s="41">
        <f t="shared" si="14"/>
        <v>-4.1694302402702776E-3</v>
      </c>
      <c r="K162" s="2"/>
      <c r="W162" s="92">
        <v>45397</v>
      </c>
      <c r="X162" s="90">
        <v>431</v>
      </c>
      <c r="Y162" s="40">
        <f t="shared" si="15"/>
        <v>-2.8951222259772535E-2</v>
      </c>
    </row>
    <row r="163" spans="1:25">
      <c r="A163" s="92">
        <v>45397</v>
      </c>
      <c r="B163" s="90">
        <v>431</v>
      </c>
      <c r="C163" s="40">
        <f t="shared" si="16"/>
        <v>-2.8951222259772535E-2</v>
      </c>
      <c r="D163" s="93">
        <v>22272.5</v>
      </c>
      <c r="E163" s="94">
        <f t="shared" si="17"/>
        <v>-1.0963880032327733E-2</v>
      </c>
      <c r="F163" s="95">
        <v>18617.650000000001</v>
      </c>
      <c r="G163" s="41">
        <f t="shared" si="14"/>
        <v>9.184832672222365E-3</v>
      </c>
      <c r="K163" s="2"/>
      <c r="W163" s="92">
        <v>45394</v>
      </c>
      <c r="X163" s="90">
        <v>443.85</v>
      </c>
      <c r="Y163" s="40">
        <f t="shared" si="15"/>
        <v>-2.9517874713020698E-2</v>
      </c>
    </row>
    <row r="164" spans="1:25">
      <c r="A164" s="92">
        <v>45394</v>
      </c>
      <c r="B164" s="90">
        <v>443.85</v>
      </c>
      <c r="C164" s="40">
        <f t="shared" si="16"/>
        <v>-2.9517874713020698E-2</v>
      </c>
      <c r="D164" s="93">
        <v>22519.4</v>
      </c>
      <c r="E164" s="94">
        <f t="shared" si="17"/>
        <v>-1.0301576000492085E-2</v>
      </c>
      <c r="F164" s="95">
        <v>18788.650000000001</v>
      </c>
      <c r="G164" s="41">
        <f t="shared" si="14"/>
        <v>1.7475976187751652E-2</v>
      </c>
      <c r="K164" s="2"/>
      <c r="W164" s="92">
        <v>45392</v>
      </c>
      <c r="X164" s="90">
        <v>457.35</v>
      </c>
      <c r="Y164" s="40">
        <f t="shared" si="15"/>
        <v>6.2706270627064242E-3</v>
      </c>
    </row>
    <row r="165" spans="1:25">
      <c r="A165" s="92">
        <v>45392</v>
      </c>
      <c r="B165" s="90">
        <v>457.35</v>
      </c>
      <c r="C165" s="40">
        <f t="shared" si="16"/>
        <v>6.2706270627064242E-3</v>
      </c>
      <c r="D165" s="93">
        <v>22753.8</v>
      </c>
      <c r="E165" s="94">
        <f t="shared" si="17"/>
        <v>4.904439610913025E-3</v>
      </c>
      <c r="F165" s="95">
        <v>19117</v>
      </c>
      <c r="G165" s="41">
        <f t="shared" si="14"/>
        <v>3.4158079196526803E-3</v>
      </c>
      <c r="K165" s="2"/>
      <c r="W165" s="92">
        <v>45391</v>
      </c>
      <c r="X165" s="90">
        <v>454.5</v>
      </c>
      <c r="Y165" s="40">
        <f t="shared" si="15"/>
        <v>-2.2160068846815872E-2</v>
      </c>
    </row>
    <row r="166" spans="1:25">
      <c r="A166" s="92">
        <v>45391</v>
      </c>
      <c r="B166" s="90">
        <v>454.5</v>
      </c>
      <c r="C166" s="40">
        <f t="shared" si="16"/>
        <v>-2.2160068846815872E-2</v>
      </c>
      <c r="D166" s="93">
        <v>22642.75</v>
      </c>
      <c r="E166" s="94">
        <f t="shared" si="17"/>
        <v>-1.0389873953843276E-3</v>
      </c>
      <c r="F166" s="95">
        <v>19182.3</v>
      </c>
      <c r="G166" s="41">
        <f t="shared" si="14"/>
        <v>1.9054023761488903E-3</v>
      </c>
      <c r="K166" s="2"/>
      <c r="W166" s="92">
        <v>45390</v>
      </c>
      <c r="X166" s="90">
        <v>464.8</v>
      </c>
      <c r="Y166" s="40">
        <f t="shared" si="15"/>
        <v>5.2059755545495801E-2</v>
      </c>
    </row>
    <row r="167" spans="1:25">
      <c r="A167" s="92">
        <v>45390</v>
      </c>
      <c r="B167" s="90">
        <v>464.8</v>
      </c>
      <c r="C167" s="40">
        <f t="shared" si="16"/>
        <v>5.2059755545495801E-2</v>
      </c>
      <c r="D167" s="93">
        <v>22666.3</v>
      </c>
      <c r="E167" s="94">
        <f t="shared" si="17"/>
        <v>6.7780951154186031E-3</v>
      </c>
      <c r="F167" s="95">
        <v>19218.849999999999</v>
      </c>
      <c r="G167" s="41">
        <f t="shared" si="14"/>
        <v>-3.0230737010799036E-3</v>
      </c>
      <c r="K167" s="2"/>
      <c r="W167" s="92">
        <v>45387</v>
      </c>
      <c r="X167" s="90">
        <v>441.8</v>
      </c>
      <c r="Y167" s="40">
        <f t="shared" si="15"/>
        <v>6.3781321184510631E-3</v>
      </c>
    </row>
    <row r="168" spans="1:25">
      <c r="A168" s="92">
        <v>45387</v>
      </c>
      <c r="B168" s="90">
        <v>441.8</v>
      </c>
      <c r="C168" s="40">
        <f t="shared" si="16"/>
        <v>6.3781321184510631E-3</v>
      </c>
      <c r="D168" s="93">
        <v>22513.7</v>
      </c>
      <c r="E168" s="94">
        <f t="shared" si="17"/>
        <v>-4.2194748752555356E-5</v>
      </c>
      <c r="F168" s="95">
        <v>19160.75</v>
      </c>
      <c r="G168" s="41">
        <f t="shared" si="14"/>
        <v>-1.8553553488250829E-3</v>
      </c>
      <c r="K168" s="2"/>
      <c r="W168" s="92">
        <v>45386</v>
      </c>
      <c r="X168" s="90">
        <v>439</v>
      </c>
      <c r="Y168" s="40">
        <f t="shared" si="15"/>
        <v>-6.1127462078333084E-3</v>
      </c>
    </row>
    <row r="169" spans="1:25">
      <c r="A169" s="92">
        <v>45386</v>
      </c>
      <c r="B169" s="90">
        <v>439</v>
      </c>
      <c r="C169" s="40">
        <f t="shared" si="16"/>
        <v>-6.1127462078333084E-3</v>
      </c>
      <c r="D169" s="93">
        <v>22514.65</v>
      </c>
      <c r="E169" s="94">
        <f t="shared" si="17"/>
        <v>3.5659125504521327E-3</v>
      </c>
      <c r="F169" s="95">
        <v>19125.2</v>
      </c>
      <c r="G169" s="41">
        <f t="shared" si="14"/>
        <v>1.4561939221549025E-3</v>
      </c>
      <c r="K169" s="2"/>
      <c r="W169" s="92">
        <v>45385</v>
      </c>
      <c r="X169" s="90">
        <v>441.7</v>
      </c>
      <c r="Y169" s="40">
        <f t="shared" si="15"/>
        <v>6.4337349397590282E-2</v>
      </c>
    </row>
    <row r="170" spans="1:25">
      <c r="A170" s="92">
        <v>45385</v>
      </c>
      <c r="B170" s="90">
        <v>441.7</v>
      </c>
      <c r="C170" s="40">
        <f t="shared" si="16"/>
        <v>6.4337349397590282E-2</v>
      </c>
      <c r="D170" s="93">
        <v>22434.65</v>
      </c>
      <c r="E170" s="94">
        <f t="shared" si="17"/>
        <v>-8.306128720498851E-4</v>
      </c>
      <c r="F170" s="95">
        <v>19153.05</v>
      </c>
      <c r="G170" s="41">
        <f t="shared" si="14"/>
        <v>1.6759732784075165E-3</v>
      </c>
      <c r="K170" s="2"/>
      <c r="W170" s="92">
        <v>45384</v>
      </c>
      <c r="X170" s="90">
        <v>415</v>
      </c>
      <c r="Y170" s="40">
        <f t="shared" si="15"/>
        <v>2.2545275348034854E-2</v>
      </c>
    </row>
    <row r="171" spans="1:25">
      <c r="A171" s="92">
        <v>45384</v>
      </c>
      <c r="B171" s="90">
        <v>415</v>
      </c>
      <c r="C171" s="40">
        <f t="shared" si="16"/>
        <v>2.2545275348034854E-2</v>
      </c>
      <c r="D171" s="93">
        <v>22453.3</v>
      </c>
      <c r="E171" s="94">
        <f t="shared" si="17"/>
        <v>-3.8732080847658779E-4</v>
      </c>
      <c r="F171" s="95">
        <v>19185.150000000001</v>
      </c>
      <c r="G171" s="41">
        <f t="shared" si="14"/>
        <v>1.1858129855644162E-3</v>
      </c>
      <c r="K171" s="2"/>
      <c r="W171" s="92">
        <v>45383</v>
      </c>
      <c r="X171" s="90">
        <v>405.85</v>
      </c>
      <c r="Y171" s="40">
        <f t="shared" si="15"/>
        <v>3.3617725709919943E-2</v>
      </c>
    </row>
    <row r="172" spans="1:25">
      <c r="A172" s="92">
        <v>45383</v>
      </c>
      <c r="B172" s="90">
        <v>405.85</v>
      </c>
      <c r="C172" s="40">
        <f t="shared" si="16"/>
        <v>3.3617725709919943E-2</v>
      </c>
      <c r="D172" s="93">
        <v>22462</v>
      </c>
      <c r="E172" s="94">
        <f t="shared" si="17"/>
        <v>6.0509967796693598E-3</v>
      </c>
      <c r="F172" s="95">
        <v>19207.900000000001</v>
      </c>
      <c r="G172" s="41">
        <f t="shared" si="14"/>
        <v>-1.1024109871459187E-2</v>
      </c>
      <c r="K172" s="2"/>
      <c r="W172" s="92">
        <v>45379</v>
      </c>
      <c r="X172" s="90">
        <v>392.65</v>
      </c>
      <c r="Y172" s="40">
        <f t="shared" si="15"/>
        <v>-8.9058524173035725E-4</v>
      </c>
    </row>
    <row r="173" spans="1:25">
      <c r="A173" s="92">
        <v>45379</v>
      </c>
      <c r="B173" s="90">
        <v>392.65</v>
      </c>
      <c r="C173" s="40">
        <f t="shared" si="16"/>
        <v>-8.9058524173035725E-4</v>
      </c>
      <c r="D173" s="93">
        <v>22326.9</v>
      </c>
      <c r="E173" s="94">
        <f t="shared" si="17"/>
        <v>9.1870012407537782E-3</v>
      </c>
      <c r="F173" s="95">
        <v>18996.150000000001</v>
      </c>
      <c r="G173" s="41">
        <f t="shared" si="14"/>
        <v>-1.1989271510279731E-2</v>
      </c>
      <c r="K173" s="2"/>
      <c r="W173" s="92">
        <v>45378</v>
      </c>
      <c r="X173" s="90">
        <v>393</v>
      </c>
      <c r="Y173" s="40">
        <f t="shared" si="15"/>
        <v>-1.1445101245126432E-2</v>
      </c>
    </row>
    <row r="174" spans="1:25">
      <c r="A174" s="92">
        <v>45378</v>
      </c>
      <c r="B174" s="90">
        <v>393</v>
      </c>
      <c r="C174" s="40">
        <f t="shared" si="16"/>
        <v>-1.1445101245126432E-2</v>
      </c>
      <c r="D174" s="93">
        <v>22123.65</v>
      </c>
      <c r="E174" s="94">
        <f t="shared" si="17"/>
        <v>5.4056633355601402E-3</v>
      </c>
      <c r="F174" s="95">
        <v>18768.400000000001</v>
      </c>
      <c r="G174" s="41">
        <f t="shared" si="14"/>
        <v>2.1871869738496752E-3</v>
      </c>
      <c r="K174" s="2"/>
      <c r="W174" s="92">
        <v>45377</v>
      </c>
      <c r="X174" s="90">
        <v>397.55</v>
      </c>
      <c r="Y174" s="40">
        <f t="shared" si="15"/>
        <v>-1.0051514009297158E-3</v>
      </c>
    </row>
    <row r="175" spans="1:25">
      <c r="A175" s="92">
        <v>45377</v>
      </c>
      <c r="B175" s="90">
        <v>397.55</v>
      </c>
      <c r="C175" s="40">
        <f t="shared" si="16"/>
        <v>-1.0051514009297158E-3</v>
      </c>
      <c r="D175" s="93">
        <v>22004.7</v>
      </c>
      <c r="E175" s="94">
        <f t="shared" si="17"/>
        <v>-4.1657709844207247E-3</v>
      </c>
      <c r="F175" s="95">
        <v>18809.45</v>
      </c>
      <c r="G175" s="41">
        <f t="shared" si="14"/>
        <v>3.26963308336925E-4</v>
      </c>
      <c r="K175" s="2"/>
      <c r="W175" s="92">
        <v>45373</v>
      </c>
      <c r="X175" s="90">
        <v>397.95</v>
      </c>
      <c r="Y175" s="40">
        <f t="shared" si="15"/>
        <v>3.6328125000000044E-2</v>
      </c>
    </row>
    <row r="176" spans="1:25">
      <c r="A176" s="92">
        <v>45373</v>
      </c>
      <c r="B176" s="90">
        <v>397.95</v>
      </c>
      <c r="C176" s="40">
        <f t="shared" si="16"/>
        <v>3.6328125000000044E-2</v>
      </c>
      <c r="D176" s="93">
        <v>22096.75</v>
      </c>
      <c r="E176" s="94">
        <f t="shared" si="17"/>
        <v>3.8524528721899376E-3</v>
      </c>
      <c r="F176" s="95">
        <v>18815.599999999999</v>
      </c>
      <c r="G176" s="41">
        <f t="shared" si="14"/>
        <v>-1.2383341482599564E-2</v>
      </c>
      <c r="K176" s="2"/>
      <c r="W176" s="92">
        <v>45372</v>
      </c>
      <c r="X176" s="90">
        <v>384</v>
      </c>
      <c r="Y176" s="40">
        <f t="shared" si="15"/>
        <v>1.1591148577449806E-2</v>
      </c>
    </row>
    <row r="177" spans="1:25">
      <c r="A177" s="92">
        <v>45372</v>
      </c>
      <c r="B177" s="90">
        <v>384</v>
      </c>
      <c r="C177" s="40">
        <f t="shared" si="16"/>
        <v>1.1591148577449806E-2</v>
      </c>
      <c r="D177" s="93">
        <v>22011.95</v>
      </c>
      <c r="E177" s="94">
        <f t="shared" si="17"/>
        <v>7.9147034447391018E-3</v>
      </c>
      <c r="F177" s="95">
        <v>18582.599999999999</v>
      </c>
      <c r="G177" s="41">
        <f t="shared" si="14"/>
        <v>-1.1903608752273476E-2</v>
      </c>
      <c r="K177" s="2"/>
      <c r="W177" s="92">
        <v>45371</v>
      </c>
      <c r="X177" s="90">
        <v>379.6</v>
      </c>
      <c r="Y177" s="40">
        <f t="shared" si="15"/>
        <v>-2.1649484536082397E-2</v>
      </c>
    </row>
    <row r="178" spans="1:25">
      <c r="A178" s="92">
        <v>45371</v>
      </c>
      <c r="B178" s="90">
        <v>379.6</v>
      </c>
      <c r="C178" s="40">
        <f t="shared" si="16"/>
        <v>-2.1649484536082397E-2</v>
      </c>
      <c r="D178" s="93">
        <v>21839.1</v>
      </c>
      <c r="E178" s="94">
        <f t="shared" si="17"/>
        <v>9.9232495089940365E-4</v>
      </c>
      <c r="F178" s="95">
        <v>18361.400000000001</v>
      </c>
      <c r="G178" s="41">
        <f t="shared" si="14"/>
        <v>2.4099469539360374E-3</v>
      </c>
      <c r="K178" s="2"/>
      <c r="W178" s="92">
        <v>45370</v>
      </c>
      <c r="X178" s="90">
        <v>388</v>
      </c>
      <c r="Y178" s="40">
        <f t="shared" si="15"/>
        <v>-2.0325716449943187E-2</v>
      </c>
    </row>
    <row r="179" spans="1:25">
      <c r="A179" s="92">
        <v>45370</v>
      </c>
      <c r="B179" s="90">
        <v>388</v>
      </c>
      <c r="C179" s="40">
        <f t="shared" si="16"/>
        <v>-2.0325716449943187E-2</v>
      </c>
      <c r="D179" s="93">
        <v>21817.45</v>
      </c>
      <c r="E179" s="94">
        <f t="shared" si="17"/>
        <v>-1.0802196257656771E-2</v>
      </c>
      <c r="F179" s="95">
        <v>18405.650000000001</v>
      </c>
      <c r="G179" s="41">
        <f t="shared" si="14"/>
        <v>2.2205138096182298E-2</v>
      </c>
      <c r="K179" s="2"/>
      <c r="W179" s="92">
        <v>45369</v>
      </c>
      <c r="X179" s="90">
        <v>396.05</v>
      </c>
      <c r="Y179" s="40">
        <f t="shared" si="15"/>
        <v>-9.1318488866649616E-3</v>
      </c>
    </row>
    <row r="180" spans="1:25">
      <c r="A180" s="92">
        <v>45369</v>
      </c>
      <c r="B180" s="90">
        <v>396.05</v>
      </c>
      <c r="C180" s="40">
        <f t="shared" si="16"/>
        <v>-9.1318488866649616E-3</v>
      </c>
      <c r="D180" s="93">
        <v>22055.7</v>
      </c>
      <c r="E180" s="94">
        <f t="shared" si="17"/>
        <v>1.4688955131714199E-3</v>
      </c>
      <c r="F180" s="95">
        <v>18814.349999999999</v>
      </c>
      <c r="G180" s="41">
        <f t="shared" si="14"/>
        <v>-5.0971731683527866E-3</v>
      </c>
      <c r="K180" s="2"/>
      <c r="W180" s="92">
        <v>45366</v>
      </c>
      <c r="X180" s="90">
        <v>399.7</v>
      </c>
      <c r="Y180" s="40">
        <f t="shared" si="15"/>
        <v>-1.7482517482517723E-3</v>
      </c>
    </row>
    <row r="181" spans="1:25">
      <c r="A181" s="92">
        <v>45366</v>
      </c>
      <c r="B181" s="90">
        <v>399.7</v>
      </c>
      <c r="C181" s="40">
        <f t="shared" si="16"/>
        <v>-1.7482517482517723E-3</v>
      </c>
      <c r="D181" s="93">
        <v>22023.35</v>
      </c>
      <c r="E181" s="94">
        <f t="shared" si="17"/>
        <v>-5.5674334493028832E-3</v>
      </c>
      <c r="F181" s="95">
        <v>18718.45</v>
      </c>
      <c r="G181" s="41">
        <f t="shared" si="14"/>
        <v>9.5440594707358883E-3</v>
      </c>
      <c r="K181" s="2"/>
      <c r="W181" s="92">
        <v>45365</v>
      </c>
      <c r="X181" s="90">
        <v>400.4</v>
      </c>
      <c r="Y181" s="40">
        <f t="shared" si="15"/>
        <v>9.9999999999988987E-4</v>
      </c>
    </row>
    <row r="182" spans="1:25">
      <c r="A182" s="92">
        <v>45365</v>
      </c>
      <c r="B182" s="90">
        <v>400.4</v>
      </c>
      <c r="C182" s="40">
        <f t="shared" si="16"/>
        <v>9.9999999999988987E-4</v>
      </c>
      <c r="D182" s="93">
        <v>22146.65</v>
      </c>
      <c r="E182" s="94">
        <f t="shared" si="17"/>
        <v>6.7711624397095438E-3</v>
      </c>
      <c r="F182" s="95">
        <v>18897.099999999999</v>
      </c>
      <c r="G182" s="41">
        <f t="shared" si="14"/>
        <v>-1.3832810325393741E-2</v>
      </c>
      <c r="K182" s="2"/>
      <c r="W182" s="92">
        <v>45364</v>
      </c>
      <c r="X182" s="90">
        <v>400</v>
      </c>
      <c r="Y182" s="40">
        <f t="shared" si="15"/>
        <v>-2.7000729749452779E-2</v>
      </c>
    </row>
    <row r="183" spans="1:25">
      <c r="A183" s="92">
        <v>45364</v>
      </c>
      <c r="B183" s="90">
        <v>400</v>
      </c>
      <c r="C183" s="40">
        <f t="shared" si="16"/>
        <v>-2.7000729749452779E-2</v>
      </c>
      <c r="D183" s="93">
        <v>21997.7</v>
      </c>
      <c r="E183" s="94">
        <f t="shared" si="17"/>
        <v>-1.5132724741109493E-2</v>
      </c>
      <c r="F183" s="95">
        <v>18635.7</v>
      </c>
      <c r="G183" s="41">
        <f t="shared" si="14"/>
        <v>1.7332324516921904E-2</v>
      </c>
      <c r="K183" s="2"/>
      <c r="W183" s="92">
        <v>45363</v>
      </c>
      <c r="X183" s="90">
        <v>411.1</v>
      </c>
      <c r="Y183" s="40">
        <f t="shared" si="15"/>
        <v>1.4616321559075551E-3</v>
      </c>
    </row>
    <row r="184" spans="1:25">
      <c r="A184" s="92">
        <v>45363</v>
      </c>
      <c r="B184" s="90">
        <v>411.1</v>
      </c>
      <c r="C184" s="40">
        <f t="shared" si="16"/>
        <v>1.4616321559075551E-3</v>
      </c>
      <c r="D184" s="93">
        <v>22335.7</v>
      </c>
      <c r="E184" s="94">
        <f t="shared" si="17"/>
        <v>1.3657134285449679E-4</v>
      </c>
      <c r="F184" s="95">
        <v>18958.7</v>
      </c>
      <c r="G184" s="41">
        <f t="shared" si="14"/>
        <v>1.2835795703291852E-2</v>
      </c>
      <c r="K184" s="2"/>
      <c r="W184" s="92">
        <v>45362</v>
      </c>
      <c r="X184" s="90">
        <v>410.5</v>
      </c>
      <c r="Y184" s="40">
        <f t="shared" si="15"/>
        <v>-2.4940617577197122E-2</v>
      </c>
    </row>
    <row r="185" spans="1:25">
      <c r="A185" s="92">
        <v>45362</v>
      </c>
      <c r="B185" s="90">
        <v>410.5</v>
      </c>
      <c r="C185" s="40">
        <f t="shared" si="16"/>
        <v>-2.4940617577197122E-2</v>
      </c>
      <c r="D185" s="93">
        <v>22332.65</v>
      </c>
      <c r="E185" s="94">
        <f t="shared" si="17"/>
        <v>-7.1531616841271628E-3</v>
      </c>
      <c r="F185" s="95">
        <v>19202.05</v>
      </c>
      <c r="G185" s="41">
        <f t="shared" si="14"/>
        <v>-4.1401829492171416E-4</v>
      </c>
      <c r="K185" s="2"/>
      <c r="W185" s="92">
        <v>45358</v>
      </c>
      <c r="X185" s="90">
        <v>421</v>
      </c>
      <c r="Y185" s="40">
        <f t="shared" si="15"/>
        <v>2.2465088038858605E-2</v>
      </c>
    </row>
    <row r="186" spans="1:25">
      <c r="A186" s="92">
        <v>45358</v>
      </c>
      <c r="B186" s="90">
        <v>421</v>
      </c>
      <c r="C186" s="40">
        <f t="shared" si="16"/>
        <v>2.2465088038858605E-2</v>
      </c>
      <c r="D186" s="93">
        <v>22493.55</v>
      </c>
      <c r="E186" s="94">
        <f t="shared" si="17"/>
        <v>8.6766737637411495E-4</v>
      </c>
      <c r="F186" s="95">
        <v>19194.099999999999</v>
      </c>
      <c r="G186" s="41">
        <f t="shared" si="14"/>
        <v>-2.8185744577760019E-3</v>
      </c>
      <c r="K186" s="2"/>
      <c r="W186" s="92">
        <v>45357</v>
      </c>
      <c r="X186" s="90">
        <v>411.75</v>
      </c>
      <c r="Y186" s="40">
        <f t="shared" si="15"/>
        <v>-2.1506653992395486E-2</v>
      </c>
    </row>
    <row r="187" spans="1:25">
      <c r="A187" s="92">
        <v>45357</v>
      </c>
      <c r="B187" s="90">
        <v>411.75</v>
      </c>
      <c r="C187" s="40">
        <f t="shared" si="16"/>
        <v>-2.1506653992395486E-2</v>
      </c>
      <c r="D187" s="93">
        <v>22474.05</v>
      </c>
      <c r="E187" s="94">
        <f t="shared" si="17"/>
        <v>5.2669717260906967E-3</v>
      </c>
      <c r="F187" s="95">
        <v>19140</v>
      </c>
      <c r="G187" s="41">
        <f t="shared" si="14"/>
        <v>-6.3479623824451714E-3</v>
      </c>
      <c r="K187" s="2"/>
      <c r="W187" s="92">
        <v>45356</v>
      </c>
      <c r="X187" s="90">
        <v>420.8</v>
      </c>
      <c r="Y187" s="40">
        <f t="shared" si="15"/>
        <v>6.4577852188472118E-3</v>
      </c>
    </row>
    <row r="188" spans="1:25">
      <c r="A188" s="92">
        <v>45356</v>
      </c>
      <c r="B188" s="90">
        <v>420.8</v>
      </c>
      <c r="C188" s="40">
        <f t="shared" si="16"/>
        <v>6.4577852188472118E-3</v>
      </c>
      <c r="D188" s="93">
        <v>22356.3</v>
      </c>
      <c r="E188" s="94">
        <f t="shared" si="17"/>
        <v>-2.2003427714499812E-3</v>
      </c>
      <c r="F188" s="95">
        <v>19018.5</v>
      </c>
      <c r="G188" s="41">
        <f t="shared" si="14"/>
        <v>-3.0654362857217565E-3</v>
      </c>
      <c r="K188" s="2"/>
      <c r="W188" s="92">
        <v>45355</v>
      </c>
      <c r="X188" s="90">
        <v>418.1</v>
      </c>
      <c r="Y188" s="40">
        <f t="shared" si="15"/>
        <v>2.2499388603570702E-2</v>
      </c>
    </row>
    <row r="189" spans="1:25">
      <c r="A189" s="92">
        <v>45355</v>
      </c>
      <c r="B189" s="90">
        <v>418.1</v>
      </c>
      <c r="C189" s="40">
        <f t="shared" si="16"/>
        <v>2.2499388603570702E-2</v>
      </c>
      <c r="D189" s="93">
        <v>22405.599999999999</v>
      </c>
      <c r="E189" s="94">
        <f t="shared" si="17"/>
        <v>2.9925577751663823E-3</v>
      </c>
      <c r="F189" s="95">
        <v>18960.2</v>
      </c>
      <c r="G189" s="41">
        <f t="shared" si="14"/>
        <v>-2.8823535616713247E-3</v>
      </c>
      <c r="K189" s="2"/>
      <c r="W189" s="92">
        <v>45353</v>
      </c>
      <c r="X189" s="90">
        <v>408.9</v>
      </c>
      <c r="Y189" s="40">
        <f t="shared" si="15"/>
        <v>-2.6829268292682951E-3</v>
      </c>
    </row>
    <row r="190" spans="1:25">
      <c r="A190" s="92">
        <v>45353</v>
      </c>
      <c r="B190" s="90">
        <v>408.9</v>
      </c>
      <c r="C190" s="40">
        <f t="shared" si="16"/>
        <v>-2.6829268292682951E-3</v>
      </c>
      <c r="D190" s="93">
        <v>22338.75</v>
      </c>
      <c r="E190" s="94">
        <f t="shared" si="17"/>
        <v>1.6192204814673428E-2</v>
      </c>
      <c r="F190" s="95">
        <v>18905.55</v>
      </c>
      <c r="G190" s="41">
        <f t="shared" si="14"/>
        <v>-4.4034688226473051E-3</v>
      </c>
      <c r="K190" s="2"/>
      <c r="W190" s="92">
        <v>45352</v>
      </c>
      <c r="X190" s="90">
        <v>410</v>
      </c>
      <c r="Y190" s="40">
        <f t="shared" si="15"/>
        <v>4.9019607843137081E-3</v>
      </c>
    </row>
    <row r="191" spans="1:25">
      <c r="A191" s="92">
        <v>45352</v>
      </c>
      <c r="B191" s="90">
        <v>410</v>
      </c>
      <c r="C191" s="40">
        <f t="shared" si="16"/>
        <v>4.9019607843137081E-3</v>
      </c>
      <c r="D191" s="93">
        <v>21982.799999999999</v>
      </c>
      <c r="E191" s="94">
        <f t="shared" si="17"/>
        <v>1.4418378991531977E-3</v>
      </c>
      <c r="F191" s="95">
        <v>18822.3</v>
      </c>
      <c r="G191" s="41">
        <f t="shared" si="14"/>
        <v>9.608283791035177E-3</v>
      </c>
      <c r="K191" s="2"/>
      <c r="W191" s="92">
        <v>45351</v>
      </c>
      <c r="X191" s="90">
        <v>408</v>
      </c>
      <c r="Y191" s="40">
        <f t="shared" si="15"/>
        <v>4.9261083743843415E-3</v>
      </c>
    </row>
    <row r="192" spans="1:25">
      <c r="A192" s="92">
        <v>45351</v>
      </c>
      <c r="B192" s="90">
        <v>408</v>
      </c>
      <c r="C192" s="40">
        <f t="shared" si="16"/>
        <v>4.9261083743843415E-3</v>
      </c>
      <c r="D192" s="93">
        <v>21951.15</v>
      </c>
      <c r="E192" s="94">
        <f t="shared" si="17"/>
        <v>-1.1135962808046407E-2</v>
      </c>
      <c r="F192" s="95">
        <v>19003.150000000001</v>
      </c>
      <c r="G192" s="41">
        <f t="shared" si="14"/>
        <v>-3.1889449906989942E-3</v>
      </c>
      <c r="K192" s="2"/>
      <c r="W192" s="92">
        <v>45350</v>
      </c>
      <c r="X192" s="90">
        <v>406</v>
      </c>
      <c r="Y192" s="40">
        <f t="shared" si="15"/>
        <v>1.3986013986013957E-2</v>
      </c>
    </row>
    <row r="193" spans="1:25">
      <c r="A193" s="92">
        <v>45350</v>
      </c>
      <c r="B193" s="90">
        <v>406</v>
      </c>
      <c r="C193" s="40">
        <f t="shared" si="16"/>
        <v>1.3986013986013957E-2</v>
      </c>
      <c r="D193" s="93">
        <v>22198.35</v>
      </c>
      <c r="E193" s="94">
        <f t="shared" si="17"/>
        <v>3.4490474436139618E-3</v>
      </c>
      <c r="F193" s="95">
        <v>18942.55</v>
      </c>
      <c r="G193" s="41">
        <f t="shared" si="14"/>
        <v>6.4220498296163608E-3</v>
      </c>
      <c r="K193" s="2"/>
      <c r="W193" s="92">
        <v>45349</v>
      </c>
      <c r="X193" s="90">
        <v>400.4</v>
      </c>
      <c r="Y193" s="40">
        <f t="shared" si="15"/>
        <v>1.1877685114985992E-2</v>
      </c>
    </row>
    <row r="194" spans="1:25">
      <c r="A194" s="92">
        <v>45349</v>
      </c>
      <c r="B194" s="90">
        <v>400.4</v>
      </c>
      <c r="C194" s="40">
        <f t="shared" si="16"/>
        <v>1.1877685114985992E-2</v>
      </c>
      <c r="D194" s="93">
        <v>22122.05</v>
      </c>
      <c r="E194" s="94">
        <f t="shared" si="17"/>
        <v>-4.0809987079464261E-3</v>
      </c>
      <c r="F194" s="95">
        <v>19064.2</v>
      </c>
      <c r="G194" s="41">
        <f t="shared" si="14"/>
        <v>-5.6519549731958163E-3</v>
      </c>
      <c r="K194" s="2"/>
      <c r="W194" s="92">
        <v>45348</v>
      </c>
      <c r="X194" s="90">
        <v>395.7</v>
      </c>
      <c r="Y194" s="40">
        <f t="shared" si="15"/>
        <v>-6.9017442590035838E-3</v>
      </c>
    </row>
    <row r="195" spans="1:25">
      <c r="A195" s="92">
        <v>45348</v>
      </c>
      <c r="B195" s="90">
        <v>395.7</v>
      </c>
      <c r="C195" s="40">
        <f t="shared" si="16"/>
        <v>-6.9017442590035838E-3</v>
      </c>
      <c r="D195" s="93">
        <v>22212.7</v>
      </c>
      <c r="E195" s="94">
        <f t="shared" si="17"/>
        <v>-2.1379591267223219E-4</v>
      </c>
      <c r="F195" s="95">
        <v>18956.45</v>
      </c>
      <c r="G195" s="41">
        <f t="shared" si="14"/>
        <v>4.8505917510925922E-3</v>
      </c>
      <c r="K195" s="2"/>
      <c r="W195" s="92">
        <v>45345</v>
      </c>
      <c r="X195" s="90">
        <v>398.45</v>
      </c>
      <c r="Y195" s="40">
        <f t="shared" si="15"/>
        <v>-2.378567851777591E-3</v>
      </c>
    </row>
    <row r="196" spans="1:25">
      <c r="A196" s="92">
        <v>45345</v>
      </c>
      <c r="B196" s="90">
        <v>398.45</v>
      </c>
      <c r="C196" s="40">
        <f t="shared" si="16"/>
        <v>-2.378567851777591E-3</v>
      </c>
      <c r="D196" s="93">
        <v>22217.45</v>
      </c>
      <c r="E196" s="94">
        <f t="shared" si="17"/>
        <v>7.3633929644232321E-3</v>
      </c>
      <c r="F196" s="95">
        <v>19048.400000000001</v>
      </c>
      <c r="G196" s="41">
        <f t="shared" si="14"/>
        <v>-4.1447050670923025E-3</v>
      </c>
      <c r="K196" s="2"/>
      <c r="W196" s="92">
        <v>45344</v>
      </c>
      <c r="X196" s="90">
        <v>399.4</v>
      </c>
      <c r="Y196" s="40">
        <f t="shared" si="15"/>
        <v>9.9886205588570753E-3</v>
      </c>
    </row>
    <row r="197" spans="1:25">
      <c r="A197" s="92">
        <v>45344</v>
      </c>
      <c r="B197" s="90">
        <v>399.4</v>
      </c>
      <c r="C197" s="40">
        <f t="shared" si="16"/>
        <v>9.9886205588570753E-3</v>
      </c>
      <c r="D197" s="93">
        <v>22055.05</v>
      </c>
      <c r="E197" s="94">
        <f t="shared" si="17"/>
        <v>-6.3927701778848656E-3</v>
      </c>
      <c r="F197" s="95">
        <v>18969.45</v>
      </c>
      <c r="G197" s="41">
        <f t="shared" si="14"/>
        <v>-2.7939660875776484E-3</v>
      </c>
      <c r="K197" s="2"/>
      <c r="W197" s="92">
        <v>45343</v>
      </c>
      <c r="X197" s="90">
        <v>395.45</v>
      </c>
      <c r="Y197" s="40">
        <f t="shared" si="15"/>
        <v>-1.7393465026711352E-2</v>
      </c>
    </row>
    <row r="198" spans="1:25">
      <c r="A198" s="92">
        <v>45343</v>
      </c>
      <c r="B198" s="90">
        <v>395.45</v>
      </c>
      <c r="C198" s="40">
        <f t="shared" si="16"/>
        <v>-1.7393465026711352E-2</v>
      </c>
      <c r="D198" s="93">
        <v>22196.95</v>
      </c>
      <c r="E198" s="94">
        <f t="shared" si="17"/>
        <v>3.3766908881329716E-3</v>
      </c>
      <c r="F198" s="95">
        <v>18916.45</v>
      </c>
      <c r="G198" s="41">
        <f t="shared" si="14"/>
        <v>4.0467423855956586E-3</v>
      </c>
      <c r="K198" s="2"/>
      <c r="W198" s="92">
        <v>45342</v>
      </c>
      <c r="X198" s="90">
        <v>402.45</v>
      </c>
      <c r="Y198" s="40">
        <f t="shared" si="15"/>
        <v>-1.0936347997050899E-2</v>
      </c>
    </row>
    <row r="199" spans="1:25">
      <c r="A199" s="92">
        <v>45342</v>
      </c>
      <c r="B199" s="90">
        <v>402.45</v>
      </c>
      <c r="C199" s="40">
        <f t="shared" si="16"/>
        <v>-1.0936347997050899E-2</v>
      </c>
      <c r="D199" s="93">
        <v>22122.25</v>
      </c>
      <c r="E199" s="94">
        <f t="shared" si="17"/>
        <v>3.6999732313400813E-3</v>
      </c>
      <c r="F199" s="95">
        <v>18993</v>
      </c>
      <c r="G199" s="41">
        <f t="shared" si="14"/>
        <v>2.3534986574000882E-3</v>
      </c>
      <c r="K199" s="2"/>
      <c r="W199" s="92">
        <v>45341</v>
      </c>
      <c r="X199" s="90">
        <v>406.9</v>
      </c>
      <c r="Y199" s="40">
        <f t="shared" si="15"/>
        <v>1.598002496878892E-2</v>
      </c>
    </row>
    <row r="200" spans="1:25">
      <c r="A200" s="92">
        <v>45341</v>
      </c>
      <c r="B200" s="90">
        <v>406.9</v>
      </c>
      <c r="C200" s="40">
        <f t="shared" si="16"/>
        <v>1.598002496878892E-2</v>
      </c>
      <c r="D200" s="93">
        <v>22040.7</v>
      </c>
      <c r="E200" s="94">
        <f t="shared" si="17"/>
        <v>5.9308786782743539E-3</v>
      </c>
      <c r="F200" s="95">
        <v>19037.7</v>
      </c>
      <c r="G200" s="41">
        <f t="shared" si="14"/>
        <v>-8.7668153190775255E-3</v>
      </c>
      <c r="K200" s="2"/>
      <c r="W200" s="92">
        <v>45338</v>
      </c>
      <c r="X200" s="90">
        <v>400.5</v>
      </c>
      <c r="Y200" s="40">
        <f t="shared" si="15"/>
        <v>2.1423106350420662E-2</v>
      </c>
    </row>
    <row r="201" spans="1:25">
      <c r="A201" s="92">
        <v>45338</v>
      </c>
      <c r="B201" s="90">
        <v>400.5</v>
      </c>
      <c r="C201" s="40">
        <f t="shared" si="16"/>
        <v>2.1423106350420662E-2</v>
      </c>
      <c r="D201" s="93">
        <v>21910.75</v>
      </c>
      <c r="E201" s="94">
        <f t="shared" si="17"/>
        <v>3.2371720760713263E-3</v>
      </c>
      <c r="F201" s="95">
        <v>18870.8</v>
      </c>
      <c r="G201" s="41">
        <f t="shared" ref="G201:G264" si="18">F202/F201-1</f>
        <v>-1.6061852173728686E-2</v>
      </c>
      <c r="K201" s="2"/>
      <c r="W201" s="92">
        <v>45337</v>
      </c>
      <c r="X201" s="90">
        <v>392.1</v>
      </c>
      <c r="Y201" s="40">
        <f t="shared" ref="Y201:Y261" si="19">X201/X202-1</f>
        <v>1.2753475322035968E-4</v>
      </c>
    </row>
    <row r="202" spans="1:25">
      <c r="A202" s="92">
        <v>45337</v>
      </c>
      <c r="B202" s="90">
        <v>392.1</v>
      </c>
      <c r="C202" s="40">
        <f t="shared" ref="C202:C265" si="20">B202/B203-1</f>
        <v>1.2753475322035968E-4</v>
      </c>
      <c r="D202" s="93">
        <v>21840.05</v>
      </c>
      <c r="E202" s="94">
        <f t="shared" ref="E202:E265" si="21">D202/D203-1</f>
        <v>4.4519563542708696E-3</v>
      </c>
      <c r="F202" s="95">
        <v>18567.7</v>
      </c>
      <c r="G202" s="41">
        <f t="shared" si="18"/>
        <v>8.9671849502082068E-4</v>
      </c>
      <c r="K202" s="2"/>
      <c r="W202" s="92">
        <v>45336</v>
      </c>
      <c r="X202" s="90">
        <v>392.05</v>
      </c>
      <c r="Y202" s="40">
        <f t="shared" si="19"/>
        <v>-2.4173027989821128E-3</v>
      </c>
    </row>
    <row r="203" spans="1:25">
      <c r="A203" s="92">
        <v>45336</v>
      </c>
      <c r="B203" s="90">
        <v>392.05</v>
      </c>
      <c r="C203" s="40">
        <f t="shared" si="20"/>
        <v>-2.4173027989821128E-3</v>
      </c>
      <c r="D203" s="93">
        <v>21743.25</v>
      </c>
      <c r="E203" s="94">
        <f t="shared" si="21"/>
        <v>5.8845163663112654E-3</v>
      </c>
      <c r="F203" s="95">
        <v>18584.349999999999</v>
      </c>
      <c r="G203" s="41">
        <f t="shared" si="18"/>
        <v>9.1259581314386828E-3</v>
      </c>
      <c r="K203" s="2"/>
      <c r="W203" s="92">
        <v>45335</v>
      </c>
      <c r="X203" s="90">
        <v>393</v>
      </c>
      <c r="Y203" s="40">
        <f t="shared" si="19"/>
        <v>2.2953328232593329E-3</v>
      </c>
    </row>
    <row r="204" spans="1:25">
      <c r="A204" s="92">
        <v>45335</v>
      </c>
      <c r="B204" s="90">
        <v>393</v>
      </c>
      <c r="C204" s="40">
        <f t="shared" si="20"/>
        <v>2.2953328232593329E-3</v>
      </c>
      <c r="D204" s="93">
        <v>21616.05</v>
      </c>
      <c r="E204" s="94">
        <f t="shared" si="21"/>
        <v>-7.6414552966831417E-3</v>
      </c>
      <c r="F204" s="95">
        <v>18753.95</v>
      </c>
      <c r="G204" s="41">
        <f t="shared" si="18"/>
        <v>-4.5003852521736665E-3</v>
      </c>
      <c r="K204" s="2"/>
      <c r="W204" s="92">
        <v>45334</v>
      </c>
      <c r="X204" s="90">
        <v>392.1</v>
      </c>
      <c r="Y204" s="40">
        <f t="shared" si="19"/>
        <v>2.3006134969325576E-3</v>
      </c>
    </row>
    <row r="205" spans="1:25">
      <c r="A205" s="92">
        <v>45334</v>
      </c>
      <c r="B205" s="90">
        <v>392.1</v>
      </c>
      <c r="C205" s="40">
        <f t="shared" si="20"/>
        <v>2.3006134969325576E-3</v>
      </c>
      <c r="D205" s="93">
        <v>21782.5</v>
      </c>
      <c r="E205" s="94">
        <f t="shared" si="21"/>
        <v>2.9721958103781088E-3</v>
      </c>
      <c r="F205" s="95">
        <v>18669.55</v>
      </c>
      <c r="G205" s="41">
        <f t="shared" si="18"/>
        <v>-2.8093874785413142E-3</v>
      </c>
      <c r="K205" s="2"/>
      <c r="W205" s="92">
        <v>45331</v>
      </c>
      <c r="X205" s="90">
        <v>391.2</v>
      </c>
      <c r="Y205" s="40">
        <f t="shared" si="19"/>
        <v>-1.2121212121212199E-2</v>
      </c>
    </row>
    <row r="206" spans="1:25">
      <c r="A206" s="92">
        <v>45331</v>
      </c>
      <c r="B206" s="90">
        <v>391.2</v>
      </c>
      <c r="C206" s="40">
        <f t="shared" si="20"/>
        <v>-1.2121212121212199E-2</v>
      </c>
      <c r="D206" s="93">
        <v>21717.95</v>
      </c>
      <c r="E206" s="94">
        <f t="shared" si="21"/>
        <v>-9.6919814869701471E-3</v>
      </c>
      <c r="F206" s="95">
        <v>18617.099999999999</v>
      </c>
      <c r="G206" s="41">
        <f t="shared" si="18"/>
        <v>-5.199520870597385E-3</v>
      </c>
      <c r="K206" s="2"/>
      <c r="W206" s="92">
        <v>45330</v>
      </c>
      <c r="X206" s="90">
        <v>396</v>
      </c>
      <c r="Y206" s="40">
        <f t="shared" si="19"/>
        <v>-7.5187969924812581E-3</v>
      </c>
    </row>
    <row r="207" spans="1:25">
      <c r="A207" s="92">
        <v>45330</v>
      </c>
      <c r="B207" s="90">
        <v>396</v>
      </c>
      <c r="C207" s="40">
        <f t="shared" si="20"/>
        <v>-7.5187969924812581E-3</v>
      </c>
      <c r="D207" s="93">
        <v>21930.5</v>
      </c>
      <c r="E207" s="94">
        <f t="shared" si="21"/>
        <v>5.0160971116319786E-5</v>
      </c>
      <c r="F207" s="95">
        <v>18520.3</v>
      </c>
      <c r="G207" s="41">
        <f t="shared" si="18"/>
        <v>2.4054685939212117E-3</v>
      </c>
      <c r="K207" s="2"/>
      <c r="W207" s="92">
        <v>45329</v>
      </c>
      <c r="X207" s="90">
        <v>399</v>
      </c>
      <c r="Y207" s="40">
        <f t="shared" si="19"/>
        <v>-2.2505626406601476E-3</v>
      </c>
    </row>
    <row r="208" spans="1:25">
      <c r="A208" s="92">
        <v>45329</v>
      </c>
      <c r="B208" s="90">
        <v>399</v>
      </c>
      <c r="C208" s="40">
        <f t="shared" si="20"/>
        <v>-2.2505626406601476E-3</v>
      </c>
      <c r="D208" s="93">
        <v>21929.4</v>
      </c>
      <c r="E208" s="94">
        <f t="shared" si="21"/>
        <v>7.2433480160023489E-3</v>
      </c>
      <c r="F208" s="95">
        <v>18564.849999999999</v>
      </c>
      <c r="G208" s="41">
        <f t="shared" si="18"/>
        <v>-4.1368500149475684E-3</v>
      </c>
      <c r="K208" s="2"/>
      <c r="W208" s="92">
        <v>45328</v>
      </c>
      <c r="X208" s="90">
        <v>399.9</v>
      </c>
      <c r="Y208" s="40">
        <f t="shared" si="19"/>
        <v>3.4402483186756205E-2</v>
      </c>
    </row>
    <row r="209" spans="1:25">
      <c r="A209" s="92">
        <v>45328</v>
      </c>
      <c r="B209" s="90">
        <v>399.9</v>
      </c>
      <c r="C209" s="40">
        <f t="shared" si="20"/>
        <v>3.4402483186756205E-2</v>
      </c>
      <c r="D209" s="93">
        <v>21771.7</v>
      </c>
      <c r="E209" s="94">
        <f t="shared" si="21"/>
        <v>-3.756783717248191E-3</v>
      </c>
      <c r="F209" s="95">
        <v>18488.05</v>
      </c>
      <c r="G209" s="41">
        <f t="shared" si="18"/>
        <v>-1.0552762460075527E-2</v>
      </c>
      <c r="K209" s="2"/>
      <c r="W209" s="92">
        <v>45327</v>
      </c>
      <c r="X209" s="90">
        <v>386.6</v>
      </c>
      <c r="Y209" s="40">
        <f t="shared" si="19"/>
        <v>-1.5031847133757936E-2</v>
      </c>
    </row>
    <row r="210" spans="1:25">
      <c r="A210" s="92">
        <v>45327</v>
      </c>
      <c r="B210" s="90">
        <v>386.6</v>
      </c>
      <c r="C210" s="40">
        <f t="shared" si="20"/>
        <v>-1.5031847133757936E-2</v>
      </c>
      <c r="D210" s="93">
        <v>21853.8</v>
      </c>
      <c r="E210" s="94">
        <f t="shared" si="21"/>
        <v>7.2059159025599229E-3</v>
      </c>
      <c r="F210" s="95">
        <v>18292.95</v>
      </c>
      <c r="G210" s="41">
        <f t="shared" si="18"/>
        <v>-1.7539543922658885E-2</v>
      </c>
      <c r="K210" s="2"/>
      <c r="W210" s="92">
        <v>45324</v>
      </c>
      <c r="X210" s="90">
        <v>392.5</v>
      </c>
      <c r="Y210" s="40">
        <f t="shared" si="19"/>
        <v>7.572840456937513E-3</v>
      </c>
    </row>
    <row r="211" spans="1:25">
      <c r="A211" s="92">
        <v>45324</v>
      </c>
      <c r="B211" s="90">
        <v>392.5</v>
      </c>
      <c r="C211" s="40">
        <f t="shared" si="20"/>
        <v>7.572840456937513E-3</v>
      </c>
      <c r="D211" s="93">
        <v>21697.45</v>
      </c>
      <c r="E211" s="94">
        <f t="shared" si="21"/>
        <v>-1.3003033273956133E-3</v>
      </c>
      <c r="F211" s="95">
        <v>17972.099999999999</v>
      </c>
      <c r="G211" s="41">
        <f t="shared" si="18"/>
        <v>-7.394795265995513E-3</v>
      </c>
      <c r="K211" s="2"/>
      <c r="W211" s="92">
        <v>45323</v>
      </c>
      <c r="X211" s="90">
        <v>389.55</v>
      </c>
      <c r="Y211" s="40">
        <f t="shared" si="19"/>
        <v>2.3649980291683192E-2</v>
      </c>
    </row>
    <row r="212" spans="1:25">
      <c r="A212" s="92">
        <v>45323</v>
      </c>
      <c r="B212" s="90">
        <v>389.55</v>
      </c>
      <c r="C212" s="40">
        <f t="shared" si="20"/>
        <v>2.3649980291683192E-2</v>
      </c>
      <c r="D212" s="93">
        <v>21725.7</v>
      </c>
      <c r="E212" s="94">
        <f t="shared" si="21"/>
        <v>9.4600433972522602E-3</v>
      </c>
      <c r="F212" s="95">
        <v>17839.2</v>
      </c>
      <c r="G212" s="41">
        <f t="shared" si="18"/>
        <v>5.5748015606080781E-3</v>
      </c>
      <c r="K212" s="2"/>
      <c r="W212" s="92">
        <v>45322</v>
      </c>
      <c r="X212" s="90">
        <v>380.55</v>
      </c>
      <c r="Y212" s="40">
        <f t="shared" si="19"/>
        <v>2.5879498584715055E-2</v>
      </c>
    </row>
    <row r="213" spans="1:25">
      <c r="A213" s="92">
        <v>45322</v>
      </c>
      <c r="B213" s="90">
        <v>380.55</v>
      </c>
      <c r="C213" s="40">
        <f t="shared" si="20"/>
        <v>2.5879498584715055E-2</v>
      </c>
      <c r="D213" s="93">
        <v>21522.1</v>
      </c>
      <c r="E213" s="94">
        <f t="shared" si="21"/>
        <v>-9.9136979243338308E-3</v>
      </c>
      <c r="F213" s="95">
        <v>17938.650000000001</v>
      </c>
      <c r="G213" s="41">
        <f t="shared" si="18"/>
        <v>-2.611679251225707E-2</v>
      </c>
      <c r="K213" s="2"/>
      <c r="W213" s="92">
        <v>45321</v>
      </c>
      <c r="X213" s="90">
        <v>370.95</v>
      </c>
      <c r="Y213" s="40">
        <f t="shared" si="19"/>
        <v>-9.6115338406087547E-3</v>
      </c>
    </row>
    <row r="214" spans="1:25">
      <c r="A214" s="92">
        <v>45321</v>
      </c>
      <c r="B214" s="90">
        <v>370.95</v>
      </c>
      <c r="C214" s="40">
        <f t="shared" si="20"/>
        <v>-9.6115338406087547E-3</v>
      </c>
      <c r="D214" s="93">
        <v>21737.599999999999</v>
      </c>
      <c r="E214" s="94">
        <f t="shared" si="21"/>
        <v>1.8030591122392581E-2</v>
      </c>
      <c r="F214" s="95">
        <v>17470.150000000001</v>
      </c>
      <c r="G214" s="41">
        <f t="shared" si="18"/>
        <v>8.7835536615310517E-3</v>
      </c>
      <c r="K214" s="2"/>
      <c r="W214" s="92">
        <v>45320</v>
      </c>
      <c r="X214" s="90">
        <v>374.55</v>
      </c>
      <c r="Y214" s="40">
        <f t="shared" si="19"/>
        <v>-1.0435931307793855E-2</v>
      </c>
    </row>
    <row r="215" spans="1:25">
      <c r="A215" s="92">
        <v>45320</v>
      </c>
      <c r="B215" s="90">
        <v>374.55</v>
      </c>
      <c r="C215" s="40">
        <f t="shared" si="20"/>
        <v>-1.0435931307793855E-2</v>
      </c>
      <c r="D215" s="93">
        <v>21352.6</v>
      </c>
      <c r="E215" s="94">
        <f t="shared" si="21"/>
        <v>-4.7240717909756702E-3</v>
      </c>
      <c r="F215" s="95">
        <v>17623.599999999999</v>
      </c>
      <c r="G215" s="41">
        <f t="shared" si="18"/>
        <v>-5.1663678249619371E-3</v>
      </c>
      <c r="K215" s="2"/>
      <c r="W215" s="92">
        <v>45316</v>
      </c>
      <c r="X215" s="90">
        <v>378.5</v>
      </c>
      <c r="Y215" s="40">
        <f t="shared" si="19"/>
        <v>-4.2257085020242835E-2</v>
      </c>
    </row>
    <row r="216" spans="1:25">
      <c r="A216" s="92">
        <v>45316</v>
      </c>
      <c r="B216" s="90">
        <v>378.5</v>
      </c>
      <c r="C216" s="40">
        <f t="shared" si="20"/>
        <v>-4.2257085020242835E-2</v>
      </c>
      <c r="D216" s="93">
        <v>21453.95</v>
      </c>
      <c r="E216" s="94">
        <f t="shared" si="21"/>
        <v>1.0130045011959243E-2</v>
      </c>
      <c r="F216" s="95">
        <v>17532.55</v>
      </c>
      <c r="G216" s="41">
        <f t="shared" si="18"/>
        <v>1.3184049097250572E-2</v>
      </c>
      <c r="K216" s="2"/>
      <c r="W216" s="92">
        <v>45315</v>
      </c>
      <c r="X216" s="90">
        <v>395.2</v>
      </c>
      <c r="Y216" s="40">
        <f t="shared" si="19"/>
        <v>-1.2000000000000011E-2</v>
      </c>
    </row>
    <row r="217" spans="1:25">
      <c r="A217" s="92">
        <v>45315</v>
      </c>
      <c r="B217" s="90">
        <v>395.2</v>
      </c>
      <c r="C217" s="40">
        <f t="shared" si="20"/>
        <v>-1.2000000000000011E-2</v>
      </c>
      <c r="D217" s="93">
        <v>21238.799999999999</v>
      </c>
      <c r="E217" s="94">
        <f t="shared" si="21"/>
        <v>-1.5436820293160514E-2</v>
      </c>
      <c r="F217" s="95">
        <v>17763.7</v>
      </c>
      <c r="G217" s="41">
        <f t="shared" si="18"/>
        <v>-1.3702100350715285E-2</v>
      </c>
      <c r="K217" s="2"/>
      <c r="W217" s="92">
        <v>45314</v>
      </c>
      <c r="X217" s="90">
        <v>400</v>
      </c>
      <c r="Y217" s="40">
        <f t="shared" si="19"/>
        <v>-4.9751243781094301E-3</v>
      </c>
    </row>
    <row r="218" spans="1:25">
      <c r="A218" s="92">
        <v>45314</v>
      </c>
      <c r="B218" s="90">
        <v>400</v>
      </c>
      <c r="C218" s="40">
        <f t="shared" si="20"/>
        <v>-4.9751243781094301E-3</v>
      </c>
      <c r="D218" s="93">
        <v>21571.8</v>
      </c>
      <c r="E218" s="94">
        <f t="shared" si="21"/>
        <v>-2.3401657540329523E-3</v>
      </c>
      <c r="F218" s="95">
        <v>17520.3</v>
      </c>
      <c r="G218" s="41">
        <f t="shared" si="18"/>
        <v>-1.62896754051014E-2</v>
      </c>
      <c r="K218" s="2"/>
      <c r="W218" s="92">
        <v>45311</v>
      </c>
      <c r="X218" s="90">
        <v>402</v>
      </c>
      <c r="Y218" s="40">
        <f t="shared" si="19"/>
        <v>-2.4271844660194164E-2</v>
      </c>
    </row>
    <row r="219" spans="1:25">
      <c r="A219" s="92">
        <v>45311</v>
      </c>
      <c r="B219" s="90">
        <v>402</v>
      </c>
      <c r="C219" s="40">
        <f t="shared" si="20"/>
        <v>-2.4271844660194164E-2</v>
      </c>
      <c r="D219" s="93">
        <v>21622.400000000001</v>
      </c>
      <c r="E219" s="94">
        <f t="shared" si="21"/>
        <v>7.4619389858938678E-3</v>
      </c>
      <c r="F219" s="95">
        <v>17234.900000000001</v>
      </c>
      <c r="G219" s="41">
        <f t="shared" si="18"/>
        <v>8.8831382833667316E-3</v>
      </c>
      <c r="K219" s="2"/>
      <c r="W219" s="92">
        <v>45310</v>
      </c>
      <c r="X219" s="90">
        <v>412</v>
      </c>
      <c r="Y219" s="40">
        <f t="shared" si="19"/>
        <v>-1.0804321728691502E-2</v>
      </c>
    </row>
    <row r="220" spans="1:25">
      <c r="A220" s="92">
        <v>45310</v>
      </c>
      <c r="B220" s="90">
        <v>412</v>
      </c>
      <c r="C220" s="40">
        <f t="shared" si="20"/>
        <v>-1.0804321728691502E-2</v>
      </c>
      <c r="D220" s="93">
        <v>21462.25</v>
      </c>
      <c r="E220" s="94">
        <f t="shared" si="21"/>
        <v>-5.0853075405793424E-3</v>
      </c>
      <c r="F220" s="95">
        <v>17388</v>
      </c>
      <c r="G220" s="41">
        <f t="shared" si="18"/>
        <v>-3.2637451115712368E-3</v>
      </c>
      <c r="K220" s="2"/>
      <c r="W220" s="92">
        <v>45309</v>
      </c>
      <c r="X220" s="90">
        <v>416.5</v>
      </c>
      <c r="Y220" s="40">
        <f t="shared" si="19"/>
        <v>1.1167759164845803E-2</v>
      </c>
    </row>
    <row r="221" spans="1:25">
      <c r="A221" s="92">
        <v>45309</v>
      </c>
      <c r="B221" s="90">
        <v>416.5</v>
      </c>
      <c r="C221" s="40">
        <f t="shared" si="20"/>
        <v>1.1167759164845803E-2</v>
      </c>
      <c r="D221" s="93">
        <v>21571.95</v>
      </c>
      <c r="E221" s="94">
        <f t="shared" si="21"/>
        <v>-2.0894323334377241E-2</v>
      </c>
      <c r="F221" s="95">
        <v>17331.25</v>
      </c>
      <c r="G221" s="41">
        <f t="shared" si="18"/>
        <v>-1.0227190768121175E-2</v>
      </c>
      <c r="K221" s="2"/>
      <c r="W221" s="92">
        <v>45308</v>
      </c>
      <c r="X221" s="90">
        <v>411.9</v>
      </c>
      <c r="Y221" s="40">
        <f t="shared" si="19"/>
        <v>-6.5123010130246906E-3</v>
      </c>
    </row>
    <row r="222" spans="1:25">
      <c r="A222" s="92">
        <v>45308</v>
      </c>
      <c r="B222" s="90">
        <v>411.9</v>
      </c>
      <c r="C222" s="40">
        <f t="shared" si="20"/>
        <v>-6.5123010130246906E-3</v>
      </c>
      <c r="D222" s="93">
        <v>22032.3</v>
      </c>
      <c r="E222" s="94">
        <f t="shared" si="21"/>
        <v>-2.9483039898269281E-3</v>
      </c>
      <c r="F222" s="95">
        <v>17154</v>
      </c>
      <c r="G222" s="41">
        <f t="shared" si="18"/>
        <v>9.6857875714120301E-3</v>
      </c>
      <c r="K222" s="2"/>
      <c r="W222" s="92">
        <v>45307</v>
      </c>
      <c r="X222" s="90">
        <v>414.6</v>
      </c>
      <c r="Y222" s="40">
        <f t="shared" si="19"/>
        <v>-1.7535545023696586E-2</v>
      </c>
    </row>
    <row r="223" spans="1:25">
      <c r="A223" s="92">
        <v>45307</v>
      </c>
      <c r="B223" s="90">
        <v>414.6</v>
      </c>
      <c r="C223" s="40">
        <f t="shared" si="20"/>
        <v>-1.7535545023696586E-2</v>
      </c>
      <c r="D223" s="93">
        <v>22097.45</v>
      </c>
      <c r="E223" s="94">
        <f t="shared" si="21"/>
        <v>9.2671463903117868E-3</v>
      </c>
      <c r="F223" s="95">
        <v>17320.150000000001</v>
      </c>
      <c r="G223" s="41">
        <f t="shared" si="18"/>
        <v>1.1564564972012414E-2</v>
      </c>
      <c r="K223" s="2"/>
      <c r="W223" s="92">
        <v>45306</v>
      </c>
      <c r="X223" s="90">
        <v>422</v>
      </c>
      <c r="Y223" s="40">
        <f t="shared" si="19"/>
        <v>1.2718982481401575E-2</v>
      </c>
    </row>
    <row r="224" spans="1:25">
      <c r="A224" s="92">
        <v>45306</v>
      </c>
      <c r="B224" s="90">
        <v>422</v>
      </c>
      <c r="C224" s="40">
        <f t="shared" si="20"/>
        <v>1.2718982481401575E-2</v>
      </c>
      <c r="D224" s="93">
        <v>21894.55</v>
      </c>
      <c r="E224" s="94">
        <f t="shared" si="21"/>
        <v>1.1426420045086649E-2</v>
      </c>
      <c r="F224" s="95">
        <v>17520.45</v>
      </c>
      <c r="G224" s="41">
        <f t="shared" si="18"/>
        <v>-9.8741756062201702E-3</v>
      </c>
      <c r="K224" s="2"/>
      <c r="W224" s="92">
        <v>45303</v>
      </c>
      <c r="X224" s="90">
        <v>416.7</v>
      </c>
      <c r="Y224" s="40">
        <f t="shared" si="19"/>
        <v>-1.6056670602125123E-2</v>
      </c>
    </row>
    <row r="225" spans="1:25">
      <c r="A225" s="92">
        <v>45303</v>
      </c>
      <c r="B225" s="90">
        <v>416.7</v>
      </c>
      <c r="C225" s="40">
        <f t="shared" si="20"/>
        <v>-1.6056670602125123E-2</v>
      </c>
      <c r="D225" s="93">
        <v>21647.200000000001</v>
      </c>
      <c r="E225" s="94">
        <f t="shared" si="21"/>
        <v>1.3183031357111297E-3</v>
      </c>
      <c r="F225" s="95">
        <v>17347.45</v>
      </c>
      <c r="G225" s="41">
        <f t="shared" si="18"/>
        <v>1.9080614153663689E-3</v>
      </c>
      <c r="K225" s="2"/>
      <c r="W225" s="92">
        <v>45302</v>
      </c>
      <c r="X225" s="90">
        <v>423.5</v>
      </c>
      <c r="Y225" s="40">
        <f t="shared" si="19"/>
        <v>1.1947431302270051E-2</v>
      </c>
    </row>
    <row r="226" spans="1:25">
      <c r="A226" s="92">
        <v>45302</v>
      </c>
      <c r="B226" s="90">
        <v>423.5</v>
      </c>
      <c r="C226" s="40">
        <f t="shared" si="20"/>
        <v>1.1947431302270051E-2</v>
      </c>
      <c r="D226" s="93">
        <v>21618.7</v>
      </c>
      <c r="E226" s="94">
        <f t="shared" si="21"/>
        <v>3.4277333098164942E-3</v>
      </c>
      <c r="F226" s="95">
        <v>17380.55</v>
      </c>
      <c r="G226" s="41">
        <f t="shared" si="18"/>
        <v>1.2283846023286582E-3</v>
      </c>
      <c r="K226" s="2"/>
      <c r="W226" s="92">
        <v>45301</v>
      </c>
      <c r="X226" s="90">
        <v>418.5</v>
      </c>
      <c r="Y226" s="40">
        <f t="shared" si="19"/>
        <v>-1.4134275618374548E-2</v>
      </c>
    </row>
    <row r="227" spans="1:25">
      <c r="A227" s="92">
        <v>45301</v>
      </c>
      <c r="B227" s="90">
        <v>418.5</v>
      </c>
      <c r="C227" s="40">
        <f t="shared" si="20"/>
        <v>-1.4134275618374548E-2</v>
      </c>
      <c r="D227" s="93">
        <v>21544.85</v>
      </c>
      <c r="E227" s="94">
        <f t="shared" si="21"/>
        <v>1.4805001626922998E-3</v>
      </c>
      <c r="F227" s="95">
        <v>17401.900000000001</v>
      </c>
      <c r="G227" s="41">
        <f t="shared" si="18"/>
        <v>-3.195053413707849E-3</v>
      </c>
      <c r="W227" s="92">
        <v>45300</v>
      </c>
      <c r="X227" s="90">
        <v>424.5</v>
      </c>
      <c r="Y227" s="40">
        <f t="shared" si="19"/>
        <v>1.3247404224847825E-2</v>
      </c>
    </row>
    <row r="228" spans="1:25">
      <c r="A228" s="92">
        <v>45300</v>
      </c>
      <c r="B228" s="90">
        <v>424.5</v>
      </c>
      <c r="C228" s="40">
        <f t="shared" si="20"/>
        <v>1.3247404224847825E-2</v>
      </c>
      <c r="D228" s="93">
        <v>21513</v>
      </c>
      <c r="E228" s="94">
        <f t="shared" si="21"/>
        <v>-9.1106730290915205E-3</v>
      </c>
      <c r="F228" s="95">
        <v>17346.3</v>
      </c>
      <c r="G228" s="41">
        <f t="shared" si="18"/>
        <v>-8.6675544640643087E-3</v>
      </c>
      <c r="W228" s="92">
        <v>45299</v>
      </c>
      <c r="X228" s="90">
        <v>418.95</v>
      </c>
      <c r="Y228" s="40">
        <f t="shared" si="19"/>
        <v>-1.885245901639343E-2</v>
      </c>
    </row>
    <row r="229" spans="1:25">
      <c r="A229" s="92">
        <v>45299</v>
      </c>
      <c r="B229" s="90">
        <v>418.95</v>
      </c>
      <c r="C229" s="40">
        <f t="shared" si="20"/>
        <v>-1.885245901639343E-2</v>
      </c>
      <c r="D229" s="93">
        <v>21710.799999999999</v>
      </c>
      <c r="E229" s="94">
        <f t="shared" si="21"/>
        <v>2.4101280784538659E-3</v>
      </c>
      <c r="F229" s="95">
        <v>17195.95</v>
      </c>
      <c r="G229" s="41">
        <f t="shared" si="18"/>
        <v>9.4586225244897015E-3</v>
      </c>
      <c r="W229" s="92">
        <v>45296</v>
      </c>
      <c r="X229" s="90">
        <v>427</v>
      </c>
      <c r="Y229" s="40">
        <f t="shared" si="19"/>
        <v>-1.2488436632747457E-2</v>
      </c>
    </row>
    <row r="230" spans="1:25">
      <c r="A230" s="92">
        <v>45296</v>
      </c>
      <c r="B230" s="90">
        <v>427</v>
      </c>
      <c r="C230" s="40">
        <f t="shared" si="20"/>
        <v>-1.2488436632747457E-2</v>
      </c>
      <c r="D230" s="93">
        <v>21658.6</v>
      </c>
      <c r="E230" s="94">
        <f t="shared" si="21"/>
        <v>6.5644700671783074E-3</v>
      </c>
      <c r="F230" s="95">
        <v>17358.599999999999</v>
      </c>
      <c r="G230" s="41">
        <f t="shared" si="18"/>
        <v>3.1454149528189479E-3</v>
      </c>
      <c r="W230" s="92">
        <v>45295</v>
      </c>
      <c r="X230" s="90">
        <v>432.4</v>
      </c>
      <c r="Y230" s="40">
        <f t="shared" si="19"/>
        <v>3.4810860988627734E-3</v>
      </c>
    </row>
    <row r="231" spans="1:25">
      <c r="A231" s="92">
        <v>45295</v>
      </c>
      <c r="B231" s="90">
        <v>432.4</v>
      </c>
      <c r="C231" s="40">
        <f t="shared" si="20"/>
        <v>3.4810860988627734E-3</v>
      </c>
      <c r="D231" s="93">
        <v>21517.35</v>
      </c>
      <c r="E231" s="94">
        <f t="shared" si="21"/>
        <v>-6.8518125340398806E-3</v>
      </c>
      <c r="F231" s="95">
        <v>17413.2</v>
      </c>
      <c r="G231" s="41">
        <f t="shared" si="18"/>
        <v>-1.9180851308203684E-3</v>
      </c>
      <c r="W231" s="92">
        <v>45294</v>
      </c>
      <c r="X231" s="90">
        <v>430.9</v>
      </c>
      <c r="Y231" s="40">
        <f t="shared" si="19"/>
        <v>-1.0562571756601691E-2</v>
      </c>
    </row>
    <row r="232" spans="1:25">
      <c r="A232" s="92">
        <v>45294</v>
      </c>
      <c r="B232" s="90">
        <v>430.9</v>
      </c>
      <c r="C232" s="40">
        <f t="shared" si="20"/>
        <v>-1.0562571756601691E-2</v>
      </c>
      <c r="D232" s="93">
        <v>21665.8</v>
      </c>
      <c r="E232" s="94">
        <f t="shared" si="21"/>
        <v>-3.5001540803702991E-3</v>
      </c>
      <c r="F232" s="95">
        <v>17379.8</v>
      </c>
      <c r="G232" s="41">
        <f t="shared" si="18"/>
        <v>-6.0702654806153999E-3</v>
      </c>
      <c r="W232" s="92">
        <v>45293</v>
      </c>
      <c r="X232" s="90">
        <v>435.5</v>
      </c>
      <c r="Y232" s="40">
        <f t="shared" si="19"/>
        <v>8.1018518518518601E-3</v>
      </c>
    </row>
    <row r="233" spans="1:25">
      <c r="A233" s="92">
        <v>45293</v>
      </c>
      <c r="B233" s="90">
        <v>435.5</v>
      </c>
      <c r="C233" s="40">
        <f t="shared" si="20"/>
        <v>8.1018518518518601E-3</v>
      </c>
      <c r="D233" s="93">
        <v>21741.9</v>
      </c>
      <c r="E233" s="94">
        <f t="shared" si="21"/>
        <v>4.8317181589774272E-4</v>
      </c>
      <c r="F233" s="95">
        <v>17274.3</v>
      </c>
      <c r="G233" s="41">
        <f t="shared" si="18"/>
        <v>-2.4055967535587475E-2</v>
      </c>
      <c r="W233" s="92">
        <v>45292</v>
      </c>
      <c r="X233" s="90">
        <v>432</v>
      </c>
      <c r="Y233" s="40">
        <f t="shared" si="19"/>
        <v>3.6008827970728241E-3</v>
      </c>
    </row>
    <row r="234" spans="1:25">
      <c r="A234" s="92">
        <v>45292</v>
      </c>
      <c r="B234" s="90">
        <v>432</v>
      </c>
      <c r="C234" s="40">
        <f t="shared" si="20"/>
        <v>3.6008827970728241E-3</v>
      </c>
      <c r="D234" s="93">
        <v>21731.4</v>
      </c>
      <c r="E234" s="94">
        <f t="shared" si="21"/>
        <v>-2.1718468044464867E-3</v>
      </c>
      <c r="F234" s="95">
        <v>16858.75</v>
      </c>
      <c r="G234" s="41">
        <f t="shared" si="18"/>
        <v>-1.5985764069104125E-3</v>
      </c>
      <c r="W234" s="92">
        <v>45289</v>
      </c>
      <c r="X234" s="90">
        <v>430.45</v>
      </c>
      <c r="Y234" s="40">
        <f t="shared" si="19"/>
        <v>7.2540072540072664E-3</v>
      </c>
    </row>
    <row r="235" spans="1:25">
      <c r="A235" s="92">
        <v>45289</v>
      </c>
      <c r="B235" s="90">
        <v>430.45</v>
      </c>
      <c r="C235" s="40">
        <f t="shared" si="20"/>
        <v>7.2540072540072664E-3</v>
      </c>
      <c r="D235" s="93">
        <v>21778.7</v>
      </c>
      <c r="E235" s="94">
        <f t="shared" si="21"/>
        <v>5.7239173853311787E-3</v>
      </c>
      <c r="F235" s="95">
        <v>16831.8</v>
      </c>
      <c r="G235" s="41">
        <f t="shared" si="18"/>
        <v>1.7258997849307622E-3</v>
      </c>
      <c r="W235" s="92">
        <v>45288</v>
      </c>
      <c r="X235" s="90">
        <v>427.35</v>
      </c>
      <c r="Y235" s="40">
        <f t="shared" si="19"/>
        <v>-9.6176129779836916E-3</v>
      </c>
    </row>
    <row r="236" spans="1:25">
      <c r="A236" s="92">
        <v>45288</v>
      </c>
      <c r="B236" s="90">
        <v>427.35</v>
      </c>
      <c r="C236" s="40">
        <f t="shared" si="20"/>
        <v>-9.6176129779836916E-3</v>
      </c>
      <c r="D236" s="93">
        <v>21654.75</v>
      </c>
      <c r="E236" s="94">
        <f t="shared" si="21"/>
        <v>9.9527315211029865E-3</v>
      </c>
      <c r="F236" s="95">
        <v>16860.849999999999</v>
      </c>
      <c r="G236" s="41">
        <f t="shared" si="18"/>
        <v>-1.215241224493413E-2</v>
      </c>
      <c r="W236" s="92">
        <v>45287</v>
      </c>
      <c r="X236" s="90">
        <v>431.5</v>
      </c>
      <c r="Y236" s="40">
        <f t="shared" si="19"/>
        <v>-8.0459770114942319E-3</v>
      </c>
    </row>
    <row r="237" spans="1:25">
      <c r="A237" s="92">
        <v>45287</v>
      </c>
      <c r="B237" s="90">
        <v>431.5</v>
      </c>
      <c r="C237" s="40">
        <f t="shared" si="20"/>
        <v>-8.0459770114942319E-3</v>
      </c>
      <c r="D237" s="93">
        <v>21441.35</v>
      </c>
      <c r="E237" s="94">
        <f t="shared" si="21"/>
        <v>4.306912606443225E-3</v>
      </c>
      <c r="F237" s="95">
        <v>16655.95</v>
      </c>
      <c r="G237" s="41">
        <f t="shared" si="18"/>
        <v>-5.6046037602179855E-3</v>
      </c>
      <c r="W237" s="92">
        <v>45286</v>
      </c>
      <c r="X237" s="90">
        <v>435</v>
      </c>
      <c r="Y237" s="40">
        <f t="shared" si="19"/>
        <v>4.6176046176046093E-2</v>
      </c>
    </row>
    <row r="238" spans="1:25">
      <c r="A238" s="92">
        <v>45286</v>
      </c>
      <c r="B238" s="90">
        <v>435</v>
      </c>
      <c r="C238" s="40">
        <f t="shared" si="20"/>
        <v>4.6176046176046093E-2</v>
      </c>
      <c r="D238" s="93">
        <v>21349.4</v>
      </c>
      <c r="E238" s="94">
        <f t="shared" si="21"/>
        <v>4.4389450977533329E-3</v>
      </c>
      <c r="F238" s="95">
        <v>16562.599999999999</v>
      </c>
      <c r="G238" s="41">
        <f t="shared" si="18"/>
        <v>-1.0158429232125399E-2</v>
      </c>
      <c r="W238" s="92">
        <v>45282</v>
      </c>
      <c r="X238" s="90">
        <v>415.8</v>
      </c>
      <c r="Y238" s="40">
        <f t="shared" si="19"/>
        <v>4.7751039435554921E-2</v>
      </c>
    </row>
    <row r="239" spans="1:25">
      <c r="A239" s="92">
        <v>45282</v>
      </c>
      <c r="B239" s="90">
        <v>415.8</v>
      </c>
      <c r="C239" s="40">
        <f t="shared" si="20"/>
        <v>4.7751039435554921E-2</v>
      </c>
      <c r="D239" s="93">
        <v>21255.05</v>
      </c>
      <c r="E239" s="94">
        <f t="shared" si="21"/>
        <v>4.9597756989903097E-3</v>
      </c>
      <c r="F239" s="95">
        <v>16394.349999999999</v>
      </c>
      <c r="G239" s="41">
        <f t="shared" si="18"/>
        <v>-9.5276726433191072E-3</v>
      </c>
      <c r="W239" s="92">
        <v>45281</v>
      </c>
      <c r="X239" s="90">
        <v>396.85</v>
      </c>
      <c r="Y239" s="40">
        <f t="shared" si="19"/>
        <v>2.5054888286194066E-2</v>
      </c>
    </row>
    <row r="240" spans="1:25">
      <c r="A240" s="92">
        <v>45281</v>
      </c>
      <c r="B240" s="90">
        <v>396.85</v>
      </c>
      <c r="C240" s="40">
        <f t="shared" si="20"/>
        <v>2.5054888286194066E-2</v>
      </c>
      <c r="D240" s="93">
        <v>21150.15</v>
      </c>
      <c r="E240" s="94">
        <f t="shared" si="21"/>
        <v>-1.4121502253753415E-2</v>
      </c>
      <c r="F240" s="95">
        <v>16238.15</v>
      </c>
      <c r="G240" s="41">
        <f t="shared" si="18"/>
        <v>-7.1990959561279988E-3</v>
      </c>
      <c r="W240" s="92">
        <v>45280</v>
      </c>
      <c r="X240" s="90">
        <v>387.15</v>
      </c>
      <c r="Y240" s="40">
        <f t="shared" si="19"/>
        <v>-2.7261306532663343E-2</v>
      </c>
    </row>
    <row r="241" spans="1:25">
      <c r="A241" s="92">
        <v>45280</v>
      </c>
      <c r="B241" s="90">
        <v>387.15</v>
      </c>
      <c r="C241" s="40">
        <f t="shared" si="20"/>
        <v>-2.7261306532663343E-2</v>
      </c>
      <c r="D241" s="93">
        <v>21453.1</v>
      </c>
      <c r="E241" s="94">
        <f t="shared" si="21"/>
        <v>1.6084113611267714E-3</v>
      </c>
      <c r="F241" s="95">
        <v>16121.25</v>
      </c>
      <c r="G241" s="41">
        <f t="shared" si="18"/>
        <v>1.6748080949057886E-2</v>
      </c>
      <c r="W241" s="92">
        <v>45279</v>
      </c>
      <c r="X241" s="90">
        <v>398</v>
      </c>
      <c r="Y241" s="40">
        <f t="shared" si="19"/>
        <v>-2.5062656641604564E-3</v>
      </c>
    </row>
    <row r="242" spans="1:25">
      <c r="A242" s="92">
        <v>45279</v>
      </c>
      <c r="B242" s="90">
        <v>398</v>
      </c>
      <c r="C242" s="40">
        <f t="shared" si="20"/>
        <v>-2.5062656641604564E-3</v>
      </c>
      <c r="D242" s="93">
        <v>21418.65</v>
      </c>
      <c r="E242" s="94">
        <f t="shared" si="21"/>
        <v>-1.7710127163373945E-3</v>
      </c>
      <c r="F242" s="95">
        <v>16391.25</v>
      </c>
      <c r="G242" s="41">
        <f t="shared" si="18"/>
        <v>-3.6055822466255494E-3</v>
      </c>
      <c r="W242" s="92">
        <v>45278</v>
      </c>
      <c r="X242" s="90">
        <v>399</v>
      </c>
      <c r="Y242" s="40">
        <f t="shared" si="19"/>
        <v>3.2608695652174058E-2</v>
      </c>
    </row>
    <row r="243" spans="1:25">
      <c r="A243" s="92">
        <v>45278</v>
      </c>
      <c r="B243" s="90">
        <v>399</v>
      </c>
      <c r="C243" s="40">
        <f t="shared" si="20"/>
        <v>3.2608695652174058E-2</v>
      </c>
      <c r="D243" s="93">
        <v>21456.65</v>
      </c>
      <c r="E243" s="94">
        <f t="shared" si="21"/>
        <v>1.2932723401643864E-2</v>
      </c>
      <c r="F243" s="95">
        <v>16332.15</v>
      </c>
      <c r="G243" s="41">
        <f t="shared" si="18"/>
        <v>-9.3282268409241587E-3</v>
      </c>
      <c r="W243" s="92">
        <v>45275</v>
      </c>
      <c r="X243" s="90">
        <v>386.4</v>
      </c>
      <c r="Y243" s="40">
        <f t="shared" si="19"/>
        <v>1.0362694300518616E-3</v>
      </c>
    </row>
    <row r="244" spans="1:25">
      <c r="A244" s="92">
        <v>45275</v>
      </c>
      <c r="B244" s="90">
        <v>386.4</v>
      </c>
      <c r="C244" s="40">
        <f t="shared" si="20"/>
        <v>1.0362694300518616E-3</v>
      </c>
      <c r="D244" s="93">
        <v>21182.7</v>
      </c>
      <c r="E244" s="94">
        <f t="shared" si="21"/>
        <v>1.2250105727946048E-2</v>
      </c>
      <c r="F244" s="95">
        <v>16179.8</v>
      </c>
      <c r="G244" s="41">
        <f t="shared" si="18"/>
        <v>-1.489511613246064E-3</v>
      </c>
      <c r="W244" s="92">
        <v>45274</v>
      </c>
      <c r="X244" s="90">
        <v>386</v>
      </c>
      <c r="Y244" s="40">
        <f t="shared" si="19"/>
        <v>1.1530398322851187E-2</v>
      </c>
    </row>
    <row r="245" spans="1:25">
      <c r="A245" s="92">
        <v>45274</v>
      </c>
      <c r="B245" s="90">
        <v>386</v>
      </c>
      <c r="C245" s="40">
        <f t="shared" si="20"/>
        <v>1.1530398322851187E-2</v>
      </c>
      <c r="D245" s="93">
        <v>20926.349999999999</v>
      </c>
      <c r="E245" s="94">
        <f t="shared" si="21"/>
        <v>9.5425324302600423E-4</v>
      </c>
      <c r="F245" s="95">
        <v>16155.7</v>
      </c>
      <c r="G245" s="41">
        <f t="shared" si="18"/>
        <v>-8.2323885687407561E-4</v>
      </c>
      <c r="W245" s="92">
        <v>45273</v>
      </c>
      <c r="X245" s="90">
        <v>381.6</v>
      </c>
      <c r="Y245" s="40">
        <f t="shared" si="19"/>
        <v>-2.1914648212225996E-2</v>
      </c>
    </row>
    <row r="246" spans="1:25">
      <c r="A246" s="92">
        <v>45273</v>
      </c>
      <c r="B246" s="90">
        <v>381.6</v>
      </c>
      <c r="C246" s="40">
        <f t="shared" si="20"/>
        <v>-2.1914648212225996E-2</v>
      </c>
      <c r="D246" s="93">
        <v>20906.400000000001</v>
      </c>
      <c r="E246" s="94">
        <f t="shared" si="21"/>
        <v>-4.3196441413336784E-3</v>
      </c>
      <c r="F246" s="95">
        <v>16142.4</v>
      </c>
      <c r="G246" s="41">
        <f t="shared" si="18"/>
        <v>-1.1082614728912699E-2</v>
      </c>
      <c r="W246" s="92">
        <v>45272</v>
      </c>
      <c r="X246" s="90">
        <v>390.15</v>
      </c>
      <c r="Y246" s="40">
        <f t="shared" si="19"/>
        <v>-1.9186492709132308E-3</v>
      </c>
    </row>
    <row r="247" spans="1:25">
      <c r="A247" s="92">
        <v>45272</v>
      </c>
      <c r="B247" s="90">
        <v>390.15</v>
      </c>
      <c r="C247" s="40">
        <f t="shared" si="20"/>
        <v>-1.9186492709132308E-3</v>
      </c>
      <c r="D247" s="93">
        <v>20997.1</v>
      </c>
      <c r="E247" s="94">
        <f t="shared" si="21"/>
        <v>1.3209724646388032E-3</v>
      </c>
      <c r="F247" s="95">
        <v>15963.5</v>
      </c>
      <c r="G247" s="41">
        <f t="shared" si="18"/>
        <v>4.7859178751525899E-3</v>
      </c>
      <c r="W247" s="92">
        <v>45271</v>
      </c>
      <c r="X247" s="90">
        <v>390.9</v>
      </c>
      <c r="Y247" s="40">
        <f t="shared" si="19"/>
        <v>1.5456552799064882E-2</v>
      </c>
    </row>
    <row r="248" spans="1:25">
      <c r="A248" s="92">
        <v>45271</v>
      </c>
      <c r="B248" s="90">
        <v>390.9</v>
      </c>
      <c r="C248" s="40">
        <f t="shared" si="20"/>
        <v>1.5456552799064882E-2</v>
      </c>
      <c r="D248" s="93">
        <v>20969.400000000001</v>
      </c>
      <c r="E248" s="94">
        <f t="shared" si="21"/>
        <v>3.2653705657343934E-3</v>
      </c>
      <c r="F248" s="95">
        <v>16039.9</v>
      </c>
      <c r="G248" s="41">
        <f t="shared" si="18"/>
        <v>7.683963116976944E-3</v>
      </c>
      <c r="W248" s="92">
        <v>45268</v>
      </c>
      <c r="X248" s="90">
        <v>384.95</v>
      </c>
      <c r="Y248" s="40">
        <f t="shared" si="19"/>
        <v>-1.2948717948717992E-2</v>
      </c>
    </row>
    <row r="249" spans="1:25">
      <c r="A249" s="92">
        <v>45268</v>
      </c>
      <c r="B249" s="90">
        <v>384.95</v>
      </c>
      <c r="C249" s="40">
        <f t="shared" si="20"/>
        <v>-1.2948717948717992E-2</v>
      </c>
      <c r="D249" s="93">
        <v>20901.150000000001</v>
      </c>
      <c r="E249" s="94">
        <f t="shared" si="21"/>
        <v>-1.7456549668778409E-3</v>
      </c>
      <c r="F249" s="95">
        <v>16163.15</v>
      </c>
      <c r="G249" s="41">
        <f t="shared" si="18"/>
        <v>8.1079492549411825E-3</v>
      </c>
      <c r="W249" s="92">
        <v>45267</v>
      </c>
      <c r="X249" s="90">
        <v>390</v>
      </c>
      <c r="Y249" s="40">
        <f t="shared" si="19"/>
        <v>2.9023746701847042E-2</v>
      </c>
    </row>
    <row r="250" spans="1:25">
      <c r="A250" s="92">
        <v>45267</v>
      </c>
      <c r="B250" s="90">
        <v>390</v>
      </c>
      <c r="C250" s="40">
        <f t="shared" si="20"/>
        <v>2.9023746701847042E-2</v>
      </c>
      <c r="D250" s="93">
        <v>20937.7</v>
      </c>
      <c r="E250" s="94">
        <f t="shared" si="21"/>
        <v>3.9606619004464161E-3</v>
      </c>
      <c r="F250" s="95">
        <v>16294.2</v>
      </c>
      <c r="G250" s="41">
        <f t="shared" si="18"/>
        <v>-7.6499613359355401E-3</v>
      </c>
      <c r="W250" s="92">
        <v>45266</v>
      </c>
      <c r="X250" s="90">
        <v>379</v>
      </c>
      <c r="Y250" s="40">
        <f t="shared" si="19"/>
        <v>7.9787234042554278E-3</v>
      </c>
    </row>
    <row r="251" spans="1:25">
      <c r="A251" s="92">
        <v>45266</v>
      </c>
      <c r="B251" s="90">
        <v>379</v>
      </c>
      <c r="C251" s="40">
        <f t="shared" si="20"/>
        <v>7.9787234042554278E-3</v>
      </c>
      <c r="D251" s="93">
        <v>20855.099999999999</v>
      </c>
      <c r="E251" s="94">
        <f t="shared" si="21"/>
        <v>8.1356227159348204E-3</v>
      </c>
      <c r="F251" s="95">
        <v>16169.55</v>
      </c>
      <c r="G251" s="41">
        <f t="shared" si="18"/>
        <v>3.7168628687873628E-3</v>
      </c>
      <c r="W251" s="92">
        <v>45265</v>
      </c>
      <c r="X251" s="90">
        <v>376</v>
      </c>
      <c r="Y251" s="40">
        <f t="shared" si="19"/>
        <v>-1.0005265929436624E-2</v>
      </c>
    </row>
    <row r="252" spans="1:25">
      <c r="A252" s="92">
        <v>45265</v>
      </c>
      <c r="B252" s="90">
        <v>376</v>
      </c>
      <c r="C252" s="40">
        <f t="shared" si="20"/>
        <v>-1.0005265929436624E-2</v>
      </c>
      <c r="D252" s="93">
        <v>20686.8</v>
      </c>
      <c r="E252" s="94">
        <f t="shared" si="21"/>
        <v>2.0668150129021567E-2</v>
      </c>
      <c r="F252" s="95">
        <v>16229.65</v>
      </c>
      <c r="G252" s="41">
        <f t="shared" si="18"/>
        <v>-7.7019529071797876E-5</v>
      </c>
      <c r="W252" s="92">
        <v>45264</v>
      </c>
      <c r="X252" s="90">
        <v>379.8</v>
      </c>
      <c r="Y252" s="40">
        <f t="shared" si="19"/>
        <v>5.8262711864407457E-3</v>
      </c>
    </row>
    <row r="253" spans="1:25">
      <c r="A253" s="92">
        <v>45264</v>
      </c>
      <c r="B253" s="90">
        <v>379.8</v>
      </c>
      <c r="C253" s="40">
        <f t="shared" si="20"/>
        <v>5.8262711864407457E-3</v>
      </c>
      <c r="D253" s="93">
        <v>20267.900000000001</v>
      </c>
      <c r="E253" s="94">
        <f t="shared" si="21"/>
        <v>6.6929417403636116E-3</v>
      </c>
      <c r="F253" s="95">
        <v>16228.4</v>
      </c>
      <c r="G253" s="41">
        <f t="shared" si="18"/>
        <v>1.7654235784181349E-3</v>
      </c>
      <c r="W253" s="92">
        <v>45261</v>
      </c>
      <c r="X253" s="90">
        <v>377.6</v>
      </c>
      <c r="Y253" s="40">
        <f t="shared" si="19"/>
        <v>-8.1428946677172265E-3</v>
      </c>
    </row>
    <row r="254" spans="1:25">
      <c r="A254" s="92">
        <v>45261</v>
      </c>
      <c r="B254" s="90">
        <v>377.6</v>
      </c>
      <c r="C254" s="40">
        <f t="shared" si="20"/>
        <v>-8.1428946677172265E-3</v>
      </c>
      <c r="D254" s="93">
        <v>20133.150000000001</v>
      </c>
      <c r="E254" s="94">
        <f t="shared" si="21"/>
        <v>1.8187156036346686E-3</v>
      </c>
      <c r="F254" s="95">
        <v>16257.05</v>
      </c>
      <c r="G254" s="41">
        <f t="shared" si="18"/>
        <v>-1.1164387142809096E-3</v>
      </c>
      <c r="W254" s="92">
        <v>45260</v>
      </c>
      <c r="X254" s="90">
        <v>380.7</v>
      </c>
      <c r="Y254" s="40">
        <f t="shared" si="19"/>
        <v>1.519999999999988E-2</v>
      </c>
    </row>
    <row r="255" spans="1:25">
      <c r="A255" s="92">
        <v>45260</v>
      </c>
      <c r="B255" s="90">
        <v>380.7</v>
      </c>
      <c r="C255" s="40">
        <f t="shared" si="20"/>
        <v>1.519999999999988E-2</v>
      </c>
      <c r="D255" s="93">
        <v>20096.599999999999</v>
      </c>
      <c r="E255" s="94">
        <f t="shared" si="21"/>
        <v>1.04023690653956E-2</v>
      </c>
      <c r="F255" s="95">
        <v>16238.9</v>
      </c>
      <c r="G255" s="41">
        <f t="shared" si="18"/>
        <v>-1.5321234812702755E-2</v>
      </c>
      <c r="W255" s="92">
        <v>45259</v>
      </c>
      <c r="X255" s="90">
        <v>375</v>
      </c>
      <c r="Y255" s="40">
        <f t="shared" si="19"/>
        <v>1.1736139214892916E-2</v>
      </c>
    </row>
    <row r="256" spans="1:25">
      <c r="A256" s="92">
        <v>45259</v>
      </c>
      <c r="B256" s="90">
        <v>375</v>
      </c>
      <c r="C256" s="40">
        <f t="shared" si="20"/>
        <v>1.1736139214892916E-2</v>
      </c>
      <c r="D256" s="93">
        <v>19889.7</v>
      </c>
      <c r="E256" s="94">
        <f t="shared" si="21"/>
        <v>4.7992644495749026E-3</v>
      </c>
      <c r="F256" s="95">
        <v>15990.1</v>
      </c>
      <c r="G256" s="41">
        <f t="shared" si="18"/>
        <v>-5.6159748844598623E-3</v>
      </c>
      <c r="W256" s="92">
        <v>45258</v>
      </c>
      <c r="X256" s="90">
        <v>370.65</v>
      </c>
      <c r="Y256" s="40">
        <f t="shared" si="19"/>
        <v>-5.5004024684733865E-3</v>
      </c>
    </row>
    <row r="257" spans="1:25">
      <c r="A257" s="92">
        <v>45258</v>
      </c>
      <c r="B257" s="90">
        <v>370.65</v>
      </c>
      <c r="C257" s="40">
        <f t="shared" si="20"/>
        <v>-5.5004024684733865E-3</v>
      </c>
      <c r="D257" s="93">
        <v>19794.7</v>
      </c>
      <c r="E257" s="94">
        <f t="shared" si="21"/>
        <v>-3.6864963135030404E-4</v>
      </c>
      <c r="F257" s="96">
        <v>15900.3</v>
      </c>
      <c r="G257" s="42">
        <f t="shared" si="18"/>
        <v>3.4087407155840577E-3</v>
      </c>
      <c r="W257" s="92">
        <v>45254</v>
      </c>
      <c r="X257" s="90">
        <v>372.7</v>
      </c>
      <c r="Y257" s="40">
        <f t="shared" si="19"/>
        <v>8.6603518267929225E-3</v>
      </c>
    </row>
    <row r="258" spans="1:25">
      <c r="A258" s="92">
        <v>45254</v>
      </c>
      <c r="B258" s="90">
        <v>372.7</v>
      </c>
      <c r="C258" s="40">
        <f t="shared" si="20"/>
        <v>8.6603518267929225E-3</v>
      </c>
      <c r="D258" s="93">
        <v>19802</v>
      </c>
      <c r="E258" s="94">
        <f t="shared" si="21"/>
        <v>-4.971771944567438E-4</v>
      </c>
      <c r="F258" s="95">
        <v>15954.5</v>
      </c>
      <c r="G258" s="41">
        <f t="shared" si="18"/>
        <v>-8.5900529631137701E-3</v>
      </c>
      <c r="Q258" s="40"/>
      <c r="W258" s="92">
        <v>45253</v>
      </c>
      <c r="X258" s="90">
        <v>369.5</v>
      </c>
      <c r="Y258" s="40">
        <f t="shared" si="19"/>
        <v>-1.0841922098781986E-2</v>
      </c>
    </row>
    <row r="259" spans="1:25">
      <c r="A259" s="92">
        <v>45253</v>
      </c>
      <c r="B259" s="90">
        <v>369.5</v>
      </c>
      <c r="C259" s="40">
        <f t="shared" si="20"/>
        <v>-1.0841922098781986E-2</v>
      </c>
      <c r="D259" s="93">
        <v>19811.849999999999</v>
      </c>
      <c r="E259" s="94">
        <f t="shared" si="21"/>
        <v>1.4380743451578581E-3</v>
      </c>
      <c r="F259" s="95">
        <v>15817.45</v>
      </c>
      <c r="G259" s="41">
        <f t="shared" si="18"/>
        <v>1.5953899016592388E-2</v>
      </c>
      <c r="Q259" s="40"/>
      <c r="W259" s="92">
        <v>45252</v>
      </c>
      <c r="X259" s="90">
        <v>373.55</v>
      </c>
      <c r="Y259" s="40">
        <f t="shared" si="19"/>
        <v>-5.3511705685616029E-4</v>
      </c>
    </row>
    <row r="260" spans="1:25">
      <c r="A260" s="92">
        <v>45252</v>
      </c>
      <c r="B260" s="90">
        <v>373.55</v>
      </c>
      <c r="C260" s="40">
        <f t="shared" si="20"/>
        <v>-5.3511705685616029E-4</v>
      </c>
      <c r="D260" s="93">
        <v>19783.400000000001</v>
      </c>
      <c r="E260" s="94">
        <f t="shared" si="21"/>
        <v>4.5394536407028507E-3</v>
      </c>
      <c r="F260" s="95">
        <v>16069.8</v>
      </c>
      <c r="G260" s="41">
        <f t="shared" si="18"/>
        <v>-6.2788584798815217E-3</v>
      </c>
      <c r="Q260" s="40"/>
      <c r="W260" s="92">
        <v>45251</v>
      </c>
      <c r="X260" s="90">
        <v>373.75</v>
      </c>
      <c r="Y260" s="40">
        <f t="shared" si="19"/>
        <v>1.5625E-2</v>
      </c>
    </row>
    <row r="261" spans="1:25">
      <c r="A261" s="92">
        <v>45251</v>
      </c>
      <c r="B261" s="90">
        <v>373.75</v>
      </c>
      <c r="C261" s="40">
        <f t="shared" si="20"/>
        <v>1.5625E-2</v>
      </c>
      <c r="D261" s="93">
        <v>19694</v>
      </c>
      <c r="E261" s="94">
        <f t="shared" si="21"/>
        <v>-1.915689394784037E-3</v>
      </c>
      <c r="F261" s="95">
        <v>15968.9</v>
      </c>
      <c r="G261" s="41">
        <f t="shared" si="18"/>
        <v>-1.0154112055307474E-2</v>
      </c>
      <c r="I261" s="37">
        <v>45247</v>
      </c>
      <c r="J261">
        <v>369</v>
      </c>
      <c r="M261" s="37">
        <v>45245</v>
      </c>
      <c r="N261" s="91">
        <f t="shared" ref="N261:N269" si="22">C257</f>
        <v>-5.5004024684733865E-3</v>
      </c>
      <c r="P261" s="40"/>
      <c r="Q261" s="40"/>
      <c r="W261" s="92">
        <v>45250</v>
      </c>
      <c r="X261" s="90">
        <v>368</v>
      </c>
      <c r="Y261" s="40" t="e">
        <f t="shared" si="19"/>
        <v>#DIV/0!</v>
      </c>
    </row>
    <row r="262" spans="1:25">
      <c r="A262" s="92">
        <v>45250</v>
      </c>
      <c r="B262" s="90">
        <v>368</v>
      </c>
      <c r="C262" s="40">
        <f t="shared" si="20"/>
        <v>-4.0595399188092518E-3</v>
      </c>
      <c r="D262" s="93">
        <v>19731.8</v>
      </c>
      <c r="E262" s="94">
        <f t="shared" si="21"/>
        <v>-1.6898387064133713E-3</v>
      </c>
      <c r="F262" s="96">
        <v>15806.75</v>
      </c>
      <c r="G262" s="42">
        <f t="shared" si="18"/>
        <v>-1.4234425166459452E-4</v>
      </c>
      <c r="I262" s="39">
        <v>45250</v>
      </c>
      <c r="J262">
        <v>368</v>
      </c>
      <c r="M262" s="37">
        <v>45246</v>
      </c>
      <c r="N262" s="91">
        <f t="shared" si="22"/>
        <v>8.6603518267929225E-3</v>
      </c>
      <c r="P262" s="40"/>
      <c r="Q262" s="40"/>
    </row>
    <row r="263" spans="1:25">
      <c r="A263" s="92">
        <v>45247</v>
      </c>
      <c r="B263" s="90">
        <v>369.5</v>
      </c>
      <c r="C263" s="40">
        <f t="shared" si="20"/>
        <v>-1.0577051814165239E-2</v>
      </c>
      <c r="D263" s="93">
        <v>19765.2</v>
      </c>
      <c r="E263" s="94">
        <f t="shared" si="21"/>
        <v>4.5615220998758144E-3</v>
      </c>
      <c r="F263" s="95">
        <v>15804.5</v>
      </c>
      <c r="G263" s="41">
        <f t="shared" si="18"/>
        <v>-9.7060963649593379E-3</v>
      </c>
      <c r="I263" s="37">
        <v>45251</v>
      </c>
      <c r="J263">
        <v>373.75</v>
      </c>
      <c r="M263" s="37">
        <v>45247</v>
      </c>
      <c r="N263" s="91">
        <f t="shared" si="22"/>
        <v>-1.0841922098781986E-2</v>
      </c>
      <c r="P263" s="40"/>
      <c r="Q263" s="40"/>
    </row>
    <row r="264" spans="1:25">
      <c r="A264" s="92">
        <v>45246</v>
      </c>
      <c r="B264" s="90">
        <v>373.45</v>
      </c>
      <c r="C264" s="40">
        <f t="shared" si="20"/>
        <v>1.0963724959393684E-2</v>
      </c>
      <c r="D264" s="93">
        <v>19675.45</v>
      </c>
      <c r="E264" s="94">
        <f t="shared" si="21"/>
        <v>6.5404448627965905E-3</v>
      </c>
      <c r="F264" s="95">
        <v>15651.1</v>
      </c>
      <c r="G264" s="41">
        <f t="shared" si="18"/>
        <v>-8.6160078205366197E-3</v>
      </c>
      <c r="I264" s="37">
        <v>45252</v>
      </c>
      <c r="J264">
        <v>373.55</v>
      </c>
      <c r="M264" s="39">
        <v>45250</v>
      </c>
      <c r="N264" s="91">
        <f t="shared" si="22"/>
        <v>-5.3511705685616029E-4</v>
      </c>
      <c r="P264" s="40"/>
      <c r="Q264" s="40"/>
    </row>
    <row r="265" spans="1:25">
      <c r="A265" s="92">
        <v>45245</v>
      </c>
      <c r="B265" s="90">
        <v>369.4</v>
      </c>
      <c r="C265" s="40">
        <f t="shared" si="20"/>
        <v>-9.65147453083115E-3</v>
      </c>
      <c r="D265" s="93">
        <v>19547.599999999999</v>
      </c>
      <c r="E265" s="94">
        <f t="shared" si="21"/>
        <v>5.3513890210377113E-3</v>
      </c>
      <c r="F265" s="95">
        <v>15516.25</v>
      </c>
      <c r="G265" s="41">
        <f t="shared" ref="G265:G328" si="23">F266/F265-1</f>
        <v>-1.230967534036953E-3</v>
      </c>
      <c r="I265" s="37">
        <v>45253</v>
      </c>
      <c r="J265">
        <v>369.6</v>
      </c>
      <c r="M265" s="37">
        <v>45251</v>
      </c>
      <c r="N265" s="91">
        <f t="shared" si="22"/>
        <v>1.5625E-2</v>
      </c>
      <c r="P265" s="40"/>
      <c r="Q265" s="40"/>
    </row>
    <row r="266" spans="1:25">
      <c r="A266" s="92">
        <v>45243</v>
      </c>
      <c r="B266" s="90">
        <v>373</v>
      </c>
      <c r="C266" s="40">
        <f t="shared" ref="C266:C329" si="24">B266/B267-1</f>
        <v>3.7674919268029239E-3</v>
      </c>
      <c r="D266" s="93">
        <v>19443.55</v>
      </c>
      <c r="E266" s="94">
        <f t="shared" ref="E266:E329" si="25">D266/D267-1</f>
        <v>-4.1996256187405434E-3</v>
      </c>
      <c r="F266" s="96">
        <v>15497.15</v>
      </c>
      <c r="G266" s="42">
        <f t="shared" si="23"/>
        <v>1.2486166811316313E-3</v>
      </c>
      <c r="I266" s="37">
        <v>45254</v>
      </c>
      <c r="J266">
        <v>372.7</v>
      </c>
      <c r="M266" s="37">
        <v>45252</v>
      </c>
      <c r="N266" s="91">
        <f t="shared" si="22"/>
        <v>-4.0595399188092518E-3</v>
      </c>
      <c r="P266" s="40"/>
      <c r="Q266" s="40"/>
    </row>
    <row r="267" spans="1:25">
      <c r="A267" s="92">
        <v>45242</v>
      </c>
      <c r="B267" s="90">
        <v>371.6</v>
      </c>
      <c r="C267" s="40">
        <f t="shared" si="24"/>
        <v>4.7316479653913834E-3</v>
      </c>
      <c r="D267" s="93">
        <v>19525.55</v>
      </c>
      <c r="E267" s="94">
        <f t="shared" si="25"/>
        <v>5.1582082176124811E-3</v>
      </c>
      <c r="F267" s="95">
        <v>15516.5</v>
      </c>
      <c r="G267" s="41">
        <f t="shared" si="23"/>
        <v>-1.588631456836298E-3</v>
      </c>
      <c r="I267" s="37">
        <v>45258</v>
      </c>
      <c r="J267">
        <v>370.76</v>
      </c>
      <c r="M267" s="37">
        <v>45253</v>
      </c>
      <c r="N267" s="91">
        <f t="shared" si="22"/>
        <v>-1.0577051814165239E-2</v>
      </c>
      <c r="P267" s="40"/>
      <c r="Q267" s="40"/>
    </row>
    <row r="268" spans="1:25">
      <c r="A268" s="92">
        <v>45240</v>
      </c>
      <c r="B268" s="90">
        <v>369.85</v>
      </c>
      <c r="C268" s="40">
        <f t="shared" si="24"/>
        <v>4.0573437922653E-4</v>
      </c>
      <c r="D268" s="93">
        <v>19425.349999999999</v>
      </c>
      <c r="E268" s="94">
        <f t="shared" si="25"/>
        <v>1.549344428804833E-3</v>
      </c>
      <c r="F268" s="95">
        <v>15491.85</v>
      </c>
      <c r="G268" s="41">
        <f t="shared" si="23"/>
        <v>3.4857037732738405E-4</v>
      </c>
      <c r="M268" s="37">
        <v>45254</v>
      </c>
      <c r="N268" s="91">
        <f t="shared" si="22"/>
        <v>1.0963724959393684E-2</v>
      </c>
      <c r="P268" s="40"/>
    </row>
    <row r="269" spans="1:25">
      <c r="A269" s="92">
        <v>45239</v>
      </c>
      <c r="B269" s="90">
        <v>369.7</v>
      </c>
      <c r="C269" s="40">
        <f t="shared" si="24"/>
        <v>-2.6975991367682584E-3</v>
      </c>
      <c r="D269" s="93">
        <v>19395.3</v>
      </c>
      <c r="E269" s="94">
        <f t="shared" si="25"/>
        <v>-2.4789775503382128E-3</v>
      </c>
      <c r="F269" s="95">
        <v>15497.25</v>
      </c>
      <c r="G269" s="41">
        <f t="shared" si="23"/>
        <v>-1.4550968720256852E-2</v>
      </c>
      <c r="M269" s="37">
        <v>45258</v>
      </c>
      <c r="N269" s="91">
        <f t="shared" si="22"/>
        <v>-9.65147453083115E-3</v>
      </c>
      <c r="P269" s="40"/>
    </row>
    <row r="270" spans="1:25">
      <c r="A270" s="92">
        <v>45238</v>
      </c>
      <c r="B270" s="90">
        <v>370.7</v>
      </c>
      <c r="C270" s="40">
        <f t="shared" si="24"/>
        <v>4.0628385698808778E-3</v>
      </c>
      <c r="D270" s="93">
        <v>19443.5</v>
      </c>
      <c r="E270" s="94">
        <f t="shared" si="25"/>
        <v>1.8962523252279428E-3</v>
      </c>
      <c r="F270" s="95">
        <v>15271.75</v>
      </c>
      <c r="G270" s="41">
        <f t="shared" si="23"/>
        <v>-1.3060061878959583E-2</v>
      </c>
    </row>
    <row r="271" spans="1:25">
      <c r="A271" s="92">
        <v>45237</v>
      </c>
      <c r="B271" s="90">
        <v>369.2</v>
      </c>
      <c r="C271" s="40">
        <f t="shared" si="24"/>
        <v>-1.0054967153773964E-2</v>
      </c>
      <c r="D271" s="93">
        <v>19406.7</v>
      </c>
      <c r="E271" s="94">
        <f t="shared" si="25"/>
        <v>-2.6015171223614519E-4</v>
      </c>
      <c r="F271" s="95">
        <v>15072.3</v>
      </c>
      <c r="G271" s="41">
        <f t="shared" si="23"/>
        <v>-1.2602588855051944E-2</v>
      </c>
    </row>
    <row r="272" spans="1:25">
      <c r="A272" s="92">
        <v>45236</v>
      </c>
      <c r="B272" s="90">
        <v>372.95</v>
      </c>
      <c r="C272" s="40">
        <f t="shared" si="24"/>
        <v>2.4587912087912001E-2</v>
      </c>
      <c r="D272" s="93">
        <v>19411.75</v>
      </c>
      <c r="E272" s="94">
        <f t="shared" si="25"/>
        <v>9.4198828949696445E-3</v>
      </c>
      <c r="F272" s="95">
        <v>14882.35</v>
      </c>
      <c r="G272" s="41">
        <f t="shared" si="23"/>
        <v>-3.2185777111813918E-3</v>
      </c>
      <c r="J272">
        <v>3.7669999999999999E-3</v>
      </c>
      <c r="K272">
        <v>-4.1999999999999997E-3</v>
      </c>
    </row>
    <row r="273" spans="1:7">
      <c r="A273" s="92">
        <v>45233</v>
      </c>
      <c r="B273" s="90">
        <v>364</v>
      </c>
      <c r="C273" s="40">
        <f t="shared" si="24"/>
        <v>1.7889087656528524E-3</v>
      </c>
      <c r="D273" s="93">
        <v>19230.599999999999</v>
      </c>
      <c r="E273" s="94">
        <f t="shared" si="25"/>
        <v>5.0880012543608188E-3</v>
      </c>
      <c r="F273" s="95">
        <v>14834.45</v>
      </c>
      <c r="G273" s="41">
        <f t="shared" si="23"/>
        <v>-6.6871370357513005E-3</v>
      </c>
    </row>
    <row r="274" spans="1:7">
      <c r="A274" s="92">
        <v>45232</v>
      </c>
      <c r="B274" s="90">
        <v>363.35</v>
      </c>
      <c r="C274" s="40">
        <f t="shared" si="24"/>
        <v>1.1412665274878275E-2</v>
      </c>
      <c r="D274" s="93">
        <v>19133.25</v>
      </c>
      <c r="E274" s="94">
        <f t="shared" si="25"/>
        <v>7.5885439843277336E-3</v>
      </c>
      <c r="F274" s="95">
        <v>14735.25</v>
      </c>
      <c r="G274" s="41">
        <f t="shared" si="23"/>
        <v>-3.5018068916373712E-3</v>
      </c>
    </row>
    <row r="275" spans="1:7">
      <c r="A275" s="92">
        <v>45231</v>
      </c>
      <c r="B275" s="90">
        <v>359.25</v>
      </c>
      <c r="C275" s="40">
        <f t="shared" si="24"/>
        <v>-7.5966850828729227E-3</v>
      </c>
      <c r="D275" s="93">
        <v>18989.150000000001</v>
      </c>
      <c r="E275" s="94">
        <f t="shared" si="25"/>
        <v>-4.740665422755086E-3</v>
      </c>
      <c r="F275" s="95">
        <v>14683.65</v>
      </c>
      <c r="G275" s="41">
        <f t="shared" si="23"/>
        <v>6.2620669928799E-3</v>
      </c>
    </row>
    <row r="276" spans="1:7">
      <c r="A276" s="92">
        <v>45230</v>
      </c>
      <c r="B276" s="90">
        <v>362</v>
      </c>
      <c r="C276" s="40">
        <f t="shared" si="24"/>
        <v>1.6602102933038765E-3</v>
      </c>
      <c r="D276" s="93">
        <v>19079.599999999999</v>
      </c>
      <c r="E276" s="94">
        <f t="shared" si="25"/>
        <v>-3.2025662325179116E-3</v>
      </c>
      <c r="F276" s="95">
        <v>14775.6</v>
      </c>
      <c r="G276" s="41">
        <f t="shared" si="23"/>
        <v>-2.5108963426189179E-3</v>
      </c>
    </row>
    <row r="277" spans="1:7">
      <c r="A277" s="92">
        <v>45229</v>
      </c>
      <c r="B277" s="90">
        <v>361.4</v>
      </c>
      <c r="C277" s="40">
        <f t="shared" si="24"/>
        <v>9.7792679519419501E-3</v>
      </c>
      <c r="D277" s="93">
        <v>19140.900000000001</v>
      </c>
      <c r="E277" s="94">
        <f t="shared" si="25"/>
        <v>4.9167202614550654E-3</v>
      </c>
      <c r="F277" s="95">
        <v>14738.5</v>
      </c>
      <c r="G277" s="41">
        <f t="shared" si="23"/>
        <v>-6.1030634053669264E-3</v>
      </c>
    </row>
    <row r="278" spans="1:7">
      <c r="A278" s="92">
        <v>45226</v>
      </c>
      <c r="B278" s="90">
        <v>357.9</v>
      </c>
      <c r="C278" s="40">
        <f t="shared" si="24"/>
        <v>-1.6736401673640433E-3</v>
      </c>
      <c r="D278" s="93">
        <v>19047.25</v>
      </c>
      <c r="E278" s="94">
        <f t="shared" si="25"/>
        <v>1.0075700327460302E-2</v>
      </c>
      <c r="F278" s="95">
        <v>14648.55</v>
      </c>
      <c r="G278" s="41">
        <f t="shared" si="23"/>
        <v>1.0349147185216401E-2</v>
      </c>
    </row>
    <row r="279" spans="1:7">
      <c r="A279" s="92">
        <v>45225</v>
      </c>
      <c r="B279" s="90">
        <v>358.5</v>
      </c>
      <c r="C279" s="40">
        <f t="shared" si="24"/>
        <v>2.9374737725555988E-3</v>
      </c>
      <c r="D279" s="93">
        <v>18857.25</v>
      </c>
      <c r="E279" s="94">
        <f t="shared" si="25"/>
        <v>-1.3853044767455636E-2</v>
      </c>
      <c r="F279" s="95">
        <v>14800.15</v>
      </c>
      <c r="G279" s="41">
        <f t="shared" si="23"/>
        <v>7.5337074286410122E-3</v>
      </c>
    </row>
    <row r="280" spans="1:7">
      <c r="A280" s="92">
        <v>45224</v>
      </c>
      <c r="B280" s="90">
        <v>357.45</v>
      </c>
      <c r="C280" s="40">
        <f t="shared" si="24"/>
        <v>-1.528925619834709E-2</v>
      </c>
      <c r="D280" s="93">
        <v>19122.150000000001</v>
      </c>
      <c r="E280" s="94">
        <f t="shared" si="25"/>
        <v>-8.2772569917148875E-3</v>
      </c>
      <c r="F280" s="95">
        <v>14911.65</v>
      </c>
      <c r="G280" s="41">
        <f t="shared" si="23"/>
        <v>1.3110554499334404E-2</v>
      </c>
    </row>
    <row r="281" spans="1:7">
      <c r="A281" s="92">
        <v>45222</v>
      </c>
      <c r="B281" s="90">
        <v>363</v>
      </c>
      <c r="C281" s="40">
        <f t="shared" si="24"/>
        <v>-9.2953523238380797E-2</v>
      </c>
      <c r="D281" s="93">
        <v>19281.75</v>
      </c>
      <c r="E281" s="94">
        <f t="shared" si="25"/>
        <v>-1.3350287704072983E-2</v>
      </c>
      <c r="F281" s="95">
        <v>15107.15</v>
      </c>
      <c r="G281" s="41">
        <f t="shared" si="23"/>
        <v>1.1004722929208954E-2</v>
      </c>
    </row>
    <row r="282" spans="1:7">
      <c r="A282" s="92">
        <v>45219</v>
      </c>
      <c r="B282" s="90">
        <v>400.2</v>
      </c>
      <c r="C282" s="40">
        <f t="shared" si="24"/>
        <v>1.0861328618337884E-2</v>
      </c>
      <c r="D282" s="93">
        <v>19542.650000000001</v>
      </c>
      <c r="E282" s="94">
        <f t="shared" si="25"/>
        <v>-4.1809556324428065E-3</v>
      </c>
      <c r="F282" s="95">
        <v>15273.4</v>
      </c>
      <c r="G282" s="41">
        <f t="shared" si="23"/>
        <v>3.7909044482564713E-3</v>
      </c>
    </row>
    <row r="283" spans="1:7">
      <c r="A283" s="92">
        <v>45218</v>
      </c>
      <c r="B283" s="90">
        <v>395.9</v>
      </c>
      <c r="C283" s="40">
        <f t="shared" si="24"/>
        <v>-1.0250000000000092E-2</v>
      </c>
      <c r="D283" s="93">
        <v>19624.7</v>
      </c>
      <c r="E283" s="94">
        <f t="shared" si="25"/>
        <v>-2.358790306591807E-3</v>
      </c>
      <c r="F283" s="95">
        <v>15331.3</v>
      </c>
      <c r="G283" s="41">
        <f t="shared" si="23"/>
        <v>-7.7847279747965681E-3</v>
      </c>
    </row>
    <row r="284" spans="1:7">
      <c r="A284" s="92">
        <v>45217</v>
      </c>
      <c r="B284" s="90">
        <v>400</v>
      </c>
      <c r="C284" s="40">
        <f t="shared" si="24"/>
        <v>-2.4993751562119026E-4</v>
      </c>
      <c r="D284" s="93">
        <v>19671.099999999999</v>
      </c>
      <c r="E284" s="94">
        <f t="shared" si="25"/>
        <v>-7.0867930242536348E-3</v>
      </c>
      <c r="F284" s="95">
        <v>15211.95</v>
      </c>
      <c r="G284" s="41">
        <f t="shared" si="23"/>
        <v>-3.102823766841234E-3</v>
      </c>
    </row>
    <row r="285" spans="1:7">
      <c r="A285" s="92">
        <v>45216</v>
      </c>
      <c r="B285" s="90">
        <v>400.1</v>
      </c>
      <c r="C285" s="40">
        <f t="shared" si="24"/>
        <v>4.6453232893910457E-3</v>
      </c>
      <c r="D285" s="93">
        <v>19811.5</v>
      </c>
      <c r="E285" s="94">
        <f t="shared" si="25"/>
        <v>4.0417094276989918E-3</v>
      </c>
      <c r="F285" s="95">
        <v>15164.75</v>
      </c>
      <c r="G285" s="41">
        <f t="shared" si="23"/>
        <v>4.6357506717882302E-3</v>
      </c>
    </row>
    <row r="286" spans="1:7">
      <c r="A286" s="92">
        <v>45215</v>
      </c>
      <c r="B286" s="90">
        <v>398.25</v>
      </c>
      <c r="C286" s="40">
        <f t="shared" si="24"/>
        <v>-1.1909192407889901E-2</v>
      </c>
      <c r="D286" s="93">
        <v>19731.75</v>
      </c>
      <c r="E286" s="94">
        <f t="shared" si="25"/>
        <v>-9.7716323942265149E-4</v>
      </c>
      <c r="F286" s="95">
        <v>15235.05</v>
      </c>
      <c r="G286" s="41">
        <f t="shared" si="23"/>
        <v>-3.2064220334031557E-3</v>
      </c>
    </row>
    <row r="287" spans="1:7">
      <c r="A287" s="92">
        <v>45212</v>
      </c>
      <c r="B287" s="90">
        <v>403.05</v>
      </c>
      <c r="C287" s="40">
        <f t="shared" si="24"/>
        <v>5.4883372832730259E-3</v>
      </c>
      <c r="D287" s="93">
        <v>19751.05</v>
      </c>
      <c r="E287" s="94">
        <f t="shared" si="25"/>
        <v>-2.1698494493280762E-3</v>
      </c>
      <c r="F287" s="95">
        <v>15186.2</v>
      </c>
      <c r="G287" s="41">
        <f t="shared" si="23"/>
        <v>-6.3215287563711531E-4</v>
      </c>
    </row>
    <row r="288" spans="1:7">
      <c r="A288" s="92">
        <v>45211</v>
      </c>
      <c r="B288" s="90">
        <v>400.85</v>
      </c>
      <c r="C288" s="40">
        <f t="shared" si="24"/>
        <v>1.1238761238763217E-3</v>
      </c>
      <c r="D288" s="93">
        <v>19794</v>
      </c>
      <c r="E288" s="94">
        <f t="shared" si="25"/>
        <v>-8.7576061197236488E-4</v>
      </c>
      <c r="F288" s="95">
        <v>15176.6</v>
      </c>
      <c r="G288" s="41">
        <f t="shared" si="23"/>
        <v>-4.6057746794406773E-3</v>
      </c>
    </row>
    <row r="289" spans="1:7">
      <c r="A289" s="92">
        <v>45210</v>
      </c>
      <c r="B289" s="90">
        <v>400.4</v>
      </c>
      <c r="C289" s="40">
        <f t="shared" si="24"/>
        <v>-1.1226144443059471E-3</v>
      </c>
      <c r="D289" s="93">
        <v>19811.349999999999</v>
      </c>
      <c r="E289" s="94">
        <f t="shared" si="25"/>
        <v>6.1706920062876147E-3</v>
      </c>
      <c r="F289" s="95">
        <v>15106.7</v>
      </c>
      <c r="G289" s="41">
        <f t="shared" si="23"/>
        <v>-1.8865801266987337E-4</v>
      </c>
    </row>
    <row r="290" spans="1:7">
      <c r="A290" s="92">
        <v>45209</v>
      </c>
      <c r="B290" s="90">
        <v>400.85</v>
      </c>
      <c r="C290" s="40">
        <f t="shared" si="24"/>
        <v>6.02334044422137E-3</v>
      </c>
      <c r="D290" s="93">
        <v>19689.849999999999</v>
      </c>
      <c r="E290" s="94">
        <f t="shared" si="25"/>
        <v>9.096802794127834E-3</v>
      </c>
      <c r="F290" s="95">
        <v>15103.85</v>
      </c>
      <c r="G290" s="41">
        <f t="shared" si="23"/>
        <v>1.6287238022094641E-3</v>
      </c>
    </row>
    <row r="291" spans="1:7">
      <c r="A291" s="92">
        <v>45208</v>
      </c>
      <c r="B291" s="90">
        <v>398.45</v>
      </c>
      <c r="C291" s="40">
        <f t="shared" si="24"/>
        <v>-1.1281022812734687E-3</v>
      </c>
      <c r="D291" s="93">
        <v>19512.349999999999</v>
      </c>
      <c r="E291" s="94">
        <f t="shared" si="25"/>
        <v>-7.1819268832524763E-3</v>
      </c>
      <c r="F291" s="95">
        <v>15128.45</v>
      </c>
      <c r="G291" s="41">
        <f t="shared" si="23"/>
        <v>-7.0760719042599618E-3</v>
      </c>
    </row>
    <row r="292" spans="1:7">
      <c r="A292" s="92">
        <v>45205</v>
      </c>
      <c r="B292" s="90">
        <v>398.9</v>
      </c>
      <c r="C292" s="40">
        <f t="shared" si="24"/>
        <v>1.3079365079365024E-2</v>
      </c>
      <c r="D292" s="93">
        <v>19653.5</v>
      </c>
      <c r="E292" s="94">
        <f t="shared" si="25"/>
        <v>5.5127073660514725E-3</v>
      </c>
      <c r="F292" s="95">
        <v>15021.4</v>
      </c>
      <c r="G292" s="41">
        <f t="shared" si="23"/>
        <v>3.0456548657249449E-3</v>
      </c>
    </row>
    <row r="293" spans="1:7">
      <c r="A293" s="92">
        <v>45204</v>
      </c>
      <c r="B293" s="90">
        <v>393.75</v>
      </c>
      <c r="C293" s="40">
        <f t="shared" si="24"/>
        <v>5.2335971406689552E-3</v>
      </c>
      <c r="D293" s="93">
        <v>19545.75</v>
      </c>
      <c r="E293" s="94">
        <f t="shared" si="25"/>
        <v>5.6415638939910639E-3</v>
      </c>
      <c r="F293" s="95">
        <v>15067.15</v>
      </c>
      <c r="G293" s="41">
        <f t="shared" si="23"/>
        <v>1.4213039625941226E-2</v>
      </c>
    </row>
    <row r="294" spans="1:7">
      <c r="A294" s="92">
        <v>45203</v>
      </c>
      <c r="B294" s="90">
        <v>391.7</v>
      </c>
      <c r="C294" s="40">
        <f t="shared" si="24"/>
        <v>-1.3225847084015641E-2</v>
      </c>
      <c r="D294" s="93">
        <v>19436.099999999999</v>
      </c>
      <c r="E294" s="94">
        <f t="shared" si="25"/>
        <v>-4.7442872687705195E-3</v>
      </c>
      <c r="F294" s="95">
        <v>15281.3</v>
      </c>
      <c r="G294" s="41">
        <f t="shared" si="23"/>
        <v>9.2564114309647838E-3</v>
      </c>
    </row>
    <row r="295" spans="1:7">
      <c r="A295" s="92">
        <v>45202</v>
      </c>
      <c r="B295" s="90">
        <v>396.95</v>
      </c>
      <c r="C295" s="40">
        <f t="shared" si="24"/>
        <v>2.3989898989897895E-3</v>
      </c>
      <c r="D295" s="93">
        <v>19528.75</v>
      </c>
      <c r="E295" s="94">
        <f t="shared" si="25"/>
        <v>-5.5783850944327584E-3</v>
      </c>
      <c r="F295" s="95">
        <v>15422.75</v>
      </c>
      <c r="G295" s="41">
        <f t="shared" si="23"/>
        <v>-2.5909776142387098E-2</v>
      </c>
    </row>
    <row r="296" spans="1:7">
      <c r="A296" s="92">
        <v>45198</v>
      </c>
      <c r="B296" s="90">
        <v>396</v>
      </c>
      <c r="C296" s="40">
        <f t="shared" si="24"/>
        <v>1.5254454557108055E-2</v>
      </c>
      <c r="D296" s="93">
        <v>19638.3</v>
      </c>
      <c r="E296" s="94">
        <f t="shared" si="25"/>
        <v>5.8775171523621772E-3</v>
      </c>
      <c r="F296" s="95">
        <v>15023.15</v>
      </c>
      <c r="G296" s="41">
        <f t="shared" si="23"/>
        <v>9.0959618988029067E-3</v>
      </c>
    </row>
    <row r="297" spans="1:7">
      <c r="A297" s="92">
        <v>45197</v>
      </c>
      <c r="B297" s="90">
        <v>390.05</v>
      </c>
      <c r="C297" s="40">
        <f t="shared" si="24"/>
        <v>-1.3405842923991385E-2</v>
      </c>
      <c r="D297" s="93">
        <v>19523.55</v>
      </c>
      <c r="E297" s="94">
        <f t="shared" si="25"/>
        <v>-9.7837085276508695E-3</v>
      </c>
      <c r="F297" s="95">
        <v>15159.8</v>
      </c>
      <c r="G297" s="41">
        <f t="shared" si="23"/>
        <v>-1.1751474293856146E-2</v>
      </c>
    </row>
    <row r="298" spans="1:7">
      <c r="A298" s="92">
        <v>45196</v>
      </c>
      <c r="B298" s="90">
        <v>395.35</v>
      </c>
      <c r="C298" s="40">
        <f t="shared" si="24"/>
        <v>2.6483188368168431E-2</v>
      </c>
      <c r="D298" s="93">
        <v>19716.45</v>
      </c>
      <c r="E298" s="94">
        <f t="shared" si="25"/>
        <v>2.6316190941126916E-3</v>
      </c>
      <c r="F298" s="95">
        <v>14981.65</v>
      </c>
      <c r="G298" s="41">
        <f t="shared" si="23"/>
        <v>2.3862525155773362E-3</v>
      </c>
    </row>
    <row r="299" spans="1:7">
      <c r="A299" s="92">
        <v>45195</v>
      </c>
      <c r="B299" s="90">
        <v>385.15</v>
      </c>
      <c r="C299" s="40">
        <f t="shared" si="24"/>
        <v>-3.2349896480331486E-3</v>
      </c>
      <c r="D299" s="93">
        <v>19664.7</v>
      </c>
      <c r="E299" s="94">
        <f t="shared" si="25"/>
        <v>-5.0064677464023433E-4</v>
      </c>
      <c r="F299" s="95">
        <v>15017.4</v>
      </c>
      <c r="G299" s="41">
        <f t="shared" si="23"/>
        <v>3.4426731657943854E-3</v>
      </c>
    </row>
    <row r="300" spans="1:7">
      <c r="A300" s="92">
        <v>45194</v>
      </c>
      <c r="B300" s="90">
        <v>386.4</v>
      </c>
      <c r="C300" s="40">
        <f t="shared" si="24"/>
        <v>-1.2923235978289371E-3</v>
      </c>
      <c r="D300" s="93">
        <v>19674.55</v>
      </c>
      <c r="E300" s="94">
        <f t="shared" si="25"/>
        <v>1.5248357624786379E-5</v>
      </c>
      <c r="F300" s="95">
        <v>15069.1</v>
      </c>
      <c r="G300" s="41">
        <f t="shared" si="23"/>
        <v>1.5767365005209255E-2</v>
      </c>
    </row>
    <row r="301" spans="1:7">
      <c r="A301" s="92">
        <v>45191</v>
      </c>
      <c r="B301" s="90">
        <v>386.9</v>
      </c>
      <c r="C301" s="40">
        <f t="shared" si="24"/>
        <v>-8.8382221083643797E-3</v>
      </c>
      <c r="D301" s="93">
        <v>19674.25</v>
      </c>
      <c r="E301" s="94">
        <f t="shared" si="25"/>
        <v>-3.4494373770092013E-3</v>
      </c>
      <c r="F301" s="95">
        <v>15306.7</v>
      </c>
      <c r="G301" s="41">
        <f t="shared" si="23"/>
        <v>1.0028288265922836E-2</v>
      </c>
    </row>
    <row r="302" spans="1:7">
      <c r="A302" s="92">
        <v>45190</v>
      </c>
      <c r="B302" s="90">
        <v>390.35</v>
      </c>
      <c r="C302" s="40">
        <f t="shared" si="24"/>
        <v>-1.0268762677484666E-2</v>
      </c>
      <c r="D302" s="93">
        <v>19742.349999999999</v>
      </c>
      <c r="E302" s="94">
        <f t="shared" si="25"/>
        <v>-7.9919000673320806E-3</v>
      </c>
      <c r="F302" s="95">
        <v>15460.2</v>
      </c>
      <c r="G302" s="41">
        <f t="shared" si="23"/>
        <v>2.7975058537406117E-3</v>
      </c>
    </row>
    <row r="303" spans="1:7">
      <c r="A303" s="92">
        <v>45189</v>
      </c>
      <c r="B303" s="90">
        <v>394.4</v>
      </c>
      <c r="C303" s="40">
        <f t="shared" si="24"/>
        <v>-2.5348542458814016E-4</v>
      </c>
      <c r="D303" s="93">
        <v>19901.400000000001</v>
      </c>
      <c r="E303" s="94">
        <f t="shared" si="25"/>
        <v>-1.1518230990448575E-2</v>
      </c>
      <c r="F303" s="95">
        <v>15503.45</v>
      </c>
      <c r="G303" s="41">
        <f t="shared" si="23"/>
        <v>5.1665919521137749E-3</v>
      </c>
    </row>
    <row r="304" spans="1:7">
      <c r="A304" s="92">
        <v>45187</v>
      </c>
      <c r="B304" s="90">
        <v>394.5</v>
      </c>
      <c r="C304" s="40">
        <f t="shared" si="24"/>
        <v>-1.3873265841769844E-2</v>
      </c>
      <c r="D304" s="93">
        <v>20133.3</v>
      </c>
      <c r="E304" s="94">
        <f t="shared" si="25"/>
        <v>-2.9243748251194246E-3</v>
      </c>
      <c r="F304" s="95">
        <v>15583.55</v>
      </c>
      <c r="G304" s="41">
        <f t="shared" si="23"/>
        <v>-6.0480442517911737E-3</v>
      </c>
    </row>
    <row r="305" spans="1:7">
      <c r="A305" s="92">
        <v>45184</v>
      </c>
      <c r="B305" s="90">
        <v>400.05</v>
      </c>
      <c r="C305" s="40">
        <f t="shared" si="24"/>
        <v>4.267603865947045E-3</v>
      </c>
      <c r="D305" s="93">
        <v>20192.349999999999</v>
      </c>
      <c r="E305" s="94">
        <f t="shared" si="25"/>
        <v>4.4396137909079592E-3</v>
      </c>
      <c r="F305" s="95">
        <v>15489.3</v>
      </c>
      <c r="G305" s="41">
        <f t="shared" si="23"/>
        <v>-2.605024113420118E-3</v>
      </c>
    </row>
    <row r="306" spans="1:7">
      <c r="A306" s="92">
        <v>45183</v>
      </c>
      <c r="B306" s="90">
        <v>398.35</v>
      </c>
      <c r="C306" s="40">
        <f t="shared" si="24"/>
        <v>2.2852741045063629E-2</v>
      </c>
      <c r="D306" s="93">
        <v>20103.099999999999</v>
      </c>
      <c r="E306" s="94">
        <f t="shared" si="25"/>
        <v>1.6492277030393243E-3</v>
      </c>
      <c r="F306" s="95">
        <v>15448.95</v>
      </c>
      <c r="G306" s="41">
        <f t="shared" si="23"/>
        <v>-7.7869369762993967E-3</v>
      </c>
    </row>
    <row r="307" spans="1:7">
      <c r="A307" s="92">
        <v>45182</v>
      </c>
      <c r="B307" s="90">
        <v>389.45</v>
      </c>
      <c r="C307" s="40">
        <f t="shared" si="24"/>
        <v>1.3796693999739817E-2</v>
      </c>
      <c r="D307" s="93">
        <v>20070</v>
      </c>
      <c r="E307" s="94">
        <f t="shared" si="25"/>
        <v>3.8413060440549707E-3</v>
      </c>
      <c r="F307" s="95">
        <v>15328.65</v>
      </c>
      <c r="G307" s="41">
        <f t="shared" si="23"/>
        <v>-1.2199378288367813E-3</v>
      </c>
    </row>
    <row r="308" spans="1:7">
      <c r="A308" s="92">
        <v>45181</v>
      </c>
      <c r="B308" s="90">
        <v>384.15</v>
      </c>
      <c r="C308" s="40">
        <f t="shared" si="24"/>
        <v>-5.6142506142506154E-2</v>
      </c>
      <c r="D308" s="93">
        <v>19993.2</v>
      </c>
      <c r="E308" s="94">
        <f t="shared" si="25"/>
        <v>-1.5752874899654934E-4</v>
      </c>
      <c r="F308" s="95">
        <v>15309.95</v>
      </c>
      <c r="G308" s="41">
        <f t="shared" si="23"/>
        <v>-3.8798297838987805E-3</v>
      </c>
    </row>
    <row r="309" spans="1:7">
      <c r="A309" s="92">
        <v>45180</v>
      </c>
      <c r="B309" s="90">
        <v>407</v>
      </c>
      <c r="C309" s="40">
        <f t="shared" si="24"/>
        <v>-7.3170731707317138E-3</v>
      </c>
      <c r="D309" s="93">
        <v>19996.349999999999</v>
      </c>
      <c r="E309" s="94">
        <f t="shared" si="25"/>
        <v>8.9001233605532359E-3</v>
      </c>
      <c r="F309" s="95">
        <v>15250.55</v>
      </c>
      <c r="G309" s="41">
        <f t="shared" si="23"/>
        <v>3.6457701525518527E-3</v>
      </c>
    </row>
    <row r="310" spans="1:7">
      <c r="A310" s="92">
        <v>45177</v>
      </c>
      <c r="B310" s="90">
        <v>410</v>
      </c>
      <c r="C310" s="40">
        <f t="shared" si="24"/>
        <v>1.3722338978860105E-2</v>
      </c>
      <c r="D310" s="93">
        <v>19819.95</v>
      </c>
      <c r="E310" s="94">
        <f t="shared" si="25"/>
        <v>4.7092697590365162E-3</v>
      </c>
      <c r="F310" s="95">
        <v>15306.15</v>
      </c>
      <c r="G310" s="41">
        <f t="shared" si="23"/>
        <v>3.211127553303772E-3</v>
      </c>
    </row>
    <row r="311" spans="1:7">
      <c r="A311" s="92">
        <v>45176</v>
      </c>
      <c r="B311" s="90">
        <v>404.45</v>
      </c>
      <c r="C311" s="40">
        <f t="shared" si="24"/>
        <v>-7.4846625766871178E-3</v>
      </c>
      <c r="D311" s="93">
        <v>19727.05</v>
      </c>
      <c r="E311" s="94">
        <f t="shared" si="25"/>
        <v>5.91503259641879E-3</v>
      </c>
      <c r="F311" s="95">
        <v>15355.3</v>
      </c>
      <c r="G311" s="41">
        <f t="shared" si="23"/>
        <v>-8.9252570773609152E-3</v>
      </c>
    </row>
    <row r="312" spans="1:7">
      <c r="A312" s="92">
        <v>45175</v>
      </c>
      <c r="B312" s="90">
        <v>407.5</v>
      </c>
      <c r="C312" s="40">
        <f t="shared" si="24"/>
        <v>1.4745637748834195E-3</v>
      </c>
      <c r="D312" s="93">
        <v>19611.05</v>
      </c>
      <c r="E312" s="94">
        <f t="shared" si="25"/>
        <v>1.8467527292602703E-3</v>
      </c>
      <c r="F312" s="95">
        <v>15218.25</v>
      </c>
      <c r="G312" s="41">
        <f t="shared" si="23"/>
        <v>-1.0884957205986256E-2</v>
      </c>
    </row>
    <row r="313" spans="1:7">
      <c r="A313" s="92">
        <v>45174</v>
      </c>
      <c r="B313" s="90">
        <v>406.9</v>
      </c>
      <c r="C313" s="40">
        <f t="shared" si="24"/>
        <v>3.0126582278480862E-2</v>
      </c>
      <c r="D313" s="93">
        <v>19574.900000000001</v>
      </c>
      <c r="E313" s="94">
        <f t="shared" si="25"/>
        <v>2.3606161156857208E-3</v>
      </c>
      <c r="F313" s="95">
        <v>15052.6</v>
      </c>
      <c r="G313" s="41">
        <f t="shared" si="23"/>
        <v>-2.7104951968431878E-3</v>
      </c>
    </row>
    <row r="314" spans="1:7">
      <c r="A314" s="92">
        <v>45173</v>
      </c>
      <c r="B314" s="90">
        <v>395</v>
      </c>
      <c r="C314" s="40">
        <f t="shared" si="24"/>
        <v>-4.6617109739196527E-3</v>
      </c>
      <c r="D314" s="93">
        <v>19528.8</v>
      </c>
      <c r="E314" s="94">
        <f t="shared" si="25"/>
        <v>4.8108338950261231E-3</v>
      </c>
      <c r="F314" s="95">
        <v>15011.8</v>
      </c>
      <c r="G314" s="41">
        <f t="shared" si="23"/>
        <v>5.6022595558160582E-3</v>
      </c>
    </row>
    <row r="315" spans="1:7">
      <c r="A315" s="92">
        <v>45170</v>
      </c>
      <c r="B315" s="90">
        <v>396.85</v>
      </c>
      <c r="C315" s="40">
        <f t="shared" si="24"/>
        <v>-3.8905622489958658E-3</v>
      </c>
      <c r="D315" s="93">
        <v>19435.3</v>
      </c>
      <c r="E315" s="94">
        <f t="shared" si="25"/>
        <v>9.4267105714196386E-3</v>
      </c>
      <c r="F315" s="95">
        <v>15095.9</v>
      </c>
      <c r="G315" s="41">
        <f t="shared" si="23"/>
        <v>1.9607973025788095E-3</v>
      </c>
    </row>
    <row r="316" spans="1:7">
      <c r="A316" s="92">
        <v>45169</v>
      </c>
      <c r="B316" s="90">
        <v>398.4</v>
      </c>
      <c r="C316" s="40">
        <f t="shared" si="24"/>
        <v>-1.5037593984963404E-3</v>
      </c>
      <c r="D316" s="93">
        <v>19253.8</v>
      </c>
      <c r="E316" s="94">
        <f t="shared" si="25"/>
        <v>-4.840431167931758E-3</v>
      </c>
      <c r="F316" s="95">
        <v>15125.5</v>
      </c>
      <c r="G316" s="41">
        <f t="shared" si="23"/>
        <v>-2.9089947439753239E-4</v>
      </c>
    </row>
    <row r="317" spans="1:7">
      <c r="A317" s="92">
        <v>45168</v>
      </c>
      <c r="B317" s="90">
        <v>399</v>
      </c>
      <c r="C317" s="40">
        <f t="shared" si="24"/>
        <v>1.9157088122605304E-2</v>
      </c>
      <c r="D317" s="93">
        <v>19347.45</v>
      </c>
      <c r="E317" s="94">
        <f t="shared" si="25"/>
        <v>2.4815627641494586E-4</v>
      </c>
      <c r="F317" s="95">
        <v>15121.1</v>
      </c>
      <c r="G317" s="41">
        <f t="shared" si="23"/>
        <v>2.6916031241113192E-3</v>
      </c>
    </row>
    <row r="318" spans="1:7">
      <c r="A318" s="92">
        <v>45167</v>
      </c>
      <c r="B318" s="90">
        <v>391.5</v>
      </c>
      <c r="C318" s="40">
        <f t="shared" si="24"/>
        <v>9.2807424593968069E-3</v>
      </c>
      <c r="D318" s="93">
        <v>19342.650000000001</v>
      </c>
      <c r="E318" s="94">
        <f t="shared" si="25"/>
        <v>1.8957787843707496E-3</v>
      </c>
      <c r="F318" s="95">
        <v>15161.8</v>
      </c>
      <c r="G318" s="41">
        <f t="shared" si="23"/>
        <v>-9.0094843620149856E-3</v>
      </c>
    </row>
    <row r="319" spans="1:7">
      <c r="A319" s="92">
        <v>45166</v>
      </c>
      <c r="B319" s="90">
        <v>387.9</v>
      </c>
      <c r="C319" s="40">
        <f t="shared" si="24"/>
        <v>0</v>
      </c>
      <c r="D319" s="93">
        <v>19306.05</v>
      </c>
      <c r="E319" s="94">
        <f t="shared" si="25"/>
        <v>2.0891943236200916E-3</v>
      </c>
      <c r="F319" s="95">
        <v>15025.2</v>
      </c>
      <c r="G319" s="41">
        <f t="shared" si="23"/>
        <v>1.1177887815137177E-2</v>
      </c>
    </row>
    <row r="320" spans="1:7">
      <c r="A320" s="92">
        <v>45163</v>
      </c>
      <c r="B320" s="90">
        <v>387.9</v>
      </c>
      <c r="C320" s="40">
        <f t="shared" si="24"/>
        <v>-7.9283887468031278E-3</v>
      </c>
      <c r="D320" s="93">
        <v>19265.8</v>
      </c>
      <c r="E320" s="94">
        <f t="shared" si="25"/>
        <v>-6.2362341192674364E-3</v>
      </c>
      <c r="F320" s="95">
        <v>15193.15</v>
      </c>
      <c r="G320" s="41">
        <f t="shared" si="23"/>
        <v>5.8809397656180984E-3</v>
      </c>
    </row>
    <row r="321" spans="1:7">
      <c r="A321" s="92">
        <v>45162</v>
      </c>
      <c r="B321" s="90">
        <v>391</v>
      </c>
      <c r="C321" s="40">
        <f t="shared" si="24"/>
        <v>-1.0877814318239309E-2</v>
      </c>
      <c r="D321" s="93">
        <v>19386.7</v>
      </c>
      <c r="E321" s="94">
        <f t="shared" si="25"/>
        <v>-2.9469245011314316E-3</v>
      </c>
      <c r="F321" s="95">
        <v>15282.5</v>
      </c>
      <c r="G321" s="41">
        <f t="shared" si="23"/>
        <v>1.3152298380501026E-3</v>
      </c>
    </row>
    <row r="322" spans="1:7">
      <c r="A322" s="92">
        <v>45161</v>
      </c>
      <c r="B322" s="90">
        <v>395.3</v>
      </c>
      <c r="C322" s="40">
        <f t="shared" si="24"/>
        <v>1.1385441985416467E-2</v>
      </c>
      <c r="D322" s="93">
        <v>19444</v>
      </c>
      <c r="E322" s="94">
        <f t="shared" si="25"/>
        <v>2.4514795233148146E-3</v>
      </c>
      <c r="F322" s="95">
        <v>15302.6</v>
      </c>
      <c r="G322" s="41">
        <f t="shared" si="23"/>
        <v>2.0094624442905662E-3</v>
      </c>
    </row>
    <row r="323" spans="1:7">
      <c r="A323" s="92">
        <v>45160</v>
      </c>
      <c r="B323" s="90">
        <v>390.85</v>
      </c>
      <c r="C323" s="40">
        <f t="shared" si="24"/>
        <v>5.2726337448560923E-3</v>
      </c>
      <c r="D323" s="93">
        <v>19396.45</v>
      </c>
      <c r="E323" s="94">
        <f t="shared" si="25"/>
        <v>1.4695569672484865E-4</v>
      </c>
      <c r="F323" s="95">
        <v>15333.35</v>
      </c>
      <c r="G323" s="41">
        <f t="shared" si="23"/>
        <v>-4.0336912677269021E-3</v>
      </c>
    </row>
    <row r="324" spans="1:7">
      <c r="A324" s="92">
        <v>45159</v>
      </c>
      <c r="B324" s="90">
        <v>388.8</v>
      </c>
      <c r="C324" s="40">
        <f t="shared" si="24"/>
        <v>1.8467583497053131E-2</v>
      </c>
      <c r="D324" s="93">
        <v>19393.599999999999</v>
      </c>
      <c r="E324" s="94">
        <f t="shared" si="25"/>
        <v>4.3215614586109563E-3</v>
      </c>
      <c r="F324" s="95">
        <v>15271.5</v>
      </c>
      <c r="G324" s="41">
        <f t="shared" si="23"/>
        <v>5.6936122843205261E-3</v>
      </c>
    </row>
    <row r="325" spans="1:7">
      <c r="A325" s="92">
        <v>45156</v>
      </c>
      <c r="B325" s="90">
        <v>381.75</v>
      </c>
      <c r="C325" s="40">
        <f t="shared" si="24"/>
        <v>-1.6108247422680466E-2</v>
      </c>
      <c r="D325" s="93">
        <v>19310.150000000001</v>
      </c>
      <c r="E325" s="94">
        <f t="shared" si="25"/>
        <v>-2.8453027975366973E-3</v>
      </c>
      <c r="F325" s="95">
        <v>15358.45</v>
      </c>
      <c r="G325" s="41">
        <f t="shared" si="23"/>
        <v>2.6272182414239786E-3</v>
      </c>
    </row>
    <row r="326" spans="1:7">
      <c r="A326" s="92">
        <v>45155</v>
      </c>
      <c r="B326" s="90">
        <v>388</v>
      </c>
      <c r="C326" s="40">
        <f t="shared" si="24"/>
        <v>-7.5457219593297875E-3</v>
      </c>
      <c r="D326" s="93">
        <v>19365.25</v>
      </c>
      <c r="E326" s="94">
        <f t="shared" si="25"/>
        <v>-5.1245825841254034E-3</v>
      </c>
      <c r="F326" s="95">
        <v>15398.8</v>
      </c>
      <c r="G326" s="41">
        <f t="shared" si="23"/>
        <v>-6.0654076941060175E-3</v>
      </c>
    </row>
    <row r="327" spans="1:7">
      <c r="A327" s="92">
        <v>45154</v>
      </c>
      <c r="B327" s="90">
        <v>390.95</v>
      </c>
      <c r="C327" s="40">
        <f t="shared" si="24"/>
        <v>1.5454545454545388E-2</v>
      </c>
      <c r="D327" s="93">
        <v>19465</v>
      </c>
      <c r="E327" s="94">
        <f t="shared" si="25"/>
        <v>1.5667972759854099E-3</v>
      </c>
      <c r="F327" s="95">
        <v>15305.4</v>
      </c>
      <c r="G327" s="41">
        <f t="shared" si="23"/>
        <v>3.2733545023324595E-3</v>
      </c>
    </row>
    <row r="328" spans="1:7">
      <c r="A328" s="92">
        <v>45152</v>
      </c>
      <c r="B328" s="90">
        <v>385</v>
      </c>
      <c r="C328" s="40">
        <f t="shared" si="24"/>
        <v>-9.7736625514404096E-3</v>
      </c>
      <c r="D328" s="93">
        <v>19434.55</v>
      </c>
      <c r="E328" s="94">
        <f t="shared" si="25"/>
        <v>3.2169567074835648E-4</v>
      </c>
      <c r="F328" s="95">
        <v>15355.5</v>
      </c>
      <c r="G328" s="41">
        <f t="shared" si="23"/>
        <v>1.466575494122635E-2</v>
      </c>
    </row>
    <row r="329" spans="1:7">
      <c r="A329" s="92">
        <v>45149</v>
      </c>
      <c r="B329" s="90">
        <v>388.8</v>
      </c>
      <c r="C329" s="40">
        <f t="shared" si="24"/>
        <v>-2.5563909774436011E-2</v>
      </c>
      <c r="D329" s="93">
        <v>19428.3</v>
      </c>
      <c r="E329" s="94">
        <f t="shared" si="25"/>
        <v>-5.8741960077981492E-3</v>
      </c>
      <c r="F329" s="95">
        <v>15580.7</v>
      </c>
      <c r="G329" s="41">
        <f t="shared" ref="G329:G392" si="26">F330/F329-1</f>
        <v>7.4547356665617404E-3</v>
      </c>
    </row>
    <row r="330" spans="1:7">
      <c r="A330" s="92">
        <v>45148</v>
      </c>
      <c r="B330" s="90">
        <v>399</v>
      </c>
      <c r="C330" s="40">
        <f t="shared" ref="C330:C393" si="27">B330/B331-1</f>
        <v>-2.7303754266211566E-2</v>
      </c>
      <c r="D330" s="93">
        <v>19543.099999999999</v>
      </c>
      <c r="E330" s="94">
        <f t="shared" ref="E330:E393" si="28">D330/D331-1</f>
        <v>-4.5562089489139534E-3</v>
      </c>
      <c r="F330" s="95">
        <v>15696.85</v>
      </c>
      <c r="G330" s="41">
        <f t="shared" si="26"/>
        <v>-7.5397293087466899E-3</v>
      </c>
    </row>
    <row r="331" spans="1:7">
      <c r="A331" s="92">
        <v>45147</v>
      </c>
      <c r="B331" s="90">
        <v>410.2</v>
      </c>
      <c r="C331" s="40">
        <f t="shared" si="27"/>
        <v>-3.2802818612562845E-3</v>
      </c>
      <c r="D331" s="93">
        <v>19632.55</v>
      </c>
      <c r="E331" s="94">
        <f t="shared" si="28"/>
        <v>3.152647943242215E-3</v>
      </c>
      <c r="F331" s="95">
        <v>15578.5</v>
      </c>
      <c r="G331" s="41">
        <f t="shared" si="26"/>
        <v>-6.3709599768911884E-3</v>
      </c>
    </row>
    <row r="332" spans="1:7">
      <c r="A332" s="92">
        <v>45146</v>
      </c>
      <c r="B332" s="90">
        <v>411.55</v>
      </c>
      <c r="C332" s="40">
        <f t="shared" si="27"/>
        <v>2.7590511860174916E-2</v>
      </c>
      <c r="D332" s="93">
        <v>19570.849999999999</v>
      </c>
      <c r="E332" s="94">
        <f t="shared" si="28"/>
        <v>-1.3496757206350463E-3</v>
      </c>
      <c r="F332" s="95">
        <v>15479.25</v>
      </c>
      <c r="G332" s="41">
        <f t="shared" si="26"/>
        <v>-1.539157258911128E-2</v>
      </c>
    </row>
    <row r="333" spans="1:7">
      <c r="A333" s="92">
        <v>45145</v>
      </c>
      <c r="B333" s="90">
        <v>400.5</v>
      </c>
      <c r="C333" s="40">
        <f t="shared" si="27"/>
        <v>2.1553373294222578E-2</v>
      </c>
      <c r="D333" s="93">
        <v>19597.3</v>
      </c>
      <c r="E333" s="94">
        <f t="shared" si="28"/>
        <v>4.1143618383971958E-3</v>
      </c>
      <c r="F333" s="95">
        <v>15241</v>
      </c>
      <c r="G333" s="41">
        <f t="shared" si="26"/>
        <v>-9.3038514533166916E-3</v>
      </c>
    </row>
    <row r="334" spans="1:7">
      <c r="A334" s="92">
        <v>45142</v>
      </c>
      <c r="B334" s="90">
        <v>392.05</v>
      </c>
      <c r="C334" s="40">
        <f t="shared" si="27"/>
        <v>1.6727178423236566E-2</v>
      </c>
      <c r="D334" s="93">
        <v>19517</v>
      </c>
      <c r="E334" s="94">
        <f t="shared" si="28"/>
        <v>6.983409565233023E-3</v>
      </c>
      <c r="F334" s="95">
        <v>15099.2</v>
      </c>
      <c r="G334" s="41">
        <f t="shared" si="26"/>
        <v>-1.0318427466355917E-2</v>
      </c>
    </row>
    <row r="335" spans="1:7">
      <c r="A335" s="92">
        <v>45141</v>
      </c>
      <c r="B335" s="90">
        <v>385.6</v>
      </c>
      <c r="C335" s="40">
        <f t="shared" si="27"/>
        <v>5.643835616438353E-2</v>
      </c>
      <c r="D335" s="93">
        <v>19381.650000000001</v>
      </c>
      <c r="E335" s="94">
        <f t="shared" si="28"/>
        <v>-7.4206657089961325E-3</v>
      </c>
      <c r="F335" s="95">
        <v>14943.4</v>
      </c>
      <c r="G335" s="41">
        <f t="shared" si="26"/>
        <v>3.8746202336816804E-3</v>
      </c>
    </row>
    <row r="336" spans="1:7">
      <c r="A336" s="92">
        <v>45140</v>
      </c>
      <c r="B336" s="90">
        <v>365</v>
      </c>
      <c r="C336" s="40">
        <f t="shared" si="27"/>
        <v>2.1264689423615035E-2</v>
      </c>
      <c r="D336" s="93">
        <v>19526.55</v>
      </c>
      <c r="E336" s="94">
        <f t="shared" si="28"/>
        <v>-1.0489749690248296E-2</v>
      </c>
      <c r="F336" s="95">
        <v>15001.3</v>
      </c>
      <c r="G336" s="41">
        <f t="shared" si="26"/>
        <v>-6.0994713791473476E-4</v>
      </c>
    </row>
    <row r="337" spans="1:7">
      <c r="A337" s="92">
        <v>45139</v>
      </c>
      <c r="B337" s="90">
        <v>357.4</v>
      </c>
      <c r="C337" s="40">
        <f t="shared" si="27"/>
        <v>1.5629440181869958E-2</v>
      </c>
      <c r="D337" s="93">
        <v>19733.55</v>
      </c>
      <c r="E337" s="94">
        <f t="shared" si="28"/>
        <v>-1.0251192175683155E-3</v>
      </c>
      <c r="F337" s="95">
        <v>14992.15</v>
      </c>
      <c r="G337" s="41">
        <f t="shared" si="26"/>
        <v>-1.9743665851795766E-3</v>
      </c>
    </row>
    <row r="338" spans="1:7">
      <c r="A338" s="92">
        <v>45138</v>
      </c>
      <c r="B338" s="90">
        <v>351.9</v>
      </c>
      <c r="C338" s="40">
        <f t="shared" si="27"/>
        <v>4.3439584877687176E-2</v>
      </c>
      <c r="D338" s="93">
        <v>19753.8</v>
      </c>
      <c r="E338" s="94">
        <f t="shared" si="28"/>
        <v>5.4845630546598301E-3</v>
      </c>
      <c r="F338" s="95">
        <v>14962.55</v>
      </c>
      <c r="G338" s="41">
        <f t="shared" si="26"/>
        <v>-2.8471082803398495E-3</v>
      </c>
    </row>
    <row r="339" spans="1:7">
      <c r="A339" s="92">
        <v>45135</v>
      </c>
      <c r="B339" s="90">
        <v>337.25</v>
      </c>
      <c r="C339" s="40">
        <f t="shared" si="27"/>
        <v>-2.2463768115942084E-2</v>
      </c>
      <c r="D339" s="93">
        <v>19646.05</v>
      </c>
      <c r="E339" s="94">
        <f t="shared" si="28"/>
        <v>-7.044796769059003E-4</v>
      </c>
      <c r="F339" s="95">
        <v>14919.95</v>
      </c>
      <c r="G339" s="41">
        <f t="shared" si="26"/>
        <v>-2.9597954416737293E-2</v>
      </c>
    </row>
    <row r="340" spans="1:7">
      <c r="A340" s="92">
        <v>45134</v>
      </c>
      <c r="B340" s="90">
        <v>345</v>
      </c>
      <c r="C340" s="40">
        <f t="shared" si="27"/>
        <v>1.1878574571051459E-2</v>
      </c>
      <c r="D340" s="93">
        <v>19659.900000000001</v>
      </c>
      <c r="E340" s="94">
        <f t="shared" si="28"/>
        <v>-5.9863587871554769E-3</v>
      </c>
      <c r="F340" s="95">
        <v>14478.35</v>
      </c>
      <c r="G340" s="41">
        <f t="shared" si="26"/>
        <v>-6.5684280321998134E-3</v>
      </c>
    </row>
    <row r="341" spans="1:7">
      <c r="A341" s="92">
        <v>45133</v>
      </c>
      <c r="B341" s="90">
        <v>340.95</v>
      </c>
      <c r="C341" s="40">
        <f t="shared" si="27"/>
        <v>-1.5449032630667103E-2</v>
      </c>
      <c r="D341" s="93">
        <v>19778.3</v>
      </c>
      <c r="E341" s="94">
        <f t="shared" si="28"/>
        <v>4.9642795443227694E-3</v>
      </c>
      <c r="F341" s="95">
        <v>14383.25</v>
      </c>
      <c r="G341" s="41">
        <f t="shared" si="26"/>
        <v>-3.5596961743695754E-3</v>
      </c>
    </row>
    <row r="342" spans="1:7">
      <c r="A342" s="92">
        <v>45132</v>
      </c>
      <c r="B342" s="90">
        <v>346.3</v>
      </c>
      <c r="C342" s="40">
        <f t="shared" si="27"/>
        <v>-6.3127690100429623E-3</v>
      </c>
      <c r="D342" s="93">
        <v>19680.599999999999</v>
      </c>
      <c r="E342" s="94">
        <f t="shared" si="28"/>
        <v>4.1937033450500927E-4</v>
      </c>
      <c r="F342" s="95">
        <v>14332.05</v>
      </c>
      <c r="G342" s="41">
        <f t="shared" si="26"/>
        <v>-4.0503626487486954E-3</v>
      </c>
    </row>
    <row r="343" spans="1:7">
      <c r="A343" s="92">
        <v>45131</v>
      </c>
      <c r="B343" s="90">
        <v>348.5</v>
      </c>
      <c r="C343" s="40">
        <f t="shared" si="27"/>
        <v>-2.2902948754652819E-3</v>
      </c>
      <c r="D343" s="93">
        <v>19672.349999999999</v>
      </c>
      <c r="E343" s="94">
        <f t="shared" si="28"/>
        <v>-3.679412509496105E-3</v>
      </c>
      <c r="F343" s="95">
        <v>14274</v>
      </c>
      <c r="G343" s="41">
        <f t="shared" si="26"/>
        <v>1.7549390500208872E-3</v>
      </c>
    </row>
    <row r="344" spans="1:7">
      <c r="A344" s="92">
        <v>45128</v>
      </c>
      <c r="B344" s="90">
        <v>349.3</v>
      </c>
      <c r="C344" s="40">
        <f t="shared" si="27"/>
        <v>-3.4236804564906631E-3</v>
      </c>
      <c r="D344" s="93">
        <v>19745</v>
      </c>
      <c r="E344" s="94">
        <f t="shared" si="28"/>
        <v>-1.1719717805812602E-2</v>
      </c>
      <c r="F344" s="95">
        <v>14299.05</v>
      </c>
      <c r="G344" s="41">
        <f t="shared" si="26"/>
        <v>-1.4438022106363579E-2</v>
      </c>
    </row>
    <row r="345" spans="1:7">
      <c r="A345" s="92">
        <v>45127</v>
      </c>
      <c r="B345" s="90">
        <v>350.5</v>
      </c>
      <c r="C345" s="40">
        <f t="shared" si="27"/>
        <v>-2.7030872101294623E-3</v>
      </c>
      <c r="D345" s="93">
        <v>19979.150000000001</v>
      </c>
      <c r="E345" s="94">
        <f t="shared" si="28"/>
        <v>7.3614125844860823E-3</v>
      </c>
      <c r="F345" s="95">
        <v>14092.6</v>
      </c>
      <c r="G345" s="41">
        <f t="shared" si="26"/>
        <v>-5.3538736641925988E-3</v>
      </c>
    </row>
    <row r="346" spans="1:7">
      <c r="A346" s="92">
        <v>45126</v>
      </c>
      <c r="B346" s="90">
        <v>351.45</v>
      </c>
      <c r="C346" s="40">
        <f t="shared" si="27"/>
        <v>-4.3909348441926177E-3</v>
      </c>
      <c r="D346" s="93">
        <v>19833.150000000001</v>
      </c>
      <c r="E346" s="94">
        <f t="shared" si="28"/>
        <v>4.248262592250418E-3</v>
      </c>
      <c r="F346" s="95">
        <v>14017.15</v>
      </c>
      <c r="G346" s="41">
        <f t="shared" si="26"/>
        <v>2.6075200736241921E-3</v>
      </c>
    </row>
    <row r="347" spans="1:7">
      <c r="A347" s="92">
        <v>45125</v>
      </c>
      <c r="B347" s="90">
        <v>353</v>
      </c>
      <c r="C347" s="40">
        <f t="shared" si="27"/>
        <v>5.4115636570777337E-3</v>
      </c>
      <c r="D347" s="93">
        <v>19749.25</v>
      </c>
      <c r="E347" s="94">
        <f t="shared" si="28"/>
        <v>1.9176671427012515E-3</v>
      </c>
      <c r="F347" s="95">
        <v>14053.7</v>
      </c>
      <c r="G347" s="41">
        <f t="shared" si="26"/>
        <v>-7.6883667646243659E-3</v>
      </c>
    </row>
    <row r="348" spans="1:7">
      <c r="A348" s="92">
        <v>45124</v>
      </c>
      <c r="B348" s="90">
        <v>351.1</v>
      </c>
      <c r="C348" s="40">
        <f t="shared" si="27"/>
        <v>-2.5568181818180769E-3</v>
      </c>
      <c r="D348" s="93">
        <v>19711.45</v>
      </c>
      <c r="E348" s="94">
        <f t="shared" si="28"/>
        <v>7.5110531830611116E-3</v>
      </c>
      <c r="F348" s="95">
        <v>13945.65</v>
      </c>
      <c r="G348" s="41">
        <f t="shared" si="26"/>
        <v>-4.9549501098908877E-3</v>
      </c>
    </row>
    <row r="349" spans="1:7">
      <c r="A349" s="92">
        <v>45121</v>
      </c>
      <c r="B349" s="90">
        <v>352</v>
      </c>
      <c r="C349" s="40">
        <f t="shared" si="27"/>
        <v>1.0043041606886627E-2</v>
      </c>
      <c r="D349" s="93">
        <v>19564.5</v>
      </c>
      <c r="E349" s="94">
        <f t="shared" si="28"/>
        <v>7.7651149314275081E-3</v>
      </c>
      <c r="F349" s="95">
        <v>13876.55</v>
      </c>
      <c r="G349" s="41">
        <f t="shared" si="26"/>
        <v>4.3346509038630909E-3</v>
      </c>
    </row>
    <row r="350" spans="1:7">
      <c r="A350" s="92">
        <v>45120</v>
      </c>
      <c r="B350" s="90">
        <v>348.5</v>
      </c>
      <c r="C350" s="40">
        <f t="shared" si="27"/>
        <v>-1.2747875354107596E-2</v>
      </c>
      <c r="D350" s="93">
        <v>19413.75</v>
      </c>
      <c r="E350" s="94">
        <f t="shared" si="28"/>
        <v>1.5192707500399916E-3</v>
      </c>
      <c r="F350" s="95">
        <v>13936.7</v>
      </c>
      <c r="G350" s="41">
        <f t="shared" si="26"/>
        <v>-2.9633987959847286E-3</v>
      </c>
    </row>
    <row r="351" spans="1:7">
      <c r="A351" s="92">
        <v>45119</v>
      </c>
      <c r="B351" s="90">
        <v>353</v>
      </c>
      <c r="C351" s="40">
        <f t="shared" si="27"/>
        <v>-1.0788846854420719E-2</v>
      </c>
      <c r="D351" s="93">
        <v>19384.3</v>
      </c>
      <c r="E351" s="94">
        <f t="shared" si="28"/>
        <v>-2.8344496229308902E-3</v>
      </c>
      <c r="F351" s="95">
        <v>13895.4</v>
      </c>
      <c r="G351" s="41">
        <f t="shared" si="26"/>
        <v>-1.0334355254256855E-2</v>
      </c>
    </row>
    <row r="352" spans="1:7">
      <c r="A352" s="92">
        <v>45118</v>
      </c>
      <c r="B352" s="90">
        <v>356.85</v>
      </c>
      <c r="C352" s="40">
        <f t="shared" si="27"/>
        <v>-9.7984322508393173E-4</v>
      </c>
      <c r="D352" s="93">
        <v>19439.400000000001</v>
      </c>
      <c r="E352" s="94">
        <f t="shared" si="28"/>
        <v>4.3139301194985435E-3</v>
      </c>
      <c r="F352" s="95">
        <v>13751.8</v>
      </c>
      <c r="G352" s="41">
        <f t="shared" si="26"/>
        <v>1.25074535697145E-3</v>
      </c>
    </row>
    <row r="353" spans="1:7">
      <c r="A353" s="92">
        <v>45117</v>
      </c>
      <c r="B353" s="90">
        <v>357.2</v>
      </c>
      <c r="C353" s="40">
        <f t="shared" si="27"/>
        <v>-2.1503903574852767E-2</v>
      </c>
      <c r="D353" s="93">
        <v>19355.900000000001</v>
      </c>
      <c r="E353" s="94">
        <f t="shared" si="28"/>
        <v>1.2466505964268126E-3</v>
      </c>
      <c r="F353" s="95">
        <v>13769</v>
      </c>
      <c r="G353" s="41">
        <f t="shared" si="26"/>
        <v>7.4515215338804008E-3</v>
      </c>
    </row>
    <row r="354" spans="1:7">
      <c r="A354" s="92">
        <v>45114</v>
      </c>
      <c r="B354" s="90">
        <v>365.05</v>
      </c>
      <c r="C354" s="40">
        <f t="shared" si="27"/>
        <v>-2.5956284153004772E-3</v>
      </c>
      <c r="D354" s="93">
        <v>19331.8</v>
      </c>
      <c r="E354" s="94">
        <f t="shared" si="28"/>
        <v>-8.4883547978438223E-3</v>
      </c>
      <c r="F354" s="95">
        <v>13871.6</v>
      </c>
      <c r="G354" s="41">
        <f t="shared" si="26"/>
        <v>-7.1801378355778045E-3</v>
      </c>
    </row>
    <row r="355" spans="1:7">
      <c r="A355" s="92">
        <v>45113</v>
      </c>
      <c r="B355" s="90">
        <v>366</v>
      </c>
      <c r="C355" s="40">
        <f t="shared" si="27"/>
        <v>2.924634420697414E-2</v>
      </c>
      <c r="D355" s="93">
        <v>19497.3</v>
      </c>
      <c r="E355" s="94">
        <f t="shared" si="28"/>
        <v>5.0931773075237885E-3</v>
      </c>
      <c r="F355" s="95">
        <v>13772</v>
      </c>
      <c r="G355" s="41">
        <f t="shared" si="26"/>
        <v>-7.010601219866297E-3</v>
      </c>
    </row>
    <row r="356" spans="1:7">
      <c r="A356" s="92">
        <v>45112</v>
      </c>
      <c r="B356" s="90">
        <v>355.6</v>
      </c>
      <c r="C356" s="40">
        <f t="shared" si="27"/>
        <v>1.2961116650049842E-2</v>
      </c>
      <c r="D356" s="93">
        <v>19398.5</v>
      </c>
      <c r="E356" s="94">
        <f t="shared" si="28"/>
        <v>4.8996853886218439E-4</v>
      </c>
      <c r="F356" s="95">
        <v>13675.45</v>
      </c>
      <c r="G356" s="41">
        <f t="shared" si="26"/>
        <v>-4.4934535975050816E-3</v>
      </c>
    </row>
    <row r="357" spans="1:7">
      <c r="A357" s="92">
        <v>45111</v>
      </c>
      <c r="B357" s="90">
        <v>351.05</v>
      </c>
      <c r="C357" s="40">
        <f t="shared" si="27"/>
        <v>-2.0371145528115031E-2</v>
      </c>
      <c r="D357" s="93">
        <v>19389</v>
      </c>
      <c r="E357" s="94">
        <f t="shared" si="28"/>
        <v>3.4389870902133968E-3</v>
      </c>
      <c r="F357" s="95">
        <v>13614</v>
      </c>
      <c r="G357" s="41">
        <f t="shared" si="26"/>
        <v>1.1275157925664692E-2</v>
      </c>
    </row>
    <row r="358" spans="1:7">
      <c r="A358" s="92">
        <v>45110</v>
      </c>
      <c r="B358" s="90">
        <v>358.35</v>
      </c>
      <c r="C358" s="40">
        <f t="shared" si="27"/>
        <v>-2.1169079486479059E-2</v>
      </c>
      <c r="D358" s="93">
        <v>19322.55</v>
      </c>
      <c r="E358" s="94">
        <f t="shared" si="28"/>
        <v>6.9570927169402275E-3</v>
      </c>
      <c r="F358" s="95">
        <v>13767.5</v>
      </c>
      <c r="G358" s="41">
        <f t="shared" si="26"/>
        <v>-1.0513891410931508E-2</v>
      </c>
    </row>
    <row r="359" spans="1:7">
      <c r="A359" s="92">
        <v>45107</v>
      </c>
      <c r="B359" s="90">
        <v>366.1</v>
      </c>
      <c r="C359" s="40">
        <f t="shared" si="27"/>
        <v>3.5635964912281715E-3</v>
      </c>
      <c r="D359" s="93">
        <v>19189.05</v>
      </c>
      <c r="E359" s="94">
        <f t="shared" si="28"/>
        <v>1.1435212759789426E-2</v>
      </c>
      <c r="F359" s="95">
        <v>13622.75</v>
      </c>
      <c r="G359" s="41">
        <f t="shared" si="26"/>
        <v>-1.4376686058248156E-2</v>
      </c>
    </row>
    <row r="360" spans="1:7">
      <c r="A360" s="92">
        <v>45105</v>
      </c>
      <c r="B360" s="90">
        <v>364.8</v>
      </c>
      <c r="C360" s="40">
        <f t="shared" si="27"/>
        <v>-3.6870135190494313E-3</v>
      </c>
      <c r="D360" s="93">
        <v>18972.099999999999</v>
      </c>
      <c r="E360" s="94">
        <f t="shared" si="28"/>
        <v>8.2211145004089659E-3</v>
      </c>
      <c r="F360" s="95">
        <v>13426.9</v>
      </c>
      <c r="G360" s="41">
        <f t="shared" si="26"/>
        <v>-2.8524827026341626E-3</v>
      </c>
    </row>
    <row r="361" spans="1:7">
      <c r="A361" s="92">
        <v>45104</v>
      </c>
      <c r="B361" s="90">
        <v>366.15</v>
      </c>
      <c r="C361" s="40">
        <f t="shared" si="27"/>
        <v>1.1464088397789896E-2</v>
      </c>
      <c r="D361" s="93">
        <v>18817.400000000001</v>
      </c>
      <c r="E361" s="94">
        <f t="shared" si="28"/>
        <v>6.7518404382811426E-3</v>
      </c>
      <c r="F361" s="95">
        <v>13388.6</v>
      </c>
      <c r="G361" s="41">
        <f t="shared" si="26"/>
        <v>-1.5109869590547276E-2</v>
      </c>
    </row>
    <row r="362" spans="1:7">
      <c r="A362" s="92">
        <v>45103</v>
      </c>
      <c r="B362" s="90">
        <v>362</v>
      </c>
      <c r="C362" s="40">
        <f t="shared" si="27"/>
        <v>3.3842638869056252E-2</v>
      </c>
      <c r="D362" s="93">
        <v>18691.2</v>
      </c>
      <c r="E362" s="94">
        <f t="shared" si="28"/>
        <v>1.3768717687712151E-3</v>
      </c>
      <c r="F362" s="95">
        <v>13186.3</v>
      </c>
      <c r="G362" s="41">
        <f t="shared" si="26"/>
        <v>-1.4750157360289284E-3</v>
      </c>
    </row>
    <row r="363" spans="1:7">
      <c r="A363" s="92">
        <v>45100</v>
      </c>
      <c r="B363" s="90">
        <v>350.15</v>
      </c>
      <c r="C363" s="40">
        <f t="shared" si="27"/>
        <v>-1.4910676607117757E-2</v>
      </c>
      <c r="D363" s="93">
        <v>18665.5</v>
      </c>
      <c r="E363" s="94">
        <f t="shared" si="28"/>
        <v>-5.6336152360657588E-3</v>
      </c>
      <c r="F363" s="95">
        <v>13166.85</v>
      </c>
      <c r="G363" s="41">
        <f t="shared" si="26"/>
        <v>6.1404208295834373E-3</v>
      </c>
    </row>
    <row r="364" spans="1:7">
      <c r="A364" s="92">
        <v>45099</v>
      </c>
      <c r="B364" s="90">
        <v>355.45</v>
      </c>
      <c r="C364" s="40">
        <f t="shared" si="27"/>
        <v>-2.5764012607921161E-2</v>
      </c>
      <c r="D364" s="93">
        <v>18771.25</v>
      </c>
      <c r="E364" s="94">
        <f t="shared" si="28"/>
        <v>-4.5394644386521632E-3</v>
      </c>
      <c r="F364" s="95">
        <v>13247.7</v>
      </c>
      <c r="G364" s="41">
        <f t="shared" si="26"/>
        <v>-6.6804049004731691E-4</v>
      </c>
    </row>
    <row r="365" spans="1:7">
      <c r="A365" s="92">
        <v>45098</v>
      </c>
      <c r="B365" s="90">
        <v>364.85</v>
      </c>
      <c r="C365" s="40">
        <f t="shared" si="27"/>
        <v>-1.2318642211880393E-3</v>
      </c>
      <c r="D365" s="93">
        <v>18856.849999999999</v>
      </c>
      <c r="E365" s="94">
        <f t="shared" si="28"/>
        <v>2.1337428985952478E-3</v>
      </c>
      <c r="F365" s="95">
        <v>13238.85</v>
      </c>
      <c r="G365" s="41">
        <f t="shared" si="26"/>
        <v>1.9488097531128457E-3</v>
      </c>
    </row>
    <row r="366" spans="1:7">
      <c r="A366" s="92">
        <v>45097</v>
      </c>
      <c r="B366" s="90">
        <v>365.3</v>
      </c>
      <c r="C366" s="40">
        <f t="shared" si="27"/>
        <v>8.219178082191636E-4</v>
      </c>
      <c r="D366" s="93">
        <v>18816.7</v>
      </c>
      <c r="E366" s="94">
        <f t="shared" si="28"/>
        <v>3.2657174314665305E-3</v>
      </c>
      <c r="F366" s="95">
        <v>13264.65</v>
      </c>
      <c r="G366" s="41">
        <f t="shared" si="26"/>
        <v>-1.7113154135238728E-3</v>
      </c>
    </row>
    <row r="367" spans="1:7">
      <c r="A367" s="92">
        <v>45096</v>
      </c>
      <c r="B367" s="90">
        <v>365</v>
      </c>
      <c r="C367" s="40">
        <f t="shared" si="27"/>
        <v>-6.2619112442146019E-3</v>
      </c>
      <c r="D367" s="93">
        <v>18755.45</v>
      </c>
      <c r="E367" s="94">
        <f t="shared" si="28"/>
        <v>-3.7474768936576197E-3</v>
      </c>
      <c r="F367" s="95">
        <v>13241.95</v>
      </c>
      <c r="G367" s="41">
        <f t="shared" si="26"/>
        <v>-6.1433550194647246E-3</v>
      </c>
    </row>
    <row r="368" spans="1:7">
      <c r="A368" s="92">
        <v>45093</v>
      </c>
      <c r="B368" s="90">
        <v>367.3</v>
      </c>
      <c r="C368" s="40">
        <f t="shared" si="27"/>
        <v>3.0038230475151195E-3</v>
      </c>
      <c r="D368" s="93">
        <v>18826</v>
      </c>
      <c r="E368" s="94">
        <f t="shared" si="28"/>
        <v>7.3790272954448177E-3</v>
      </c>
      <c r="F368" s="95">
        <v>13160.6</v>
      </c>
      <c r="G368" s="41">
        <f t="shared" si="26"/>
        <v>-1.3965928605078837E-2</v>
      </c>
    </row>
    <row r="369" spans="1:7">
      <c r="A369" s="92">
        <v>45092</v>
      </c>
      <c r="B369" s="90">
        <v>366.2</v>
      </c>
      <c r="C369" s="40">
        <f t="shared" si="27"/>
        <v>2.2619380061435157E-2</v>
      </c>
      <c r="D369" s="93">
        <v>18688.099999999999</v>
      </c>
      <c r="E369" s="94">
        <f t="shared" si="28"/>
        <v>-3.6148625232594878E-3</v>
      </c>
      <c r="F369" s="95">
        <v>12976.8</v>
      </c>
      <c r="G369" s="41">
        <f t="shared" si="26"/>
        <v>1.3061771777325148E-3</v>
      </c>
    </row>
    <row r="370" spans="1:7">
      <c r="A370" s="92">
        <v>45091</v>
      </c>
      <c r="B370" s="90">
        <v>358.1</v>
      </c>
      <c r="C370" s="40">
        <f t="shared" si="27"/>
        <v>-8.0332409972299068E-3</v>
      </c>
      <c r="D370" s="93">
        <v>18755.900000000001</v>
      </c>
      <c r="E370" s="94">
        <f t="shared" si="28"/>
        <v>2.123834228727528E-3</v>
      </c>
      <c r="F370" s="95">
        <v>12993.75</v>
      </c>
      <c r="G370" s="41">
        <f t="shared" si="26"/>
        <v>-1.0597402597402605E-2</v>
      </c>
    </row>
    <row r="371" spans="1:7">
      <c r="A371" s="92">
        <v>45090</v>
      </c>
      <c r="B371" s="90">
        <v>361</v>
      </c>
      <c r="C371" s="40">
        <f t="shared" si="27"/>
        <v>4.9418604651162878E-2</v>
      </c>
      <c r="D371" s="93">
        <v>18716.150000000001</v>
      </c>
      <c r="E371" s="94">
        <f t="shared" si="28"/>
        <v>6.1634814396689386E-3</v>
      </c>
      <c r="F371" s="95">
        <v>12856.05</v>
      </c>
      <c r="G371" s="41">
        <f t="shared" si="26"/>
        <v>3.8892194725437257E-4</v>
      </c>
    </row>
    <row r="372" spans="1:7">
      <c r="A372" s="92">
        <v>45089</v>
      </c>
      <c r="B372" s="90">
        <v>344</v>
      </c>
      <c r="C372" s="40">
        <f t="shared" si="27"/>
        <v>1.1764705882352899E-2</v>
      </c>
      <c r="D372" s="93">
        <v>18601.5</v>
      </c>
      <c r="E372" s="94">
        <f t="shared" si="28"/>
        <v>2.0524257409741953E-3</v>
      </c>
      <c r="F372" s="95">
        <v>12861.05</v>
      </c>
      <c r="G372" s="41">
        <f t="shared" si="26"/>
        <v>3.9110337025360931E-3</v>
      </c>
    </row>
    <row r="373" spans="1:7">
      <c r="A373" s="92">
        <v>45086</v>
      </c>
      <c r="B373" s="90">
        <v>340</v>
      </c>
      <c r="C373" s="40">
        <f t="shared" si="27"/>
        <v>-1.8759018759018753E-2</v>
      </c>
      <c r="D373" s="93">
        <v>18563.400000000001</v>
      </c>
      <c r="E373" s="94">
        <f t="shared" si="28"/>
        <v>-3.8181764518058214E-3</v>
      </c>
      <c r="F373" s="95">
        <v>12911.35</v>
      </c>
      <c r="G373" s="41">
        <f t="shared" si="26"/>
        <v>1.0401700829115512E-2</v>
      </c>
    </row>
    <row r="374" spans="1:7">
      <c r="A374" s="92">
        <v>45085</v>
      </c>
      <c r="B374" s="90">
        <v>346.5</v>
      </c>
      <c r="C374" s="40">
        <f t="shared" si="27"/>
        <v>-7.0210631895686326E-3</v>
      </c>
      <c r="D374" s="93">
        <v>18634.55</v>
      </c>
      <c r="E374" s="94">
        <f t="shared" si="28"/>
        <v>-4.9048402255640333E-3</v>
      </c>
      <c r="F374" s="95">
        <v>13045.65</v>
      </c>
      <c r="G374" s="41">
        <f t="shared" si="26"/>
        <v>-2.5104153491777303E-3</v>
      </c>
    </row>
    <row r="375" spans="1:7">
      <c r="A375" s="92">
        <v>45084</v>
      </c>
      <c r="B375" s="90">
        <v>348.95</v>
      </c>
      <c r="C375" s="40">
        <f t="shared" si="27"/>
        <v>2.0620064346300149E-2</v>
      </c>
      <c r="D375" s="93">
        <v>18726.400000000001</v>
      </c>
      <c r="E375" s="94">
        <f t="shared" si="28"/>
        <v>6.8498306360558203E-3</v>
      </c>
      <c r="F375" s="95">
        <v>13012.9</v>
      </c>
      <c r="G375" s="41">
        <f t="shared" si="26"/>
        <v>-6.0247907845292215E-3</v>
      </c>
    </row>
    <row r="376" spans="1:7">
      <c r="A376" s="92">
        <v>45083</v>
      </c>
      <c r="B376" s="90">
        <v>341.9</v>
      </c>
      <c r="C376" s="40">
        <f t="shared" si="27"/>
        <v>1.1713030746705044E-3</v>
      </c>
      <c r="D376" s="93">
        <v>18599</v>
      </c>
      <c r="E376" s="94">
        <f t="shared" si="28"/>
        <v>2.7697330031184464E-4</v>
      </c>
      <c r="F376" s="95">
        <v>12934.5</v>
      </c>
      <c r="G376" s="41">
        <f t="shared" si="26"/>
        <v>-2.6208975994432837E-3</v>
      </c>
    </row>
    <row r="377" spans="1:7">
      <c r="A377" s="92">
        <v>45082</v>
      </c>
      <c r="B377" s="90">
        <v>341.5</v>
      </c>
      <c r="C377" s="40">
        <f t="shared" si="27"/>
        <v>-1.3148388961132795E-2</v>
      </c>
      <c r="D377" s="93">
        <v>18593.849999999999</v>
      </c>
      <c r="E377" s="94">
        <f t="shared" si="28"/>
        <v>3.223787505193032E-3</v>
      </c>
      <c r="F377" s="95">
        <v>12900.6</v>
      </c>
      <c r="G377" s="41">
        <f t="shared" si="26"/>
        <v>-6.8058849975970448E-3</v>
      </c>
    </row>
    <row r="378" spans="1:7">
      <c r="A378" s="92">
        <v>45079</v>
      </c>
      <c r="B378" s="90">
        <v>346.05</v>
      </c>
      <c r="C378" s="40">
        <f t="shared" si="27"/>
        <v>1.7644464049404451E-2</v>
      </c>
      <c r="D378" s="93">
        <v>18534.099999999999</v>
      </c>
      <c r="E378" s="94">
        <f t="shared" si="28"/>
        <v>2.507065489310456E-3</v>
      </c>
      <c r="F378" s="95">
        <v>12812.8</v>
      </c>
      <c r="G378" s="41">
        <f t="shared" si="26"/>
        <v>-1.0489510489510412E-2</v>
      </c>
    </row>
    <row r="379" spans="1:7">
      <c r="A379" s="92">
        <v>45078</v>
      </c>
      <c r="B379" s="90">
        <v>340.05</v>
      </c>
      <c r="C379" s="40">
        <f t="shared" si="27"/>
        <v>2.7341389728096743E-2</v>
      </c>
      <c r="D379" s="93">
        <v>18487.75</v>
      </c>
      <c r="E379" s="94">
        <f t="shared" si="28"/>
        <v>-2.5169414709945714E-3</v>
      </c>
      <c r="F379" s="95">
        <v>12678.4</v>
      </c>
      <c r="G379" s="41">
        <f t="shared" si="26"/>
        <v>-5.813036345280076E-3</v>
      </c>
    </row>
    <row r="380" spans="1:7">
      <c r="A380" s="92">
        <v>45077</v>
      </c>
      <c r="B380" s="90">
        <v>331</v>
      </c>
      <c r="C380" s="40">
        <f t="shared" si="27"/>
        <v>-4.2117930204572662E-3</v>
      </c>
      <c r="D380" s="93">
        <v>18534.400000000001</v>
      </c>
      <c r="E380" s="94">
        <f t="shared" si="28"/>
        <v>-5.3370613158310043E-3</v>
      </c>
      <c r="F380" s="95">
        <v>12604.7</v>
      </c>
      <c r="G380" s="41">
        <f t="shared" si="26"/>
        <v>1.5470419764056498E-3</v>
      </c>
    </row>
    <row r="381" spans="1:7">
      <c r="A381" s="92">
        <v>45076</v>
      </c>
      <c r="B381" s="90">
        <v>332.4</v>
      </c>
      <c r="C381" s="40">
        <f t="shared" si="27"/>
        <v>-4.1941282204913666E-3</v>
      </c>
      <c r="D381" s="93">
        <v>18633.849999999999</v>
      </c>
      <c r="E381" s="94">
        <f t="shared" si="28"/>
        <v>1.8926104851695325E-3</v>
      </c>
      <c r="F381" s="95">
        <v>12624.2</v>
      </c>
      <c r="G381" s="41">
        <f t="shared" si="26"/>
        <v>-1.7941730961170688E-3</v>
      </c>
    </row>
    <row r="382" spans="1:7">
      <c r="A382" s="92">
        <v>45075</v>
      </c>
      <c r="B382" s="90">
        <v>333.8</v>
      </c>
      <c r="C382" s="40">
        <f t="shared" si="27"/>
        <v>-1.7942583732056816E-3</v>
      </c>
      <c r="D382" s="93">
        <v>18598.650000000001</v>
      </c>
      <c r="E382" s="94">
        <f t="shared" si="28"/>
        <v>5.3677561644058791E-3</v>
      </c>
      <c r="F382" s="95">
        <v>12601.55</v>
      </c>
      <c r="G382" s="41">
        <f t="shared" si="26"/>
        <v>-1.1589844106478897E-2</v>
      </c>
    </row>
    <row r="383" spans="1:7">
      <c r="A383" s="92">
        <v>45072</v>
      </c>
      <c r="B383" s="90">
        <v>334.4</v>
      </c>
      <c r="C383" s="40">
        <f t="shared" si="27"/>
        <v>1.9475655430711836E-3</v>
      </c>
      <c r="D383" s="93">
        <v>18499.349999999999</v>
      </c>
      <c r="E383" s="94">
        <f t="shared" si="28"/>
        <v>9.7264636772254054E-3</v>
      </c>
      <c r="F383" s="95">
        <v>12455.5</v>
      </c>
      <c r="G383" s="41">
        <f t="shared" si="26"/>
        <v>-1.2083015535304664E-3</v>
      </c>
    </row>
    <row r="384" spans="1:7">
      <c r="A384" s="92">
        <v>45071</v>
      </c>
      <c r="B384" s="90">
        <v>333.75</v>
      </c>
      <c r="C384" s="40">
        <f t="shared" si="27"/>
        <v>-3.1362007168459494E-3</v>
      </c>
      <c r="D384" s="93">
        <v>18321.150000000001</v>
      </c>
      <c r="E384" s="94">
        <f t="shared" si="28"/>
        <v>1.955111728482839E-3</v>
      </c>
      <c r="F384" s="95">
        <v>12440.45</v>
      </c>
      <c r="G384" s="41">
        <f t="shared" si="26"/>
        <v>-1.0148346723792168E-2</v>
      </c>
    </row>
    <row r="385" spans="1:7">
      <c r="A385" s="92">
        <v>45070</v>
      </c>
      <c r="B385" s="90">
        <v>334.8</v>
      </c>
      <c r="C385" s="40">
        <f t="shared" si="27"/>
        <v>6.2857142857142945E-2</v>
      </c>
      <c r="D385" s="93">
        <v>18285.400000000001</v>
      </c>
      <c r="E385" s="94">
        <f t="shared" si="28"/>
        <v>-3.4118160017440058E-3</v>
      </c>
      <c r="F385" s="95">
        <v>12314.2</v>
      </c>
      <c r="G385" s="41">
        <f t="shared" si="26"/>
        <v>-5.6844943236263878E-3</v>
      </c>
    </row>
    <row r="386" spans="1:7">
      <c r="A386" s="92">
        <v>45069</v>
      </c>
      <c r="B386" s="90">
        <v>315</v>
      </c>
      <c r="C386" s="40">
        <f t="shared" si="27"/>
        <v>8.9686098654708779E-3</v>
      </c>
      <c r="D386" s="93">
        <v>18348</v>
      </c>
      <c r="E386" s="94">
        <f t="shared" si="28"/>
        <v>1.834621936836589E-3</v>
      </c>
      <c r="F386" s="95">
        <v>12244.2</v>
      </c>
      <c r="G386" s="41">
        <f t="shared" si="26"/>
        <v>-9.7964750657454358E-3</v>
      </c>
    </row>
    <row r="387" spans="1:7">
      <c r="A387" s="92">
        <v>45068</v>
      </c>
      <c r="B387" s="90">
        <v>312.2</v>
      </c>
      <c r="C387" s="40">
        <f t="shared" si="27"/>
        <v>1.1223344556676729E-3</v>
      </c>
      <c r="D387" s="93">
        <v>18314.400000000001</v>
      </c>
      <c r="E387" s="94">
        <f t="shared" si="28"/>
        <v>6.0977619565576457E-3</v>
      </c>
      <c r="F387" s="95">
        <v>12124.25</v>
      </c>
      <c r="G387" s="41">
        <f t="shared" si="26"/>
        <v>9.6583293811989268E-3</v>
      </c>
    </row>
    <row r="388" spans="1:7">
      <c r="A388" s="92">
        <v>45065</v>
      </c>
      <c r="B388" s="90">
        <v>311.85000000000002</v>
      </c>
      <c r="C388" s="40">
        <f t="shared" si="27"/>
        <v>2.7331189710610992E-3</v>
      </c>
      <c r="D388" s="93">
        <v>18203.400000000001</v>
      </c>
      <c r="E388" s="94">
        <f t="shared" si="28"/>
        <v>4.0513073670915833E-3</v>
      </c>
      <c r="F388" s="95">
        <v>12241.35</v>
      </c>
      <c r="G388" s="41">
        <f t="shared" si="26"/>
        <v>1.2841720888627339E-2</v>
      </c>
    </row>
    <row r="389" spans="1:7">
      <c r="A389" s="92">
        <v>45064</v>
      </c>
      <c r="B389" s="90">
        <v>311</v>
      </c>
      <c r="C389" s="40">
        <f t="shared" si="27"/>
        <v>-4.3220745958060247E-3</v>
      </c>
      <c r="D389" s="93">
        <v>18129.95</v>
      </c>
      <c r="E389" s="94">
        <f t="shared" si="28"/>
        <v>-2.8490106837900653E-3</v>
      </c>
      <c r="F389" s="95">
        <v>12398.55</v>
      </c>
      <c r="G389" s="41">
        <f t="shared" si="26"/>
        <v>4.5126244601183529E-3</v>
      </c>
    </row>
    <row r="390" spans="1:7">
      <c r="A390" s="92">
        <v>45063</v>
      </c>
      <c r="B390" s="90">
        <v>312.35000000000002</v>
      </c>
      <c r="C390" s="40">
        <f t="shared" si="27"/>
        <v>-9.8272309399269897E-3</v>
      </c>
      <c r="D390" s="93">
        <v>18181.75</v>
      </c>
      <c r="E390" s="94">
        <f t="shared" si="28"/>
        <v>-5.7282694884204233E-3</v>
      </c>
      <c r="F390" s="95">
        <v>12454.5</v>
      </c>
      <c r="G390" s="41">
        <f t="shared" si="26"/>
        <v>2.6416154803483582E-3</v>
      </c>
    </row>
    <row r="391" spans="1:7">
      <c r="A391" s="92">
        <v>45062</v>
      </c>
      <c r="B391" s="90">
        <v>315.45</v>
      </c>
      <c r="C391" s="40">
        <f t="shared" si="27"/>
        <v>1.4308681672025703E-2</v>
      </c>
      <c r="D391" s="93">
        <v>18286.5</v>
      </c>
      <c r="E391" s="94">
        <f t="shared" si="28"/>
        <v>-6.1063599083637232E-3</v>
      </c>
      <c r="F391" s="95">
        <v>12487.4</v>
      </c>
      <c r="G391" s="41">
        <f t="shared" si="26"/>
        <v>-5.6056504956880637E-5</v>
      </c>
    </row>
    <row r="392" spans="1:7">
      <c r="A392" s="92">
        <v>45061</v>
      </c>
      <c r="B392" s="90">
        <v>311</v>
      </c>
      <c r="C392" s="40">
        <f t="shared" si="27"/>
        <v>4.359761020507058E-3</v>
      </c>
      <c r="D392" s="93">
        <v>18398.849999999999</v>
      </c>
      <c r="E392" s="94">
        <f t="shared" si="28"/>
        <v>4.5891847030816724E-3</v>
      </c>
      <c r="F392" s="95">
        <v>12486.7</v>
      </c>
      <c r="G392" s="41">
        <f t="shared" si="26"/>
        <v>5.6339945702226224E-3</v>
      </c>
    </row>
    <row r="393" spans="1:7">
      <c r="A393" s="92">
        <v>45058</v>
      </c>
      <c r="B393" s="90">
        <v>309.64999999999998</v>
      </c>
      <c r="C393" s="40">
        <f t="shared" si="27"/>
        <v>-3.4455877767383902E-2</v>
      </c>
      <c r="D393" s="93">
        <v>18314.8</v>
      </c>
      <c r="E393" s="94">
        <f t="shared" si="28"/>
        <v>9.7283707711648404E-4</v>
      </c>
      <c r="F393" s="95">
        <v>12557.05</v>
      </c>
      <c r="G393" s="41">
        <f t="shared" ref="G393:G456" si="29">F394/F393-1</f>
        <v>1.2729900733054356E-2</v>
      </c>
    </row>
    <row r="394" spans="1:7">
      <c r="A394" s="92">
        <v>45057</v>
      </c>
      <c r="B394" s="90">
        <v>320.7</v>
      </c>
      <c r="C394" s="40">
        <f t="shared" ref="C394:C457" si="30">B394/B395-1</f>
        <v>-3.6792311157831548E-2</v>
      </c>
      <c r="D394" s="93">
        <v>18297</v>
      </c>
      <c r="E394" s="94">
        <f t="shared" ref="E394:E457" si="31">D394/D395-1</f>
        <v>-9.8825559238002736E-4</v>
      </c>
      <c r="F394" s="95">
        <v>12716.9</v>
      </c>
      <c r="G394" s="41">
        <f t="shared" si="29"/>
        <v>-1.5727103303442291E-5</v>
      </c>
    </row>
    <row r="395" spans="1:7">
      <c r="A395" s="92">
        <v>45056</v>
      </c>
      <c r="B395" s="90">
        <v>332.95</v>
      </c>
      <c r="C395" s="40">
        <f t="shared" si="30"/>
        <v>-6.860551826994854E-3</v>
      </c>
      <c r="D395" s="93">
        <v>18315.099999999999</v>
      </c>
      <c r="E395" s="94">
        <f t="shared" si="31"/>
        <v>2.6907990003255389E-3</v>
      </c>
      <c r="F395" s="95">
        <v>12716.7</v>
      </c>
      <c r="G395" s="41">
        <f t="shared" si="29"/>
        <v>-4.2149299739712154E-3</v>
      </c>
    </row>
    <row r="396" spans="1:7">
      <c r="A396" s="92">
        <v>45055</v>
      </c>
      <c r="B396" s="90">
        <v>335.25</v>
      </c>
      <c r="C396" s="40">
        <f t="shared" si="30"/>
        <v>1.7296313154301357E-2</v>
      </c>
      <c r="D396" s="93">
        <v>18265.95</v>
      </c>
      <c r="E396" s="94">
        <f t="shared" si="31"/>
        <v>8.4864545235596722E-5</v>
      </c>
      <c r="F396" s="95">
        <v>12663.1</v>
      </c>
      <c r="G396" s="41">
        <f t="shared" si="29"/>
        <v>-4.3235858518055892E-3</v>
      </c>
    </row>
    <row r="397" spans="1:7">
      <c r="A397" s="92">
        <v>45054</v>
      </c>
      <c r="B397" s="90">
        <v>329.55</v>
      </c>
      <c r="C397" s="40">
        <f t="shared" si="30"/>
        <v>4.1890610180208565E-2</v>
      </c>
      <c r="D397" s="93">
        <v>18264.400000000001</v>
      </c>
      <c r="E397" s="94">
        <f t="shared" si="31"/>
        <v>1.0814101499806439E-2</v>
      </c>
      <c r="F397" s="95">
        <v>12608.35</v>
      </c>
      <c r="G397" s="41">
        <f t="shared" si="29"/>
        <v>3.6721696336157184E-3</v>
      </c>
    </row>
    <row r="398" spans="1:7">
      <c r="A398" s="92">
        <v>45051</v>
      </c>
      <c r="B398" s="90">
        <v>316.3</v>
      </c>
      <c r="C398" s="40">
        <f t="shared" si="30"/>
        <v>-8.4639498432601545E-3</v>
      </c>
      <c r="D398" s="93">
        <v>18069</v>
      </c>
      <c r="E398" s="94">
        <f t="shared" si="31"/>
        <v>-1.0232364508813596E-2</v>
      </c>
      <c r="F398" s="95">
        <v>12654.65</v>
      </c>
      <c r="G398" s="41">
        <f t="shared" si="29"/>
        <v>-5.3616654747464798E-3</v>
      </c>
    </row>
    <row r="399" spans="1:7">
      <c r="A399" s="92">
        <v>45050</v>
      </c>
      <c r="B399" s="90">
        <v>319</v>
      </c>
      <c r="C399" s="40">
        <f t="shared" si="30"/>
        <v>-9.1629134958843839E-3</v>
      </c>
      <c r="D399" s="93">
        <v>18255.8</v>
      </c>
      <c r="E399" s="94">
        <f t="shared" si="31"/>
        <v>9.1736526284076358E-3</v>
      </c>
      <c r="F399" s="95">
        <v>12586.8</v>
      </c>
      <c r="G399" s="41">
        <f t="shared" si="29"/>
        <v>2.7806908825112053E-4</v>
      </c>
    </row>
    <row r="400" spans="1:7">
      <c r="A400" s="92">
        <v>45049</v>
      </c>
      <c r="B400" s="90">
        <v>321.95</v>
      </c>
      <c r="C400" s="40">
        <f t="shared" si="30"/>
        <v>3.1891025641025639E-2</v>
      </c>
      <c r="D400" s="93">
        <v>18089.849999999999</v>
      </c>
      <c r="E400" s="94">
        <f t="shared" si="31"/>
        <v>-3.1849853837826458E-3</v>
      </c>
      <c r="F400" s="95">
        <v>12590.3</v>
      </c>
      <c r="G400" s="41">
        <f t="shared" si="29"/>
        <v>1.8784302200902658E-3</v>
      </c>
    </row>
    <row r="401" spans="1:7">
      <c r="A401" s="92">
        <v>45048</v>
      </c>
      <c r="B401" s="90">
        <v>312</v>
      </c>
      <c r="C401" s="40">
        <f t="shared" si="30"/>
        <v>1.4964216005205033E-2</v>
      </c>
      <c r="D401" s="93">
        <v>18147.650000000001</v>
      </c>
      <c r="E401" s="94">
        <f t="shared" si="31"/>
        <v>4.5751453086078087E-3</v>
      </c>
      <c r="F401" s="95">
        <v>12613.95</v>
      </c>
      <c r="G401" s="41">
        <f t="shared" si="29"/>
        <v>-7.4996333424502959E-3</v>
      </c>
    </row>
    <row r="402" spans="1:7">
      <c r="A402" s="92">
        <v>45044</v>
      </c>
      <c r="B402" s="90">
        <v>307.39999999999998</v>
      </c>
      <c r="C402" s="40">
        <f t="shared" si="30"/>
        <v>3.8513513513513509E-2</v>
      </c>
      <c r="D402" s="93">
        <v>18065</v>
      </c>
      <c r="E402" s="94">
        <f t="shared" si="31"/>
        <v>8.3700575772884811E-3</v>
      </c>
      <c r="F402" s="95">
        <v>12519.35</v>
      </c>
      <c r="G402" s="41">
        <f t="shared" si="29"/>
        <v>-4.9123956115932899E-3</v>
      </c>
    </row>
    <row r="403" spans="1:7">
      <c r="A403" s="92">
        <v>45043</v>
      </c>
      <c r="B403" s="90">
        <v>296</v>
      </c>
      <c r="C403" s="40">
        <f t="shared" si="30"/>
        <v>-1.2839753209938354E-2</v>
      </c>
      <c r="D403" s="93">
        <v>17915.05</v>
      </c>
      <c r="E403" s="94">
        <f t="shared" si="31"/>
        <v>5.6950868998968396E-3</v>
      </c>
      <c r="F403" s="95">
        <v>12457.85</v>
      </c>
      <c r="G403" s="41">
        <f t="shared" si="29"/>
        <v>-1.0033834088551963E-4</v>
      </c>
    </row>
    <row r="404" spans="1:7">
      <c r="A404" s="92">
        <v>45042</v>
      </c>
      <c r="B404" s="90">
        <v>299.85000000000002</v>
      </c>
      <c r="C404" s="40">
        <f t="shared" si="30"/>
        <v>1.5236160487557049E-2</v>
      </c>
      <c r="D404" s="93">
        <v>17813.599999999999</v>
      </c>
      <c r="E404" s="94">
        <f t="shared" si="31"/>
        <v>2.4958847447134058E-3</v>
      </c>
      <c r="F404" s="95">
        <v>12456.6</v>
      </c>
      <c r="G404" s="41">
        <f t="shared" si="29"/>
        <v>-1.8062713742117431E-4</v>
      </c>
    </row>
    <row r="405" spans="1:7">
      <c r="A405" s="92">
        <v>45041</v>
      </c>
      <c r="B405" s="90">
        <v>295.35000000000002</v>
      </c>
      <c r="C405" s="40">
        <f t="shared" si="30"/>
        <v>-9.5573440643862417E-3</v>
      </c>
      <c r="D405" s="93">
        <v>17769.25</v>
      </c>
      <c r="E405" s="94">
        <f t="shared" si="31"/>
        <v>1.4568797411995682E-3</v>
      </c>
      <c r="F405" s="95">
        <v>12454.35</v>
      </c>
      <c r="G405" s="41">
        <f t="shared" si="29"/>
        <v>7.3388013023560905E-3</v>
      </c>
    </row>
    <row r="406" spans="1:7">
      <c r="A406" s="92">
        <v>45040</v>
      </c>
      <c r="B406" s="90">
        <v>298.2</v>
      </c>
      <c r="C406" s="40">
        <f t="shared" si="30"/>
        <v>-1.5841584158415856E-2</v>
      </c>
      <c r="D406" s="93">
        <v>17743.400000000001</v>
      </c>
      <c r="E406" s="94">
        <f t="shared" si="31"/>
        <v>6.7719962210730511E-3</v>
      </c>
      <c r="F406" s="95">
        <v>12545.75</v>
      </c>
      <c r="G406" s="41">
        <f t="shared" si="29"/>
        <v>-4.8223501982742611E-3</v>
      </c>
    </row>
    <row r="407" spans="1:7">
      <c r="A407" s="92">
        <v>45037</v>
      </c>
      <c r="B407" s="90">
        <v>303</v>
      </c>
      <c r="C407" s="40">
        <f t="shared" si="30"/>
        <v>-1.2868545365694706E-2</v>
      </c>
      <c r="D407" s="93">
        <v>17624.05</v>
      </c>
      <c r="E407" s="94">
        <f t="shared" si="31"/>
        <v>-2.2695743697065396E-5</v>
      </c>
      <c r="F407" s="95">
        <v>12485.25</v>
      </c>
      <c r="G407" s="41">
        <f t="shared" si="29"/>
        <v>1.1217236338879832E-2</v>
      </c>
    </row>
    <row r="408" spans="1:7">
      <c r="A408" s="92">
        <v>45036</v>
      </c>
      <c r="B408" s="90">
        <v>306.95</v>
      </c>
      <c r="C408" s="40">
        <f t="shared" si="30"/>
        <v>-1.4606741573033766E-2</v>
      </c>
      <c r="D408" s="93">
        <v>17624.45</v>
      </c>
      <c r="E408" s="94">
        <f t="shared" si="31"/>
        <v>3.2351897836124799E-4</v>
      </c>
      <c r="F408" s="95">
        <v>12625.3</v>
      </c>
      <c r="G408" s="41">
        <f t="shared" si="29"/>
        <v>-1.4217483940974773E-3</v>
      </c>
    </row>
    <row r="409" spans="1:7">
      <c r="A409" s="92">
        <v>45035</v>
      </c>
      <c r="B409" s="90">
        <v>311.5</v>
      </c>
      <c r="C409" s="40">
        <f t="shared" si="30"/>
        <v>6.4620355411955099E-3</v>
      </c>
      <c r="D409" s="93">
        <v>17618.75</v>
      </c>
      <c r="E409" s="94">
        <f t="shared" si="31"/>
        <v>-2.3442609490860189E-3</v>
      </c>
      <c r="F409" s="95">
        <v>12607.35</v>
      </c>
      <c r="G409" s="41">
        <f t="shared" si="29"/>
        <v>-1.6161207549564294E-2</v>
      </c>
    </row>
    <row r="410" spans="1:7">
      <c r="A410" s="92">
        <v>45034</v>
      </c>
      <c r="B410" s="90">
        <v>309.5</v>
      </c>
      <c r="C410" s="40">
        <f t="shared" si="30"/>
        <v>1.6921307704944821E-2</v>
      </c>
      <c r="D410" s="93">
        <v>17660.150000000001</v>
      </c>
      <c r="E410" s="94">
        <f t="shared" si="31"/>
        <v>-2.6373973914048943E-3</v>
      </c>
      <c r="F410" s="95">
        <v>12403.6</v>
      </c>
      <c r="G410" s="41">
        <f t="shared" si="29"/>
        <v>6.0708181495694458E-3</v>
      </c>
    </row>
    <row r="411" spans="1:7">
      <c r="A411" s="92">
        <v>45033</v>
      </c>
      <c r="B411" s="90">
        <v>304.35000000000002</v>
      </c>
      <c r="C411" s="40">
        <f t="shared" si="30"/>
        <v>-3.0423701815864734E-2</v>
      </c>
      <c r="D411" s="93">
        <v>17706.849999999999</v>
      </c>
      <c r="E411" s="94">
        <f t="shared" si="31"/>
        <v>-6.7954902400718664E-3</v>
      </c>
      <c r="F411" s="95">
        <v>12478.9</v>
      </c>
      <c r="G411" s="41">
        <f t="shared" si="29"/>
        <v>7.6368910721298366E-3</v>
      </c>
    </row>
    <row r="412" spans="1:7">
      <c r="A412" s="92">
        <v>45029</v>
      </c>
      <c r="B412" s="90">
        <v>313.89999999999998</v>
      </c>
      <c r="C412" s="40">
        <f t="shared" si="30"/>
        <v>-2.9375386518243674E-2</v>
      </c>
      <c r="D412" s="93">
        <v>17828</v>
      </c>
      <c r="E412" s="94">
        <f t="shared" si="31"/>
        <v>8.7579439042451135E-4</v>
      </c>
      <c r="F412" s="95">
        <v>12574.2</v>
      </c>
      <c r="G412" s="41">
        <f t="shared" si="29"/>
        <v>-2.1806556281910638E-2</v>
      </c>
    </row>
    <row r="413" spans="1:7">
      <c r="A413" s="92">
        <v>45028</v>
      </c>
      <c r="B413" s="90">
        <v>323.39999999999998</v>
      </c>
      <c r="C413" s="40">
        <f t="shared" si="30"/>
        <v>7.2103431128791584E-2</v>
      </c>
      <c r="D413" s="93">
        <v>17812.400000000001</v>
      </c>
      <c r="E413" s="94">
        <f t="shared" si="31"/>
        <v>5.083990227002344E-3</v>
      </c>
      <c r="F413" s="95">
        <v>12300</v>
      </c>
      <c r="G413" s="41">
        <f t="shared" si="29"/>
        <v>-1.016260162601812E-4</v>
      </c>
    </row>
    <row r="414" spans="1:7">
      <c r="A414" s="92">
        <v>45027</v>
      </c>
      <c r="B414" s="90">
        <v>301.64999999999998</v>
      </c>
      <c r="C414" s="40">
        <f t="shared" si="30"/>
        <v>-9.1969124651010148E-3</v>
      </c>
      <c r="D414" s="93">
        <v>17722.3</v>
      </c>
      <c r="E414" s="94">
        <f t="shared" si="31"/>
        <v>5.5747685690858972E-3</v>
      </c>
      <c r="F414" s="95">
        <v>12298.75</v>
      </c>
      <c r="G414" s="41">
        <f t="shared" si="29"/>
        <v>-1.9839414574651659E-3</v>
      </c>
    </row>
    <row r="415" spans="1:7">
      <c r="A415" s="92">
        <v>45026</v>
      </c>
      <c r="B415" s="90">
        <v>304.45</v>
      </c>
      <c r="C415" s="40">
        <f t="shared" si="30"/>
        <v>1.3155730965301871E-3</v>
      </c>
      <c r="D415" s="93">
        <v>17624.05</v>
      </c>
      <c r="E415" s="94">
        <f t="shared" si="31"/>
        <v>1.4148410576646508E-3</v>
      </c>
      <c r="F415" s="95">
        <v>12274.35</v>
      </c>
      <c r="G415" s="41">
        <f t="shared" si="29"/>
        <v>-7.5360406050014594E-3</v>
      </c>
    </row>
    <row r="416" spans="1:7">
      <c r="A416" s="92">
        <v>45022</v>
      </c>
      <c r="B416" s="90">
        <v>304.05</v>
      </c>
      <c r="C416" s="40">
        <f t="shared" si="30"/>
        <v>-4.7463175122749446E-3</v>
      </c>
      <c r="D416" s="93">
        <v>17599.150000000001</v>
      </c>
      <c r="E416" s="94">
        <f t="shared" si="31"/>
        <v>2.3978971410345551E-3</v>
      </c>
      <c r="F416" s="95">
        <v>12181.85</v>
      </c>
      <c r="G416" s="41">
        <f t="shared" si="29"/>
        <v>-9.3499755784219873E-3</v>
      </c>
    </row>
    <row r="417" spans="1:7">
      <c r="A417" s="92">
        <v>45021</v>
      </c>
      <c r="B417" s="90">
        <v>305.5</v>
      </c>
      <c r="C417" s="40">
        <f t="shared" si="30"/>
        <v>9.8296199213643298E-4</v>
      </c>
      <c r="D417" s="93">
        <v>17557.05</v>
      </c>
      <c r="E417" s="94">
        <f t="shared" si="31"/>
        <v>9.1389552277409969E-3</v>
      </c>
      <c r="F417" s="95">
        <v>12067.95</v>
      </c>
      <c r="G417" s="41">
        <f t="shared" si="29"/>
        <v>-4.217783467780456E-3</v>
      </c>
    </row>
    <row r="418" spans="1:7">
      <c r="A418" s="92">
        <v>45019</v>
      </c>
      <c r="B418" s="90">
        <v>305.2</v>
      </c>
      <c r="C418" s="40">
        <f t="shared" si="30"/>
        <v>4.5205479452054664E-2</v>
      </c>
      <c r="D418" s="93">
        <v>17398.05</v>
      </c>
      <c r="E418" s="94">
        <f t="shared" si="31"/>
        <v>2.2062529702329137E-3</v>
      </c>
      <c r="F418" s="95">
        <v>12017.05</v>
      </c>
      <c r="G418" s="41">
        <f t="shared" si="29"/>
        <v>-6.203685596714581E-3</v>
      </c>
    </row>
    <row r="419" spans="1:7">
      <c r="A419" s="92">
        <v>45016</v>
      </c>
      <c r="B419" s="90">
        <v>292</v>
      </c>
      <c r="C419" s="40">
        <f t="shared" si="30"/>
        <v>-1.6006739679865212E-2</v>
      </c>
      <c r="D419" s="93">
        <v>17359.75</v>
      </c>
      <c r="E419" s="94">
        <f t="shared" si="31"/>
        <v>1.6337152458622883E-2</v>
      </c>
      <c r="F419" s="95">
        <v>11942.5</v>
      </c>
      <c r="G419" s="41">
        <f t="shared" si="29"/>
        <v>-5.8028051078081733E-3</v>
      </c>
    </row>
    <row r="420" spans="1:7">
      <c r="A420" s="92">
        <v>45014</v>
      </c>
      <c r="B420" s="90">
        <v>296.75</v>
      </c>
      <c r="C420" s="40">
        <f t="shared" si="30"/>
        <v>2.6816608996539815E-2</v>
      </c>
      <c r="D420" s="93">
        <v>17080.7</v>
      </c>
      <c r="E420" s="94">
        <f t="shared" si="31"/>
        <v>7.6098562386073265E-3</v>
      </c>
      <c r="F420" s="95">
        <v>11873.2</v>
      </c>
      <c r="G420" s="41">
        <f t="shared" si="29"/>
        <v>8.0433244618127731E-4</v>
      </c>
    </row>
    <row r="421" spans="1:7">
      <c r="A421" s="92">
        <v>45013</v>
      </c>
      <c r="B421" s="90">
        <v>289</v>
      </c>
      <c r="C421" s="40">
        <f t="shared" si="30"/>
        <v>-2.6936026936026924E-2</v>
      </c>
      <c r="D421" s="93">
        <v>16951.7</v>
      </c>
      <c r="E421" s="94">
        <f t="shared" si="31"/>
        <v>-2.0016837692883316E-3</v>
      </c>
      <c r="F421" s="95">
        <v>11882.75</v>
      </c>
      <c r="G421" s="41">
        <f t="shared" si="29"/>
        <v>-1.072142391281472E-2</v>
      </c>
    </row>
    <row r="422" spans="1:7">
      <c r="A422" s="92">
        <v>45012</v>
      </c>
      <c r="B422" s="90">
        <v>297</v>
      </c>
      <c r="C422" s="40">
        <f t="shared" si="30"/>
        <v>-6.3566410170624588E-3</v>
      </c>
      <c r="D422" s="93">
        <v>16985.7</v>
      </c>
      <c r="E422" s="94">
        <f t="shared" si="31"/>
        <v>2.3989306611666983E-3</v>
      </c>
      <c r="F422" s="95">
        <v>11755.35</v>
      </c>
      <c r="G422" s="41">
        <f t="shared" si="29"/>
        <v>2.169225076241954E-3</v>
      </c>
    </row>
    <row r="423" spans="1:7">
      <c r="A423" s="92">
        <v>45009</v>
      </c>
      <c r="B423" s="90">
        <v>298.89999999999998</v>
      </c>
      <c r="C423" s="40">
        <f t="shared" si="30"/>
        <v>-1.5156507413509157E-2</v>
      </c>
      <c r="D423" s="93">
        <v>16945.05</v>
      </c>
      <c r="E423" s="94">
        <f t="shared" si="31"/>
        <v>-7.7209563796709624E-3</v>
      </c>
      <c r="F423" s="95">
        <v>11780.85</v>
      </c>
      <c r="G423" s="41">
        <f t="shared" si="29"/>
        <v>-2.2197040111706645E-3</v>
      </c>
    </row>
    <row r="424" spans="1:7">
      <c r="A424" s="92">
        <v>45008</v>
      </c>
      <c r="B424" s="90">
        <v>303.5</v>
      </c>
      <c r="C424" s="40">
        <f t="shared" si="30"/>
        <v>-5.2441822353327394E-3</v>
      </c>
      <c r="D424" s="93">
        <v>17076.900000000001</v>
      </c>
      <c r="E424" s="94">
        <f t="shared" si="31"/>
        <v>-4.3726934042292998E-3</v>
      </c>
      <c r="F424" s="95">
        <v>11754.7</v>
      </c>
      <c r="G424" s="41">
        <f t="shared" si="29"/>
        <v>-1.0289501220788311E-2</v>
      </c>
    </row>
    <row r="425" spans="1:7">
      <c r="A425" s="92">
        <v>45007</v>
      </c>
      <c r="B425" s="90">
        <v>305.10000000000002</v>
      </c>
      <c r="C425" s="40">
        <f t="shared" si="30"/>
        <v>-1.4727540500736325E-3</v>
      </c>
      <c r="D425" s="93">
        <v>17151.900000000001</v>
      </c>
      <c r="E425" s="94">
        <f t="shared" si="31"/>
        <v>2.5953529153881494E-3</v>
      </c>
      <c r="F425" s="95">
        <v>11633.75</v>
      </c>
      <c r="G425" s="41">
        <f t="shared" si="29"/>
        <v>2.540023638121891E-3</v>
      </c>
    </row>
    <row r="426" spans="1:7">
      <c r="A426" s="92">
        <v>45006</v>
      </c>
      <c r="B426" s="90">
        <v>305.55</v>
      </c>
      <c r="C426" s="40">
        <f t="shared" si="30"/>
        <v>1.1754966887417284E-2</v>
      </c>
      <c r="D426" s="93">
        <v>17107.5</v>
      </c>
      <c r="E426" s="94">
        <f t="shared" si="31"/>
        <v>7.0106661015751914E-3</v>
      </c>
      <c r="F426" s="95">
        <v>11663.3</v>
      </c>
      <c r="G426" s="41">
        <f t="shared" si="29"/>
        <v>1.1017465039910856E-3</v>
      </c>
    </row>
    <row r="427" spans="1:7">
      <c r="A427" s="92">
        <v>45005</v>
      </c>
      <c r="B427" s="90">
        <v>302</v>
      </c>
      <c r="C427" s="40">
        <f t="shared" si="30"/>
        <v>3.3123550844660343E-4</v>
      </c>
      <c r="D427" s="93">
        <v>16988.400000000001</v>
      </c>
      <c r="E427" s="94">
        <f t="shared" si="31"/>
        <v>-6.5292206747932235E-3</v>
      </c>
      <c r="F427" s="95">
        <v>11676.15</v>
      </c>
      <c r="G427" s="41">
        <f t="shared" si="29"/>
        <v>5.7424750452848006E-3</v>
      </c>
    </row>
    <row r="428" spans="1:7">
      <c r="A428" s="92">
        <v>45002</v>
      </c>
      <c r="B428" s="90">
        <v>301.89999999999998</v>
      </c>
      <c r="C428" s="40">
        <f t="shared" si="30"/>
        <v>-1.3721006207122022E-2</v>
      </c>
      <c r="D428" s="93">
        <v>17100.05</v>
      </c>
      <c r="E428" s="94">
        <f t="shared" si="31"/>
        <v>6.7380604747551143E-3</v>
      </c>
      <c r="F428" s="95">
        <v>11743.2</v>
      </c>
      <c r="G428" s="41">
        <f t="shared" si="29"/>
        <v>-9.3032563526125323E-3</v>
      </c>
    </row>
    <row r="429" spans="1:7">
      <c r="A429" s="92">
        <v>45001</v>
      </c>
      <c r="B429" s="90">
        <v>306.10000000000002</v>
      </c>
      <c r="C429" s="40">
        <f t="shared" si="30"/>
        <v>3.6065573770491799E-3</v>
      </c>
      <c r="D429" s="93">
        <v>16985.599999999999</v>
      </c>
      <c r="E429" s="94">
        <f t="shared" si="31"/>
        <v>7.9247473066157426E-4</v>
      </c>
      <c r="F429" s="95">
        <v>11633.95</v>
      </c>
      <c r="G429" s="41">
        <f t="shared" si="29"/>
        <v>-3.0943918445583973E-3</v>
      </c>
    </row>
    <row r="430" spans="1:7">
      <c r="A430" s="92">
        <v>45000</v>
      </c>
      <c r="B430" s="90">
        <v>305</v>
      </c>
      <c r="C430" s="40">
        <f t="shared" si="30"/>
        <v>-8.1900081900077026E-4</v>
      </c>
      <c r="D430" s="93">
        <v>16972.150000000001</v>
      </c>
      <c r="E430" s="94">
        <f t="shared" si="31"/>
        <v>-4.1746610104849147E-3</v>
      </c>
      <c r="F430" s="95">
        <v>11597.95</v>
      </c>
      <c r="G430" s="41">
        <f t="shared" si="29"/>
        <v>-5.1733280450494412E-5</v>
      </c>
    </row>
    <row r="431" spans="1:7">
      <c r="A431" s="92">
        <v>44999</v>
      </c>
      <c r="B431" s="90">
        <v>305.25</v>
      </c>
      <c r="C431" s="40">
        <f t="shared" si="30"/>
        <v>2.4630541871921707E-3</v>
      </c>
      <c r="D431" s="93">
        <v>17043.3</v>
      </c>
      <c r="E431" s="94">
        <f t="shared" si="31"/>
        <v>-6.4706808205522437E-3</v>
      </c>
      <c r="F431" s="95">
        <v>11597.35</v>
      </c>
      <c r="G431" s="41">
        <f t="shared" si="29"/>
        <v>7.467223115625643E-3</v>
      </c>
    </row>
    <row r="432" spans="1:7">
      <c r="A432" s="92">
        <v>44998</v>
      </c>
      <c r="B432" s="90">
        <v>304.5</v>
      </c>
      <c r="C432" s="40">
        <f t="shared" si="30"/>
        <v>-1.5359741309620034E-2</v>
      </c>
      <c r="D432" s="93">
        <v>17154.3</v>
      </c>
      <c r="E432" s="94">
        <f t="shared" si="31"/>
        <v>-1.4851058697862074E-2</v>
      </c>
      <c r="F432" s="95">
        <v>11683.95</v>
      </c>
      <c r="G432" s="41">
        <f t="shared" si="29"/>
        <v>1.407914275565858E-3</v>
      </c>
    </row>
    <row r="433" spans="1:7">
      <c r="A433" s="92">
        <v>44995</v>
      </c>
      <c r="B433" s="90">
        <v>309.25</v>
      </c>
      <c r="C433" s="40">
        <f t="shared" si="30"/>
        <v>-1.606745147947819E-2</v>
      </c>
      <c r="D433" s="93">
        <v>17412.900000000001</v>
      </c>
      <c r="E433" s="94">
        <f t="shared" si="31"/>
        <v>-1.0045708827943645E-2</v>
      </c>
      <c r="F433" s="95">
        <v>11700.4</v>
      </c>
      <c r="G433" s="41">
        <f t="shared" si="29"/>
        <v>4.2519913849099478E-3</v>
      </c>
    </row>
    <row r="434" spans="1:7">
      <c r="A434" s="92">
        <v>44994</v>
      </c>
      <c r="B434" s="90">
        <v>314.3</v>
      </c>
      <c r="C434" s="40">
        <f t="shared" si="30"/>
        <v>-6.3231109705975674E-3</v>
      </c>
      <c r="D434" s="93">
        <v>17589.599999999999</v>
      </c>
      <c r="E434" s="94">
        <f t="shared" si="31"/>
        <v>-9.2822061010230383E-3</v>
      </c>
      <c r="F434" s="95">
        <v>11750.15</v>
      </c>
      <c r="G434" s="41">
        <f t="shared" si="29"/>
        <v>4.9148308744995095E-3</v>
      </c>
    </row>
    <row r="435" spans="1:7">
      <c r="A435" s="92">
        <v>44993</v>
      </c>
      <c r="B435" s="90">
        <v>316.3</v>
      </c>
      <c r="C435" s="40">
        <f t="shared" si="30"/>
        <v>-1.341235184029943E-2</v>
      </c>
      <c r="D435" s="93">
        <v>17754.400000000001</v>
      </c>
      <c r="E435" s="94">
        <f t="shared" si="31"/>
        <v>2.4249849673516621E-3</v>
      </c>
      <c r="F435" s="95">
        <v>11807.9</v>
      </c>
      <c r="G435" s="41">
        <f t="shared" si="29"/>
        <v>-2.210384573040125E-3</v>
      </c>
    </row>
    <row r="436" spans="1:7">
      <c r="A436" s="92">
        <v>44991</v>
      </c>
      <c r="B436" s="90">
        <v>320.60000000000002</v>
      </c>
      <c r="C436" s="40">
        <f t="shared" si="30"/>
        <v>2.9709330335635054E-2</v>
      </c>
      <c r="D436" s="93">
        <v>17711.45</v>
      </c>
      <c r="E436" s="94">
        <f t="shared" si="31"/>
        <v>6.6555456723325079E-3</v>
      </c>
      <c r="F436" s="95">
        <v>11781.8</v>
      </c>
      <c r="G436" s="41">
        <f t="shared" si="29"/>
        <v>-1.7569471557825622E-3</v>
      </c>
    </row>
    <row r="437" spans="1:7">
      <c r="A437" s="92">
        <v>44988</v>
      </c>
      <c r="B437" s="90">
        <v>311.35000000000002</v>
      </c>
      <c r="C437" s="40">
        <f t="shared" si="30"/>
        <v>1.4830508474576343E-2</v>
      </c>
      <c r="D437" s="93">
        <v>17594.349999999999</v>
      </c>
      <c r="E437" s="94">
        <f t="shared" si="31"/>
        <v>1.5728644086387522E-2</v>
      </c>
      <c r="F437" s="95">
        <v>11761.1</v>
      </c>
      <c r="G437" s="41">
        <f t="shared" si="29"/>
        <v>2.9759121170647163E-4</v>
      </c>
    </row>
    <row r="438" spans="1:7">
      <c r="A438" s="92">
        <v>44987</v>
      </c>
      <c r="B438" s="90">
        <v>306.8</v>
      </c>
      <c r="C438" s="40">
        <f t="shared" si="30"/>
        <v>-2.40178145379355E-2</v>
      </c>
      <c r="D438" s="93">
        <v>17321.900000000001</v>
      </c>
      <c r="E438" s="94">
        <f t="shared" si="31"/>
        <v>-7.3921688852723877E-3</v>
      </c>
      <c r="F438" s="95">
        <v>11764.6</v>
      </c>
      <c r="G438" s="41">
        <f t="shared" si="29"/>
        <v>-1.4875133876205426E-3</v>
      </c>
    </row>
    <row r="439" spans="1:7">
      <c r="A439" s="92">
        <v>44986</v>
      </c>
      <c r="B439" s="90">
        <v>314.35000000000002</v>
      </c>
      <c r="C439" s="40">
        <f t="shared" si="30"/>
        <v>1.1146496815286344E-3</v>
      </c>
      <c r="D439" s="93">
        <v>17450.900000000001</v>
      </c>
      <c r="E439" s="94">
        <f t="shared" si="31"/>
        <v>8.4922806642413473E-3</v>
      </c>
      <c r="F439" s="95">
        <v>11747.1</v>
      </c>
      <c r="G439" s="41">
        <f t="shared" si="29"/>
        <v>1.3228796894552586E-2</v>
      </c>
    </row>
    <row r="440" spans="1:7">
      <c r="A440" s="92">
        <v>44985</v>
      </c>
      <c r="B440" s="90">
        <v>314</v>
      </c>
      <c r="C440" s="40">
        <f t="shared" si="30"/>
        <v>-4.1230574056454472E-3</v>
      </c>
      <c r="D440" s="93">
        <v>17303.95</v>
      </c>
      <c r="E440" s="94">
        <f t="shared" si="31"/>
        <v>-5.1027155070805241E-3</v>
      </c>
      <c r="F440" s="95">
        <v>11902.5</v>
      </c>
      <c r="G440" s="41">
        <f t="shared" si="29"/>
        <v>7.8722957361898604E-3</v>
      </c>
    </row>
    <row r="441" spans="1:7">
      <c r="A441" s="92">
        <v>44984</v>
      </c>
      <c r="B441" s="90">
        <v>315.3</v>
      </c>
      <c r="C441" s="40">
        <f t="shared" si="30"/>
        <v>-5.989911727616537E-3</v>
      </c>
      <c r="D441" s="93">
        <v>17392.7</v>
      </c>
      <c r="E441" s="94">
        <f t="shared" si="31"/>
        <v>-4.1853221724741374E-3</v>
      </c>
      <c r="F441" s="95">
        <v>11996.2</v>
      </c>
      <c r="G441" s="41">
        <f t="shared" si="29"/>
        <v>-2.3340724562778137E-3</v>
      </c>
    </row>
    <row r="442" spans="1:7">
      <c r="A442" s="92">
        <v>44981</v>
      </c>
      <c r="B442" s="90">
        <v>317.2</v>
      </c>
      <c r="C442" s="40">
        <f t="shared" si="30"/>
        <v>1.4206787687449651E-3</v>
      </c>
      <c r="D442" s="93">
        <v>17465.8</v>
      </c>
      <c r="E442" s="94">
        <f t="shared" si="31"/>
        <v>-2.5954743379256184E-3</v>
      </c>
      <c r="F442" s="95">
        <v>11968.2</v>
      </c>
      <c r="G442" s="41">
        <f t="shared" si="29"/>
        <v>1.9760699186175401E-3</v>
      </c>
    </row>
    <row r="443" spans="1:7">
      <c r="A443" s="92">
        <v>44980</v>
      </c>
      <c r="B443" s="90">
        <v>316.75</v>
      </c>
      <c r="C443" s="40">
        <f t="shared" si="30"/>
        <v>-2.3622047244094002E-3</v>
      </c>
      <c r="D443" s="93">
        <v>17511.25</v>
      </c>
      <c r="E443" s="94">
        <f t="shared" si="31"/>
        <v>-2.4523905823643499E-3</v>
      </c>
      <c r="F443" s="95">
        <v>11991.85</v>
      </c>
      <c r="G443" s="41">
        <f t="shared" si="29"/>
        <v>2.3057326434203773E-3</v>
      </c>
    </row>
    <row r="444" spans="1:7">
      <c r="A444" s="92">
        <v>44979</v>
      </c>
      <c r="B444" s="90">
        <v>317.5</v>
      </c>
      <c r="C444" s="40">
        <f t="shared" si="30"/>
        <v>-2.8754970939125046E-2</v>
      </c>
      <c r="D444" s="93">
        <v>17554.3</v>
      </c>
      <c r="E444" s="94">
        <f t="shared" si="31"/>
        <v>-1.528045011134993E-2</v>
      </c>
      <c r="F444" s="95">
        <v>12019.5</v>
      </c>
      <c r="G444" s="41">
        <f t="shared" si="29"/>
        <v>2.9868130953867311E-3</v>
      </c>
    </row>
    <row r="445" spans="1:7">
      <c r="A445" s="92">
        <v>44978</v>
      </c>
      <c r="B445" s="90">
        <v>326.89999999999998</v>
      </c>
      <c r="C445" s="40">
        <f t="shared" si="30"/>
        <v>-1.3281014186537932E-2</v>
      </c>
      <c r="D445" s="93">
        <v>17826.7</v>
      </c>
      <c r="E445" s="94">
        <f t="shared" si="31"/>
        <v>-1.0031045806573324E-3</v>
      </c>
      <c r="F445" s="95">
        <v>12055.4</v>
      </c>
      <c r="G445" s="41">
        <f t="shared" si="29"/>
        <v>8.183054896560904E-3</v>
      </c>
    </row>
    <row r="446" spans="1:7">
      <c r="A446" s="92">
        <v>44977</v>
      </c>
      <c r="B446" s="90">
        <v>331.3</v>
      </c>
      <c r="C446" s="40">
        <f t="shared" si="30"/>
        <v>8.3701110942018264E-3</v>
      </c>
      <c r="D446" s="93">
        <v>17844.599999999999</v>
      </c>
      <c r="E446" s="94">
        <f t="shared" si="31"/>
        <v>-5.5505400073562194E-3</v>
      </c>
      <c r="F446" s="95">
        <v>12154.05</v>
      </c>
      <c r="G446" s="41">
        <f t="shared" si="29"/>
        <v>1.1893154956578389E-2</v>
      </c>
    </row>
    <row r="447" spans="1:7">
      <c r="A447" s="92">
        <v>44974</v>
      </c>
      <c r="B447" s="90">
        <v>328.55</v>
      </c>
      <c r="C447" s="40">
        <f t="shared" si="30"/>
        <v>-1.9253731343283564E-2</v>
      </c>
      <c r="D447" s="93">
        <v>17944.2</v>
      </c>
      <c r="E447" s="94">
        <f t="shared" si="31"/>
        <v>-5.0815459210404867E-3</v>
      </c>
      <c r="F447" s="95">
        <v>12298.6</v>
      </c>
      <c r="G447" s="41">
        <f t="shared" si="29"/>
        <v>-5.0005691704746447E-3</v>
      </c>
    </row>
    <row r="448" spans="1:7">
      <c r="A448" s="92">
        <v>44973</v>
      </c>
      <c r="B448" s="90">
        <v>335</v>
      </c>
      <c r="C448" s="40">
        <f t="shared" si="30"/>
        <v>2.3937761819270431E-3</v>
      </c>
      <c r="D448" s="93">
        <v>18035.849999999999</v>
      </c>
      <c r="E448" s="94">
        <f t="shared" si="31"/>
        <v>1.1101335768226583E-3</v>
      </c>
      <c r="F448" s="95">
        <v>12237.1</v>
      </c>
      <c r="G448" s="41">
        <f t="shared" si="29"/>
        <v>9.5610888200625688E-4</v>
      </c>
    </row>
    <row r="449" spans="1:7">
      <c r="A449" s="92">
        <v>44972</v>
      </c>
      <c r="B449" s="90">
        <v>334.2</v>
      </c>
      <c r="C449" s="40">
        <f t="shared" si="30"/>
        <v>9.6676737160119597E-3</v>
      </c>
      <c r="D449" s="93">
        <v>18015.849999999999</v>
      </c>
      <c r="E449" s="94">
        <f t="shared" si="31"/>
        <v>4.7964706899388254E-3</v>
      </c>
      <c r="F449" s="95">
        <v>12248.8</v>
      </c>
      <c r="G449" s="41">
        <f t="shared" si="29"/>
        <v>1.5756645548952175E-3</v>
      </c>
    </row>
    <row r="450" spans="1:7">
      <c r="A450" s="92">
        <v>44971</v>
      </c>
      <c r="B450" s="90">
        <v>331</v>
      </c>
      <c r="C450" s="40">
        <f t="shared" si="30"/>
        <v>-6.0060060060059817E-3</v>
      </c>
      <c r="D450" s="93">
        <v>17929.849999999999</v>
      </c>
      <c r="E450" s="94">
        <f t="shared" si="31"/>
        <v>8.9443978639234256E-3</v>
      </c>
      <c r="F450" s="95">
        <v>12268.1</v>
      </c>
      <c r="G450" s="41">
        <f t="shared" si="29"/>
        <v>4.8010694402556009E-3</v>
      </c>
    </row>
    <row r="451" spans="1:7">
      <c r="A451" s="92">
        <v>44970</v>
      </c>
      <c r="B451" s="90">
        <v>333</v>
      </c>
      <c r="C451" s="40">
        <f t="shared" si="30"/>
        <v>-1.9867549668874163E-2</v>
      </c>
      <c r="D451" s="93">
        <v>17770.900000000001</v>
      </c>
      <c r="E451" s="94">
        <f t="shared" si="31"/>
        <v>-4.7937725758125938E-3</v>
      </c>
      <c r="F451" s="95">
        <v>12327</v>
      </c>
      <c r="G451" s="41">
        <f t="shared" si="29"/>
        <v>-1.9875070982395826E-3</v>
      </c>
    </row>
    <row r="452" spans="1:7">
      <c r="A452" s="92">
        <v>44967</v>
      </c>
      <c r="B452" s="90">
        <v>339.75</v>
      </c>
      <c r="C452" s="40">
        <f t="shared" si="30"/>
        <v>7.3637702503681624E-4</v>
      </c>
      <c r="D452" s="93">
        <v>17856.5</v>
      </c>
      <c r="E452" s="94">
        <f t="shared" si="31"/>
        <v>-2.0650014390740656E-3</v>
      </c>
      <c r="F452" s="95">
        <v>12302.5</v>
      </c>
      <c r="G452" s="41">
        <f t="shared" si="29"/>
        <v>4.4543791912212694E-3</v>
      </c>
    </row>
    <row r="453" spans="1:7">
      <c r="A453" s="92">
        <v>44966</v>
      </c>
      <c r="B453" s="90">
        <v>339.5</v>
      </c>
      <c r="C453" s="40">
        <f t="shared" si="30"/>
        <v>-4.4163109082873131E-4</v>
      </c>
      <c r="D453" s="93">
        <v>17893.45</v>
      </c>
      <c r="E453" s="94">
        <f t="shared" si="31"/>
        <v>1.2170078951638796E-3</v>
      </c>
      <c r="F453" s="95">
        <v>12357.3</v>
      </c>
      <c r="G453" s="41">
        <f t="shared" si="29"/>
        <v>-1.3425262800126236E-2</v>
      </c>
    </row>
    <row r="454" spans="1:7">
      <c r="A454" s="92">
        <v>44965</v>
      </c>
      <c r="B454" s="90">
        <v>339.65</v>
      </c>
      <c r="C454" s="40">
        <f t="shared" si="30"/>
        <v>2.7219113866626454E-2</v>
      </c>
      <c r="D454" s="93">
        <v>17871.7</v>
      </c>
      <c r="E454" s="94">
        <f t="shared" si="31"/>
        <v>8.475580509550662E-3</v>
      </c>
      <c r="F454" s="95">
        <v>12191.4</v>
      </c>
      <c r="G454" s="41">
        <f t="shared" si="29"/>
        <v>1.3944255786868531E-4</v>
      </c>
    </row>
    <row r="455" spans="1:7">
      <c r="A455" s="92">
        <v>44964</v>
      </c>
      <c r="B455" s="90">
        <v>330.65</v>
      </c>
      <c r="C455" s="40">
        <f t="shared" si="30"/>
        <v>-7.05705705705717E-3</v>
      </c>
      <c r="D455" s="93">
        <v>17721.5</v>
      </c>
      <c r="E455" s="94">
        <f t="shared" si="31"/>
        <v>-2.4261734010334601E-3</v>
      </c>
      <c r="F455" s="95">
        <v>12193.1</v>
      </c>
      <c r="G455" s="41">
        <f t="shared" si="29"/>
        <v>-6.9711558176344113E-4</v>
      </c>
    </row>
    <row r="456" spans="1:7">
      <c r="A456" s="92">
        <v>44963</v>
      </c>
      <c r="B456" s="90">
        <v>333</v>
      </c>
      <c r="C456" s="40">
        <f t="shared" si="30"/>
        <v>6.0422960725075026E-3</v>
      </c>
      <c r="D456" s="93">
        <v>17764.599999999999</v>
      </c>
      <c r="E456" s="94">
        <f t="shared" si="31"/>
        <v>-5.0100677437332486E-3</v>
      </c>
      <c r="F456" s="95">
        <v>12184.6</v>
      </c>
      <c r="G456" s="41">
        <f t="shared" si="29"/>
        <v>9.9880176616384819E-3</v>
      </c>
    </row>
    <row r="457" spans="1:7">
      <c r="A457" s="92">
        <v>44960</v>
      </c>
      <c r="B457" s="90">
        <v>331</v>
      </c>
      <c r="C457" s="40">
        <f t="shared" si="30"/>
        <v>-2.5897586815774032E-2</v>
      </c>
      <c r="D457" s="93">
        <v>17854.05</v>
      </c>
      <c r="E457" s="94">
        <f t="shared" si="31"/>
        <v>1.3835574433289199E-2</v>
      </c>
      <c r="F457" s="95">
        <v>12306.3</v>
      </c>
      <c r="G457" s="41">
        <f t="shared" ref="G457:G515" si="32">F458/F457-1</f>
        <v>4.0223300260842088E-3</v>
      </c>
    </row>
    <row r="458" spans="1:7">
      <c r="A458" s="92">
        <v>44959</v>
      </c>
      <c r="B458" s="90">
        <v>339.8</v>
      </c>
      <c r="C458" s="40">
        <f t="shared" ref="C458:C516" si="33">B458/B459-1</f>
        <v>1.4328358208955283E-2</v>
      </c>
      <c r="D458" s="93">
        <v>17610.400000000001</v>
      </c>
      <c r="E458" s="94">
        <f t="shared" ref="E458:E515" si="34">D458/D459-1</f>
        <v>-3.3491709382771351E-4</v>
      </c>
      <c r="F458" s="95">
        <v>12355.8</v>
      </c>
      <c r="G458" s="41">
        <f t="shared" si="32"/>
        <v>3.6015474513995116E-4</v>
      </c>
    </row>
    <row r="459" spans="1:7">
      <c r="A459" s="92">
        <v>44958</v>
      </c>
      <c r="B459" s="90">
        <v>335</v>
      </c>
      <c r="C459" s="40">
        <f t="shared" si="33"/>
        <v>1.2390450287095955E-2</v>
      </c>
      <c r="D459" s="93">
        <v>17616.3</v>
      </c>
      <c r="E459" s="94">
        <f t="shared" si="34"/>
        <v>-2.5959466995808533E-3</v>
      </c>
      <c r="F459" s="95">
        <v>12360.25</v>
      </c>
      <c r="G459" s="41">
        <f t="shared" si="32"/>
        <v>1.0011933415586149E-2</v>
      </c>
    </row>
    <row r="460" spans="1:7">
      <c r="A460" s="92">
        <v>44957</v>
      </c>
      <c r="B460" s="90">
        <v>330.9</v>
      </c>
      <c r="C460" s="40">
        <f t="shared" si="33"/>
        <v>-3.2456140350877294E-2</v>
      </c>
      <c r="D460" s="93">
        <v>17662.150000000001</v>
      </c>
      <c r="E460" s="94">
        <f t="shared" si="34"/>
        <v>7.4791984792299537E-4</v>
      </c>
      <c r="F460" s="95">
        <v>12484</v>
      </c>
      <c r="G460" s="41">
        <f t="shared" si="32"/>
        <v>1.9264658763216147E-3</v>
      </c>
    </row>
    <row r="461" spans="1:7">
      <c r="A461" s="92">
        <v>44956</v>
      </c>
      <c r="B461" s="90">
        <v>342</v>
      </c>
      <c r="C461" s="40">
        <f t="shared" si="33"/>
        <v>-1.4598540145985828E-3</v>
      </c>
      <c r="D461" s="93">
        <v>17648.95</v>
      </c>
      <c r="E461" s="94">
        <f t="shared" si="34"/>
        <v>2.5334647402490695E-3</v>
      </c>
      <c r="F461" s="95">
        <v>12508.05</v>
      </c>
      <c r="G461" s="41">
        <f t="shared" si="32"/>
        <v>-5.4325014690538298E-3</v>
      </c>
    </row>
    <row r="462" spans="1:7">
      <c r="A462" s="92">
        <v>44953</v>
      </c>
      <c r="B462" s="90">
        <v>342.5</v>
      </c>
      <c r="C462" s="40">
        <f t="shared" si="33"/>
        <v>4.3988269794721369E-3</v>
      </c>
      <c r="D462" s="93">
        <v>17604.349999999999</v>
      </c>
      <c r="E462" s="94">
        <f t="shared" si="34"/>
        <v>-1.6074268036742945E-2</v>
      </c>
      <c r="F462" s="95">
        <v>12440.1</v>
      </c>
      <c r="G462" s="41">
        <f t="shared" si="32"/>
        <v>1.2359225408155927E-2</v>
      </c>
    </row>
    <row r="463" spans="1:7">
      <c r="A463" s="92">
        <v>44951</v>
      </c>
      <c r="B463" s="90">
        <v>341</v>
      </c>
      <c r="C463" s="40">
        <f t="shared" si="33"/>
        <v>-1.4450867052023142E-2</v>
      </c>
      <c r="D463" s="93">
        <v>17891.95</v>
      </c>
      <c r="E463" s="94">
        <f t="shared" si="34"/>
        <v>-1.2492893924926696E-2</v>
      </c>
      <c r="F463" s="95">
        <v>12593.85</v>
      </c>
      <c r="G463" s="41">
        <f t="shared" si="32"/>
        <v>9.8937179655149698E-3</v>
      </c>
    </row>
    <row r="464" spans="1:7">
      <c r="A464" s="92">
        <v>44950</v>
      </c>
      <c r="B464" s="90">
        <v>346</v>
      </c>
      <c r="C464" s="40">
        <f t="shared" si="33"/>
        <v>-7.4584050487666032E-3</v>
      </c>
      <c r="D464" s="93">
        <v>18118.3</v>
      </c>
      <c r="E464" s="94">
        <f t="shared" si="34"/>
        <v>-1.3798013637988937E-5</v>
      </c>
      <c r="F464" s="95">
        <v>12718.45</v>
      </c>
      <c r="G464" s="41">
        <f t="shared" si="32"/>
        <v>-8.8061045174530062E-3</v>
      </c>
    </row>
    <row r="465" spans="1:7">
      <c r="A465" s="92">
        <v>44949</v>
      </c>
      <c r="B465" s="90">
        <v>348.6</v>
      </c>
      <c r="C465" s="40">
        <f t="shared" si="33"/>
        <v>4.7557284911372566E-3</v>
      </c>
      <c r="D465" s="93">
        <v>18118.55</v>
      </c>
      <c r="E465" s="94">
        <f t="shared" si="34"/>
        <v>5.0422545367809768E-3</v>
      </c>
      <c r="F465" s="95">
        <v>12606.45</v>
      </c>
      <c r="G465" s="41">
        <f t="shared" si="32"/>
        <v>7.3454461803281745E-3</v>
      </c>
    </row>
    <row r="466" spans="1:7">
      <c r="A466" s="92">
        <v>44946</v>
      </c>
      <c r="B466" s="90">
        <v>346.95</v>
      </c>
      <c r="C466" s="40">
        <f t="shared" si="33"/>
        <v>-1.7138810198300325E-2</v>
      </c>
      <c r="D466" s="93">
        <v>18027.650000000001</v>
      </c>
      <c r="E466" s="94">
        <f t="shared" si="34"/>
        <v>-4.4290183539181793E-3</v>
      </c>
      <c r="F466" s="95">
        <v>12699.05</v>
      </c>
      <c r="G466" s="41">
        <f t="shared" si="32"/>
        <v>2.7915473992150552E-3</v>
      </c>
    </row>
    <row r="467" spans="1:7">
      <c r="A467" s="92">
        <v>44945</v>
      </c>
      <c r="B467" s="90">
        <v>353</v>
      </c>
      <c r="C467" s="40">
        <f t="shared" si="33"/>
        <v>-1.2731645211486731E-3</v>
      </c>
      <c r="D467" s="93">
        <v>18107.849999999999</v>
      </c>
      <c r="E467" s="94">
        <f t="shared" si="34"/>
        <v>-3.1653670311885262E-3</v>
      </c>
      <c r="F467" s="95">
        <v>12734.5</v>
      </c>
      <c r="G467" s="41">
        <f t="shared" si="32"/>
        <v>-6.7925713612627669E-3</v>
      </c>
    </row>
    <row r="468" spans="1:7">
      <c r="A468" s="92">
        <v>44944</v>
      </c>
      <c r="B468" s="90">
        <v>353.45</v>
      </c>
      <c r="C468" s="40">
        <f t="shared" si="33"/>
        <v>1.842403628117939E-3</v>
      </c>
      <c r="D468" s="93">
        <v>18165.349999999999</v>
      </c>
      <c r="E468" s="94">
        <f t="shared" si="34"/>
        <v>6.2066215041016726E-3</v>
      </c>
      <c r="F468" s="95">
        <v>12648</v>
      </c>
      <c r="G468" s="41">
        <f t="shared" si="32"/>
        <v>9.0132827324485021E-4</v>
      </c>
    </row>
    <row r="469" spans="1:7">
      <c r="A469" s="92">
        <v>44943</v>
      </c>
      <c r="B469" s="90">
        <v>352.8</v>
      </c>
      <c r="C469" s="40">
        <f t="shared" si="33"/>
        <v>-4.3742062932129455E-3</v>
      </c>
      <c r="D469" s="93">
        <v>18053.3</v>
      </c>
      <c r="E469" s="94">
        <f t="shared" si="34"/>
        <v>8.8545028318203212E-3</v>
      </c>
      <c r="F469" s="95">
        <v>12659.4</v>
      </c>
      <c r="G469" s="41">
        <f t="shared" si="32"/>
        <v>7.4253124160694739E-4</v>
      </c>
    </row>
    <row r="470" spans="1:7">
      <c r="A470" s="92">
        <v>44942</v>
      </c>
      <c r="B470" s="90">
        <v>354.35</v>
      </c>
      <c r="C470" s="40">
        <f t="shared" si="33"/>
        <v>-8.5338556239505925E-3</v>
      </c>
      <c r="D470" s="93">
        <v>17894.849999999999</v>
      </c>
      <c r="E470" s="94">
        <f t="shared" si="34"/>
        <v>-3.4388469977613134E-3</v>
      </c>
      <c r="F470" s="95">
        <v>12668.8</v>
      </c>
      <c r="G470" s="41">
        <f t="shared" si="32"/>
        <v>2.0917529679231883E-4</v>
      </c>
    </row>
    <row r="471" spans="1:7">
      <c r="A471" s="92">
        <v>44939</v>
      </c>
      <c r="B471" s="90">
        <v>357.4</v>
      </c>
      <c r="C471" s="40">
        <f t="shared" si="33"/>
        <v>-8.0488481820706337E-3</v>
      </c>
      <c r="D471" s="93">
        <v>17956.599999999999</v>
      </c>
      <c r="E471" s="94">
        <f t="shared" si="34"/>
        <v>5.5100738036306662E-3</v>
      </c>
      <c r="F471" s="95">
        <v>12671.45</v>
      </c>
      <c r="G471" s="41">
        <f t="shared" si="32"/>
        <v>8.5230971988203841E-4</v>
      </c>
    </row>
    <row r="472" spans="1:7">
      <c r="A472" s="92">
        <v>44938</v>
      </c>
      <c r="B472" s="90">
        <v>360.3</v>
      </c>
      <c r="C472" s="40">
        <f t="shared" si="33"/>
        <v>-1.7452958821925213E-2</v>
      </c>
      <c r="D472" s="93">
        <v>17858.2</v>
      </c>
      <c r="E472" s="94">
        <f t="shared" si="34"/>
        <v>-2.0954754494096894E-3</v>
      </c>
      <c r="F472" s="95">
        <v>12682.25</v>
      </c>
      <c r="G472" s="41">
        <f t="shared" si="32"/>
        <v>6.6510280115910092E-3</v>
      </c>
    </row>
    <row r="473" spans="1:7">
      <c r="A473" s="92">
        <v>44937</v>
      </c>
      <c r="B473" s="90">
        <v>366.7</v>
      </c>
      <c r="C473" s="40">
        <f t="shared" si="33"/>
        <v>-3.1687351465540026E-2</v>
      </c>
      <c r="D473" s="93">
        <v>17895.7</v>
      </c>
      <c r="E473" s="94">
        <f t="shared" si="34"/>
        <v>-1.0299121085846075E-3</v>
      </c>
      <c r="F473" s="95">
        <v>12766.6</v>
      </c>
      <c r="G473" s="41">
        <f t="shared" si="32"/>
        <v>3.1331756301589131E-4</v>
      </c>
    </row>
    <row r="474" spans="1:7">
      <c r="A474" s="92">
        <v>44936</v>
      </c>
      <c r="B474" s="90">
        <v>378.7</v>
      </c>
      <c r="C474" s="40">
        <f t="shared" si="33"/>
        <v>1.4544492926087393E-3</v>
      </c>
      <c r="D474" s="93">
        <v>17914.150000000001</v>
      </c>
      <c r="E474" s="94">
        <f t="shared" si="34"/>
        <v>-1.0333569045146151E-2</v>
      </c>
      <c r="F474" s="95">
        <v>12770.6</v>
      </c>
      <c r="G474" s="41">
        <f t="shared" si="32"/>
        <v>-9.0559566504314626E-3</v>
      </c>
    </row>
    <row r="475" spans="1:7">
      <c r="A475" s="92">
        <v>44935</v>
      </c>
      <c r="B475" s="90">
        <v>378.15</v>
      </c>
      <c r="C475" s="40">
        <f t="shared" si="33"/>
        <v>1.1366675581706343E-2</v>
      </c>
      <c r="D475" s="93">
        <v>18101.2</v>
      </c>
      <c r="E475" s="94">
        <f t="shared" si="34"/>
        <v>1.3536251116355702E-2</v>
      </c>
      <c r="F475" s="95">
        <v>12654.95</v>
      </c>
      <c r="G475" s="41">
        <f t="shared" si="32"/>
        <v>7.7637604257623227E-3</v>
      </c>
    </row>
    <row r="476" spans="1:7">
      <c r="A476" s="92">
        <v>44932</v>
      </c>
      <c r="B476" s="90">
        <v>373.9</v>
      </c>
      <c r="C476" s="40">
        <f t="shared" si="33"/>
        <v>-8.2228116710876265E-3</v>
      </c>
      <c r="D476" s="93">
        <v>17859.45</v>
      </c>
      <c r="E476" s="94">
        <f t="shared" si="34"/>
        <v>-7.3754387330030591E-3</v>
      </c>
      <c r="F476" s="95">
        <v>12753.2</v>
      </c>
      <c r="G476" s="41">
        <f t="shared" si="32"/>
        <v>-1.0228805319449252E-2</v>
      </c>
    </row>
    <row r="477" spans="1:7">
      <c r="A477" s="92">
        <v>44931</v>
      </c>
      <c r="B477" s="90">
        <v>377</v>
      </c>
      <c r="C477" s="40">
        <f t="shared" si="33"/>
        <v>8.2909868948917165E-3</v>
      </c>
      <c r="D477" s="93">
        <v>17992.150000000001</v>
      </c>
      <c r="E477" s="94">
        <f t="shared" si="34"/>
        <v>-2.8155041165662809E-3</v>
      </c>
      <c r="F477" s="95">
        <v>12622.75</v>
      </c>
      <c r="G477" s="41">
        <f t="shared" si="32"/>
        <v>1.5052187518567184E-3</v>
      </c>
    </row>
    <row r="478" spans="1:7">
      <c r="A478" s="92">
        <v>44930</v>
      </c>
      <c r="B478" s="90">
        <v>373.9</v>
      </c>
      <c r="C478" s="40">
        <f t="shared" si="33"/>
        <v>-1.0322922181048244E-2</v>
      </c>
      <c r="D478" s="93">
        <v>18042.95</v>
      </c>
      <c r="E478" s="94">
        <f t="shared" si="34"/>
        <v>-1.0398984234240349E-2</v>
      </c>
      <c r="F478" s="95">
        <v>12641.75</v>
      </c>
      <c r="G478" s="41">
        <f t="shared" si="32"/>
        <v>-7.146953546779522E-3</v>
      </c>
    </row>
    <row r="479" spans="1:7">
      <c r="A479" s="92">
        <v>44929</v>
      </c>
      <c r="B479" s="90">
        <v>377.8</v>
      </c>
      <c r="C479" s="40">
        <f t="shared" si="33"/>
        <v>1.124197002141325E-2</v>
      </c>
      <c r="D479" s="93">
        <v>18232.55</v>
      </c>
      <c r="E479" s="94">
        <f t="shared" si="34"/>
        <v>1.9288416783669327E-3</v>
      </c>
      <c r="F479" s="95">
        <v>12551.4</v>
      </c>
      <c r="G479" s="41">
        <f t="shared" si="32"/>
        <v>3.6808642860557406E-3</v>
      </c>
    </row>
    <row r="480" spans="1:7">
      <c r="A480" s="92">
        <v>44928</v>
      </c>
      <c r="B480" s="90">
        <v>373.6</v>
      </c>
      <c r="C480" s="40">
        <f t="shared" si="33"/>
        <v>-5.9864307569509334E-3</v>
      </c>
      <c r="D480" s="93">
        <v>18197.45</v>
      </c>
      <c r="E480" s="94">
        <f t="shared" si="34"/>
        <v>5.0896698756719427E-3</v>
      </c>
      <c r="F480" s="95">
        <v>12597.6</v>
      </c>
      <c r="G480" s="41">
        <f t="shared" si="32"/>
        <v>2.9132533180922238E-3</v>
      </c>
    </row>
    <row r="481" spans="1:7">
      <c r="A481" s="92">
        <v>44925</v>
      </c>
      <c r="B481" s="90">
        <v>375.85</v>
      </c>
      <c r="C481" s="40">
        <f t="shared" si="33"/>
        <v>5.7532780305058484E-3</v>
      </c>
      <c r="D481" s="93">
        <v>18105.3</v>
      </c>
      <c r="E481" s="94">
        <f t="shared" si="34"/>
        <v>-4.7111208839536456E-3</v>
      </c>
      <c r="F481" s="95">
        <v>12634.3</v>
      </c>
      <c r="G481" s="41">
        <f t="shared" si="32"/>
        <v>-8.0336860767904472E-4</v>
      </c>
    </row>
    <row r="482" spans="1:7">
      <c r="A482" s="92">
        <v>44924</v>
      </c>
      <c r="B482" s="90">
        <v>373.7</v>
      </c>
      <c r="C482" s="40">
        <f t="shared" si="33"/>
        <v>3.3561551886158725E-3</v>
      </c>
      <c r="D482" s="93">
        <v>18191</v>
      </c>
      <c r="E482" s="94">
        <f t="shared" si="34"/>
        <v>3.7798317009243299E-3</v>
      </c>
      <c r="F482" s="95">
        <v>12624.15</v>
      </c>
      <c r="G482" s="41">
        <f t="shared" si="32"/>
        <v>5.5924557296926913E-3</v>
      </c>
    </row>
    <row r="483" spans="1:7">
      <c r="A483" s="92">
        <v>44923</v>
      </c>
      <c r="B483" s="90">
        <v>372.45</v>
      </c>
      <c r="C483" s="40">
        <f t="shared" si="33"/>
        <v>-8.1225033288948589E-3</v>
      </c>
      <c r="D483" s="93">
        <v>18122.5</v>
      </c>
      <c r="E483" s="94">
        <f t="shared" si="34"/>
        <v>-5.4047197542506087E-4</v>
      </c>
      <c r="F483" s="95">
        <v>12694.75</v>
      </c>
      <c r="G483" s="41">
        <f t="shared" si="32"/>
        <v>-1.3903385257685308E-3</v>
      </c>
    </row>
    <row r="484" spans="1:7">
      <c r="A484" s="92">
        <v>44922</v>
      </c>
      <c r="B484" s="90">
        <v>375.5</v>
      </c>
      <c r="C484" s="40">
        <f t="shared" si="33"/>
        <v>-1.7015706806282727E-2</v>
      </c>
      <c r="D484" s="93">
        <v>18132.3</v>
      </c>
      <c r="E484" s="94">
        <f t="shared" si="34"/>
        <v>6.5335894219133994E-3</v>
      </c>
      <c r="F484" s="95">
        <v>12677.1</v>
      </c>
      <c r="G484" s="41">
        <f t="shared" si="32"/>
        <v>8.4680250214954622E-3</v>
      </c>
    </row>
    <row r="485" spans="1:7">
      <c r="A485" s="92">
        <v>44921</v>
      </c>
      <c r="B485" s="90">
        <v>382</v>
      </c>
      <c r="C485" s="40">
        <f t="shared" si="33"/>
        <v>-7.7922077922077948E-3</v>
      </c>
      <c r="D485" s="93">
        <v>18014.599999999999</v>
      </c>
      <c r="E485" s="94">
        <f t="shared" si="34"/>
        <v>1.1669699216029894E-2</v>
      </c>
      <c r="F485" s="95">
        <v>12784.45</v>
      </c>
      <c r="G485" s="41">
        <f t="shared" si="32"/>
        <v>8.4712287192643121E-3</v>
      </c>
    </row>
    <row r="486" spans="1:7">
      <c r="A486" s="92">
        <v>44918</v>
      </c>
      <c r="B486" s="90">
        <v>385</v>
      </c>
      <c r="C486" s="40">
        <f t="shared" si="33"/>
        <v>-1.5345268542199531E-2</v>
      </c>
      <c r="D486" s="93">
        <v>17806.8</v>
      </c>
      <c r="E486" s="94">
        <f t="shared" si="34"/>
        <v>-1.7683224519855267E-2</v>
      </c>
      <c r="F486" s="95">
        <v>12892.75</v>
      </c>
      <c r="G486" s="41">
        <f t="shared" si="32"/>
        <v>2.144616160244972E-3</v>
      </c>
    </row>
    <row r="487" spans="1:7">
      <c r="A487" s="92">
        <v>44917</v>
      </c>
      <c r="B487" s="90">
        <v>391</v>
      </c>
      <c r="C487" s="40">
        <f t="shared" si="33"/>
        <v>-6.3532401524777349E-3</v>
      </c>
      <c r="D487" s="93">
        <v>18127.349999999999</v>
      </c>
      <c r="E487" s="94">
        <f t="shared" si="34"/>
        <v>-3.9425026512299732E-3</v>
      </c>
      <c r="F487" s="95">
        <v>12920.4</v>
      </c>
      <c r="G487" s="41">
        <f t="shared" si="32"/>
        <v>-2.3370019504040052E-2</v>
      </c>
    </row>
    <row r="488" spans="1:7">
      <c r="A488" s="92">
        <v>44916</v>
      </c>
      <c r="B488" s="90">
        <v>393.5</v>
      </c>
      <c r="C488" s="40">
        <f t="shared" si="33"/>
        <v>2.1812516229550605E-2</v>
      </c>
      <c r="D488" s="93">
        <v>18199.099999999999</v>
      </c>
      <c r="E488" s="94">
        <f t="shared" si="34"/>
        <v>-1.0127656334136592E-2</v>
      </c>
      <c r="F488" s="95">
        <v>12618.45</v>
      </c>
      <c r="G488" s="41">
        <f t="shared" si="32"/>
        <v>2.218973011740788E-3</v>
      </c>
    </row>
    <row r="489" spans="1:7">
      <c r="A489" s="92">
        <v>44915</v>
      </c>
      <c r="B489" s="90">
        <v>385.1</v>
      </c>
      <c r="C489" s="40">
        <f t="shared" si="33"/>
        <v>-9.516460905349744E-3</v>
      </c>
      <c r="D489" s="93">
        <v>18385.3</v>
      </c>
      <c r="E489" s="94">
        <f t="shared" si="34"/>
        <v>-1.9082052827157359E-3</v>
      </c>
      <c r="F489" s="95">
        <v>12646.45</v>
      </c>
      <c r="G489" s="41">
        <f t="shared" si="32"/>
        <v>-8.105041335710883E-4</v>
      </c>
    </row>
    <row r="490" spans="1:7">
      <c r="A490" s="92">
        <v>44914</v>
      </c>
      <c r="B490" s="90">
        <v>388.8</v>
      </c>
      <c r="C490" s="40">
        <f t="shared" si="33"/>
        <v>1.4166130070831784E-3</v>
      </c>
      <c r="D490" s="93">
        <v>18420.45</v>
      </c>
      <c r="E490" s="94">
        <f t="shared" si="34"/>
        <v>8.2899994526246523E-3</v>
      </c>
      <c r="F490" s="95">
        <v>12636.2</v>
      </c>
      <c r="G490" s="41">
        <f t="shared" si="32"/>
        <v>1.4236875009892236E-2</v>
      </c>
    </row>
    <row r="491" spans="1:7">
      <c r="A491" s="92">
        <v>44911</v>
      </c>
      <c r="B491" s="90">
        <v>388.25</v>
      </c>
      <c r="C491" s="40">
        <f t="shared" si="33"/>
        <v>-1.4343742066514342E-2</v>
      </c>
      <c r="D491" s="93">
        <v>18269</v>
      </c>
      <c r="E491" s="94">
        <f t="shared" si="34"/>
        <v>-7.9229319735649728E-3</v>
      </c>
      <c r="F491" s="95">
        <v>12816.1</v>
      </c>
      <c r="G491" s="41">
        <f t="shared" si="32"/>
        <v>5.2668128369783851E-3</v>
      </c>
    </row>
    <row r="492" spans="1:7">
      <c r="A492" s="92">
        <v>44910</v>
      </c>
      <c r="B492" s="90">
        <v>393.9</v>
      </c>
      <c r="C492" s="40">
        <f t="shared" si="33"/>
        <v>-6.5573770491803574E-3</v>
      </c>
      <c r="D492" s="93">
        <v>18414.900000000001</v>
      </c>
      <c r="E492" s="94">
        <f t="shared" si="34"/>
        <v>-1.3150913972444056E-2</v>
      </c>
      <c r="F492" s="95">
        <v>12883.6</v>
      </c>
      <c r="G492" s="41">
        <f t="shared" si="32"/>
        <v>-6.6635101990126788E-3</v>
      </c>
    </row>
    <row r="493" spans="1:7">
      <c r="A493" s="92">
        <v>44909</v>
      </c>
      <c r="B493" s="90">
        <v>396.5</v>
      </c>
      <c r="C493" s="40">
        <f t="shared" si="33"/>
        <v>1.3548057259713753E-2</v>
      </c>
      <c r="D493" s="93">
        <v>18660.3</v>
      </c>
      <c r="E493" s="94">
        <f t="shared" si="34"/>
        <v>2.8106190885639482E-3</v>
      </c>
      <c r="F493" s="95">
        <v>12797.75</v>
      </c>
      <c r="G493" s="41">
        <f t="shared" si="32"/>
        <v>-3.1021077923854001E-3</v>
      </c>
    </row>
    <row r="494" spans="1:7">
      <c r="A494" s="92">
        <v>44908</v>
      </c>
      <c r="B494" s="90">
        <v>391.2</v>
      </c>
      <c r="C494" s="40">
        <f t="shared" si="33"/>
        <v>-3.1683168316831711E-2</v>
      </c>
      <c r="D494" s="93">
        <v>18608</v>
      </c>
      <c r="E494" s="94">
        <f t="shared" si="34"/>
        <v>5.9928151093546767E-3</v>
      </c>
      <c r="F494" s="95">
        <v>12758.05</v>
      </c>
      <c r="G494" s="41">
        <f t="shared" si="32"/>
        <v>1.3050583749085742E-3</v>
      </c>
    </row>
    <row r="495" spans="1:7">
      <c r="A495" s="92">
        <v>44907</v>
      </c>
      <c r="B495" s="90">
        <v>404</v>
      </c>
      <c r="C495" s="40">
        <f t="shared" si="33"/>
        <v>-2.0487331797793606E-2</v>
      </c>
      <c r="D495" s="93">
        <v>18497.150000000001</v>
      </c>
      <c r="E495" s="94">
        <f t="shared" si="34"/>
        <v>2.9735194576385737E-5</v>
      </c>
      <c r="F495" s="95">
        <v>12774.7</v>
      </c>
      <c r="G495" s="41">
        <f t="shared" si="32"/>
        <v>-3.6008673393503887E-3</v>
      </c>
    </row>
    <row r="496" spans="1:7">
      <c r="A496" s="92">
        <v>44904</v>
      </c>
      <c r="B496" s="90">
        <v>412.45</v>
      </c>
      <c r="C496" s="40">
        <f t="shared" si="33"/>
        <v>-1.4526086430214358E-3</v>
      </c>
      <c r="D496" s="93">
        <v>18496.599999999999</v>
      </c>
      <c r="E496" s="94">
        <f t="shared" si="34"/>
        <v>-6.058782278800745E-3</v>
      </c>
      <c r="F496" s="95">
        <v>12728.7</v>
      </c>
      <c r="G496" s="41">
        <f t="shared" si="32"/>
        <v>1.1085185447060386E-2</v>
      </c>
    </row>
    <row r="497" spans="1:7">
      <c r="A497" s="92">
        <v>44903</v>
      </c>
      <c r="B497" s="90">
        <v>413.05</v>
      </c>
      <c r="C497" s="40">
        <f t="shared" si="33"/>
        <v>-8.52136341814691E-3</v>
      </c>
      <c r="D497" s="93">
        <v>18609.349999999999</v>
      </c>
      <c r="E497" s="94">
        <f t="shared" si="34"/>
        <v>2.6319334069664357E-3</v>
      </c>
      <c r="F497" s="95">
        <v>12869.8</v>
      </c>
      <c r="G497" s="41">
        <f t="shared" si="32"/>
        <v>6.6473449470854096E-3</v>
      </c>
    </row>
    <row r="498" spans="1:7">
      <c r="A498" s="92">
        <v>44902</v>
      </c>
      <c r="B498" s="90">
        <v>416.6</v>
      </c>
      <c r="C498" s="40">
        <f t="shared" si="33"/>
        <v>-8.3313496786479035E-3</v>
      </c>
      <c r="D498" s="93">
        <v>18560.5</v>
      </c>
      <c r="E498" s="94">
        <f t="shared" si="34"/>
        <v>-4.4119027503989328E-3</v>
      </c>
      <c r="F498" s="95">
        <v>12955.35</v>
      </c>
      <c r="G498" s="41">
        <f t="shared" si="32"/>
        <v>7.5297078041116627E-3</v>
      </c>
    </row>
    <row r="499" spans="1:7">
      <c r="A499" s="92">
        <v>44901</v>
      </c>
      <c r="B499" s="90">
        <v>420.1</v>
      </c>
      <c r="C499" s="40">
        <f t="shared" si="33"/>
        <v>-1.188777936281471E-3</v>
      </c>
      <c r="D499" s="93">
        <v>18642.75</v>
      </c>
      <c r="E499" s="94">
        <f t="shared" si="34"/>
        <v>-3.1174720136034617E-3</v>
      </c>
      <c r="F499" s="95">
        <v>13052.9</v>
      </c>
      <c r="G499" s="41">
        <f t="shared" si="32"/>
        <v>2.6086157099189933E-3</v>
      </c>
    </row>
    <row r="500" spans="1:7">
      <c r="A500" s="92">
        <v>44900</v>
      </c>
      <c r="B500" s="90">
        <v>420.6</v>
      </c>
      <c r="C500" s="40">
        <f t="shared" si="33"/>
        <v>-5.6737588652481241E-3</v>
      </c>
      <c r="D500" s="93">
        <v>18701.05</v>
      </c>
      <c r="E500" s="94">
        <f t="shared" si="34"/>
        <v>2.6476109990847263E-4</v>
      </c>
      <c r="F500" s="95">
        <v>13086.95</v>
      </c>
      <c r="G500" s="41">
        <f t="shared" si="32"/>
        <v>2.5750843397429612E-3</v>
      </c>
    </row>
    <row r="501" spans="1:7">
      <c r="A501" s="92">
        <v>44897</v>
      </c>
      <c r="B501" s="90">
        <v>423</v>
      </c>
      <c r="C501" s="40">
        <f t="shared" si="33"/>
        <v>1.2203876525484603E-2</v>
      </c>
      <c r="D501" s="93">
        <v>18696.099999999999</v>
      </c>
      <c r="E501" s="94">
        <f t="shared" si="34"/>
        <v>-6.18737541528247E-3</v>
      </c>
      <c r="F501" s="95">
        <v>13120.65</v>
      </c>
      <c r="G501" s="41">
        <f t="shared" si="32"/>
        <v>1.7948805889953512E-3</v>
      </c>
    </row>
    <row r="502" spans="1:7">
      <c r="A502" s="92">
        <v>44896</v>
      </c>
      <c r="B502" s="90">
        <v>417.9</v>
      </c>
      <c r="C502" s="40">
        <f t="shared" si="33"/>
        <v>1.5578190533251934E-3</v>
      </c>
      <c r="D502" s="93">
        <v>18812.5</v>
      </c>
      <c r="E502" s="94">
        <f t="shared" si="34"/>
        <v>2.8867144498316843E-3</v>
      </c>
      <c r="F502" s="95">
        <v>13144.2</v>
      </c>
      <c r="G502" s="41">
        <f t="shared" si="32"/>
        <v>-4.3251015657096437E-3</v>
      </c>
    </row>
    <row r="503" spans="1:7">
      <c r="A503" s="92">
        <v>44895</v>
      </c>
      <c r="B503" s="90">
        <v>417.25</v>
      </c>
      <c r="C503" s="40">
        <f t="shared" si="33"/>
        <v>2.141982864137093E-2</v>
      </c>
      <c r="D503" s="93">
        <v>18758.349999999999</v>
      </c>
      <c r="E503" s="94">
        <f t="shared" si="34"/>
        <v>7.5356978845797506E-3</v>
      </c>
      <c r="F503" s="95">
        <v>13087.35</v>
      </c>
      <c r="G503" s="41">
        <f t="shared" si="32"/>
        <v>-7.1366625023400188E-3</v>
      </c>
    </row>
    <row r="504" spans="1:7">
      <c r="A504" s="92">
        <v>44894</v>
      </c>
      <c r="B504" s="90">
        <v>408.5</v>
      </c>
      <c r="C504" s="40">
        <f t="shared" si="33"/>
        <v>-9.413460472336177E-2</v>
      </c>
      <c r="D504" s="93">
        <v>18618.05</v>
      </c>
      <c r="E504" s="94">
        <f t="shared" si="34"/>
        <v>2.9790844567749719E-3</v>
      </c>
      <c r="F504" s="95">
        <v>12993.95</v>
      </c>
      <c r="G504" s="41">
        <f t="shared" si="32"/>
        <v>-1.9624517563943122E-3</v>
      </c>
    </row>
    <row r="505" spans="1:7">
      <c r="A505" s="92">
        <v>44893</v>
      </c>
      <c r="B505" s="90">
        <v>450.95</v>
      </c>
      <c r="C505" s="40">
        <f t="shared" si="33"/>
        <v>-9.7716293368467211E-3</v>
      </c>
      <c r="D505" s="93">
        <v>18562.75</v>
      </c>
      <c r="E505" s="94">
        <f t="shared" si="34"/>
        <v>2.7008413120686026E-3</v>
      </c>
      <c r="F505" s="95">
        <v>12968.45</v>
      </c>
      <c r="G505" s="41">
        <f t="shared" si="32"/>
        <v>-6.1919504643963563E-3</v>
      </c>
    </row>
    <row r="506" spans="1:7">
      <c r="A506" s="92">
        <v>44890</v>
      </c>
      <c r="B506" s="90">
        <v>455.4</v>
      </c>
      <c r="C506" s="40">
        <f t="shared" si="33"/>
        <v>1.0652463382156974E-2</v>
      </c>
      <c r="D506" s="93">
        <v>18512.75</v>
      </c>
      <c r="E506" s="94">
        <f t="shared" si="34"/>
        <v>1.5499807943044619E-3</v>
      </c>
      <c r="F506" s="95">
        <v>12888.15</v>
      </c>
      <c r="G506" s="41">
        <f t="shared" si="32"/>
        <v>-8.6901533579286649E-4</v>
      </c>
    </row>
    <row r="507" spans="1:7">
      <c r="A507" s="92">
        <v>44889</v>
      </c>
      <c r="B507" s="90">
        <v>450.6</v>
      </c>
      <c r="C507" s="40">
        <f t="shared" si="33"/>
        <v>-8.0352228948816773E-3</v>
      </c>
      <c r="D507" s="93">
        <v>18484.099999999999</v>
      </c>
      <c r="E507" s="94">
        <f t="shared" si="34"/>
        <v>1.1870971273727493E-2</v>
      </c>
      <c r="F507" s="95">
        <v>12876.95</v>
      </c>
      <c r="G507" s="41">
        <f t="shared" si="32"/>
        <v>-3.1529205285413253E-3</v>
      </c>
    </row>
    <row r="508" spans="1:7">
      <c r="A508" s="92">
        <v>44888</v>
      </c>
      <c r="B508" s="90">
        <v>454.25</v>
      </c>
      <c r="C508" s="40">
        <f t="shared" si="33"/>
        <v>-3.8377192982456121E-3</v>
      </c>
      <c r="D508" s="93">
        <v>18267.25</v>
      </c>
      <c r="E508" s="94">
        <f t="shared" si="34"/>
        <v>1.2634152223720552E-3</v>
      </c>
      <c r="F508" s="95">
        <v>12836.35</v>
      </c>
      <c r="G508" s="41">
        <f t="shared" si="32"/>
        <v>-3.2524822087275362E-3</v>
      </c>
    </row>
    <row r="509" spans="1:7">
      <c r="A509" s="92">
        <v>44887</v>
      </c>
      <c r="B509" s="90">
        <v>456</v>
      </c>
      <c r="C509" s="40">
        <f t="shared" si="33"/>
        <v>5.2910052910053462E-3</v>
      </c>
      <c r="D509" s="93">
        <v>18244.2</v>
      </c>
      <c r="E509" s="94">
        <f t="shared" si="34"/>
        <v>4.6393299541023225E-3</v>
      </c>
      <c r="F509" s="95">
        <v>12794.6</v>
      </c>
      <c r="G509" s="41">
        <f t="shared" si="32"/>
        <v>5.2209525893736064E-3</v>
      </c>
    </row>
    <row r="510" spans="1:7">
      <c r="A510" s="92">
        <v>44886</v>
      </c>
      <c r="B510" s="90">
        <v>453.6</v>
      </c>
      <c r="C510" s="40">
        <f t="shared" si="33"/>
        <v>9.7951914514693428E-3</v>
      </c>
      <c r="D510" s="93">
        <v>18159.95</v>
      </c>
      <c r="E510" s="94">
        <f t="shared" si="34"/>
        <v>-8.0676657025888776E-3</v>
      </c>
      <c r="F510" s="95">
        <v>12861.4</v>
      </c>
      <c r="G510" s="41">
        <f t="shared" si="32"/>
        <v>6.7527640847808712E-3</v>
      </c>
    </row>
    <row r="511" spans="1:7">
      <c r="A511" s="92">
        <v>44883</v>
      </c>
      <c r="B511" s="90">
        <v>449.2</v>
      </c>
      <c r="C511" s="40">
        <f t="shared" si="33"/>
        <v>-2.3478260869565282E-2</v>
      </c>
      <c r="D511" s="93">
        <v>18307.650000000001</v>
      </c>
      <c r="E511" s="94">
        <f t="shared" si="34"/>
        <v>-1.9761337556354341E-3</v>
      </c>
      <c r="F511" s="95">
        <v>12948.25</v>
      </c>
      <c r="G511" s="41">
        <f t="shared" si="32"/>
        <v>3.8808333172435372E-3</v>
      </c>
    </row>
    <row r="512" spans="1:7">
      <c r="A512" s="92">
        <v>44882</v>
      </c>
      <c r="B512" s="90">
        <v>460</v>
      </c>
      <c r="C512" s="40">
        <f t="shared" si="33"/>
        <v>-4.3290043290042934E-3</v>
      </c>
      <c r="D512" s="93">
        <v>18343.900000000001</v>
      </c>
      <c r="E512" s="94">
        <f t="shared" si="34"/>
        <v>-3.5714964706010655E-3</v>
      </c>
      <c r="F512" s="95">
        <v>12998.5</v>
      </c>
      <c r="G512" s="41">
        <f t="shared" si="32"/>
        <v>2.9541870215794575E-3</v>
      </c>
    </row>
    <row r="513" spans="1:7">
      <c r="A513" s="92">
        <v>44881</v>
      </c>
      <c r="B513" s="90">
        <v>462</v>
      </c>
      <c r="C513" s="40">
        <f t="shared" si="33"/>
        <v>-1.733489311921721E-2</v>
      </c>
      <c r="D513" s="93">
        <v>18409.650000000001</v>
      </c>
      <c r="E513" s="94">
        <f t="shared" si="34"/>
        <v>3.3961115880765114E-4</v>
      </c>
      <c r="F513" s="95">
        <v>13036.9</v>
      </c>
      <c r="G513" s="41">
        <f t="shared" si="32"/>
        <v>-1.3078262470371804E-3</v>
      </c>
    </row>
    <row r="514" spans="1:7">
      <c r="A514" s="92">
        <v>44880</v>
      </c>
      <c r="B514" s="90">
        <v>470.15</v>
      </c>
      <c r="C514" s="40">
        <f t="shared" si="33"/>
        <v>3.7361229718189115E-3</v>
      </c>
      <c r="D514" s="93">
        <v>18403.400000000001</v>
      </c>
      <c r="E514" s="94">
        <f t="shared" si="34"/>
        <v>4.0509243472828249E-3</v>
      </c>
      <c r="F514" s="95">
        <v>13019.85</v>
      </c>
      <c r="G514" s="41">
        <f t="shared" si="32"/>
        <v>-3.2258436157106551E-4</v>
      </c>
    </row>
    <row r="515" spans="1:7">
      <c r="A515" s="92">
        <v>44879</v>
      </c>
      <c r="B515" s="90">
        <v>468.4</v>
      </c>
      <c r="C515" s="40">
        <f t="shared" si="33"/>
        <v>3.0356357237131482E-2</v>
      </c>
      <c r="D515" s="93">
        <v>18329.150000000001</v>
      </c>
      <c r="E515" s="94">
        <f t="shared" si="34"/>
        <v>-1.1199093173185348E-3</v>
      </c>
      <c r="F515" s="95">
        <v>13015.65</v>
      </c>
      <c r="G515" s="41">
        <f t="shared" si="32"/>
        <v>-2.5008355326087139E-3</v>
      </c>
    </row>
    <row r="516" spans="1:7">
      <c r="A516" s="92">
        <v>44876</v>
      </c>
      <c r="B516" s="90">
        <v>454.6</v>
      </c>
      <c r="C516" s="40">
        <f t="shared" si="33"/>
        <v>5.7522123893805066E-3</v>
      </c>
      <c r="D516" s="93">
        <v>18349.7</v>
      </c>
      <c r="E516" s="94">
        <f>D516/D517-1</f>
        <v>1.7833172474234882E-2</v>
      </c>
      <c r="F516" s="95">
        <v>12983.1</v>
      </c>
      <c r="G516" s="41">
        <f>M517/F516-1</f>
        <v>-1</v>
      </c>
    </row>
    <row r="517" spans="1:7">
      <c r="A517" s="92">
        <v>44875</v>
      </c>
      <c r="B517" s="90">
        <v>452</v>
      </c>
      <c r="C517" s="40"/>
      <c r="D517" s="93">
        <v>18028.2</v>
      </c>
      <c r="E517" s="93"/>
      <c r="F517" s="43"/>
      <c r="G517" s="43"/>
    </row>
  </sheetData>
  <mergeCells count="9">
    <mergeCell ref="B7:C7"/>
    <mergeCell ref="D7:E7"/>
    <mergeCell ref="F7:G7"/>
    <mergeCell ref="AE5:AF5"/>
    <mergeCell ref="AN2:AX3"/>
    <mergeCell ref="W4:X4"/>
    <mergeCell ref="AA5:AB5"/>
    <mergeCell ref="AI5:AJ5"/>
    <mergeCell ref="I23:L2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DA33D-8306-42C4-882C-70AA24F03040}">
  <dimension ref="A1:BE517"/>
  <sheetViews>
    <sheetView showGridLines="0" workbookViewId="0">
      <selection activeCell="A3" sqref="A3"/>
    </sheetView>
  </sheetViews>
  <sheetFormatPr defaultRowHeight="15"/>
  <cols>
    <col min="1" max="1" width="10.28515625" bestFit="1" customWidth="1"/>
    <col min="2" max="3" width="9" bestFit="1" customWidth="1"/>
    <col min="4" max="4" width="9.5703125" bestFit="1" customWidth="1"/>
    <col min="5" max="5" width="9" bestFit="1" customWidth="1"/>
    <col min="6" max="6" width="9.5703125" bestFit="1" customWidth="1"/>
    <col min="7" max="7" width="9" bestFit="1" customWidth="1"/>
    <col min="9" max="9" width="27.140625" customWidth="1"/>
    <col min="10" max="11" width="12" bestFit="1" customWidth="1"/>
    <col min="12" max="12" width="18" bestFit="1" customWidth="1"/>
    <col min="15" max="15" width="23" customWidth="1"/>
    <col min="16" max="16" width="9.7109375" bestFit="1" customWidth="1"/>
    <col min="17" max="17" width="21.140625" customWidth="1"/>
    <col min="18" max="18" width="11.7109375" bestFit="1" customWidth="1"/>
    <col min="19" max="19" width="14.42578125" bestFit="1" customWidth="1"/>
    <col min="20" max="20" width="14.85546875" bestFit="1" customWidth="1"/>
    <col min="23" max="23" width="10.5703125" bestFit="1" customWidth="1"/>
    <col min="27" max="27" width="10.7109375" bestFit="1" customWidth="1"/>
    <col min="31" max="31" width="10.28515625" bestFit="1" customWidth="1"/>
    <col min="35" max="35" width="10.28515625" bestFit="1" customWidth="1"/>
    <col min="42" max="42" width="29.5703125" bestFit="1" customWidth="1"/>
    <col min="51" max="51" width="14" bestFit="1" customWidth="1"/>
  </cols>
  <sheetData>
    <row r="1" spans="1:57">
      <c r="A1" s="1"/>
      <c r="B1" s="1"/>
      <c r="C1" s="1"/>
      <c r="D1" s="1"/>
      <c r="E1" s="1"/>
      <c r="F1" s="1"/>
      <c r="G1" s="1"/>
      <c r="H1" s="1"/>
      <c r="I1" s="1" t="s">
        <v>50</v>
      </c>
      <c r="J1" s="1"/>
      <c r="K1" s="1"/>
      <c r="L1" s="1"/>
      <c r="M1" s="1"/>
      <c r="N1" s="1"/>
      <c r="O1" s="1" t="s">
        <v>51</v>
      </c>
      <c r="P1" s="1"/>
      <c r="Q1" s="1"/>
      <c r="R1" s="1"/>
      <c r="S1" s="1"/>
    </row>
    <row r="2" spans="1:57" ht="14.45" customHeight="1">
      <c r="A2" s="5" t="s">
        <v>328</v>
      </c>
      <c r="B2" s="5"/>
      <c r="C2" s="1"/>
      <c r="D2" s="1"/>
      <c r="E2" s="1"/>
      <c r="F2" s="1"/>
      <c r="G2" s="1"/>
      <c r="H2" s="1"/>
      <c r="I2" s="5" t="s">
        <v>53</v>
      </c>
      <c r="J2" s="1"/>
      <c r="K2" s="1"/>
      <c r="L2" s="1"/>
      <c r="M2" s="1"/>
      <c r="N2" s="1"/>
      <c r="O2" s="1" t="s">
        <v>54</v>
      </c>
      <c r="P2" s="1"/>
      <c r="Q2" s="1"/>
      <c r="R2" s="1"/>
      <c r="S2" s="1"/>
      <c r="X2" s="247" t="s">
        <v>55</v>
      </c>
      <c r="Y2" s="247"/>
      <c r="Z2" s="247"/>
      <c r="AA2" s="247"/>
      <c r="AB2" s="247"/>
      <c r="AC2" s="247"/>
      <c r="AD2" s="247"/>
      <c r="AE2" s="247"/>
      <c r="AF2" s="247"/>
      <c r="AG2" s="247"/>
      <c r="AH2" s="247"/>
      <c r="AI2" s="247"/>
      <c r="AJ2" s="247"/>
      <c r="AP2" s="189" t="s">
        <v>56</v>
      </c>
    </row>
    <row r="3" spans="1:57">
      <c r="A3" s="5" t="s">
        <v>57</v>
      </c>
      <c r="B3" s="5"/>
      <c r="C3" s="5"/>
      <c r="D3" s="1"/>
      <c r="E3" s="1"/>
      <c r="F3" s="1"/>
      <c r="G3" s="1"/>
      <c r="H3" s="1"/>
      <c r="I3" s="1" t="s">
        <v>58</v>
      </c>
      <c r="J3" s="1"/>
      <c r="K3" s="1"/>
      <c r="L3" s="1"/>
      <c r="M3" s="1"/>
      <c r="N3" s="1"/>
      <c r="O3" s="203" t="s">
        <v>59</v>
      </c>
      <c r="P3" s="203"/>
      <c r="Q3" s="203"/>
      <c r="R3" s="203"/>
      <c r="S3" s="203"/>
      <c r="AP3" s="209" t="s">
        <v>239</v>
      </c>
      <c r="AQ3" s="209"/>
      <c r="AR3" s="209"/>
      <c r="AS3" s="209"/>
      <c r="AT3" s="209"/>
      <c r="AU3" s="209"/>
      <c r="AV3" s="209"/>
      <c r="AW3" s="209"/>
      <c r="AX3" s="209"/>
      <c r="AY3" s="209"/>
      <c r="AZ3" s="209"/>
      <c r="BA3" s="209"/>
      <c r="BB3" s="209"/>
      <c r="BC3" s="209"/>
      <c r="BD3" s="209"/>
      <c r="BE3" s="209"/>
    </row>
    <row r="4" spans="1:57" ht="14.45" customHeight="1">
      <c r="A4" s="5" t="s">
        <v>61</v>
      </c>
      <c r="B4" s="1"/>
      <c r="C4" s="1"/>
      <c r="D4" s="1"/>
      <c r="E4" s="1"/>
      <c r="F4" s="1"/>
      <c r="G4" s="1"/>
      <c r="H4" s="1"/>
      <c r="I4" s="1"/>
      <c r="J4" s="1"/>
      <c r="K4" s="1"/>
      <c r="L4" s="1"/>
      <c r="M4" s="1"/>
      <c r="N4" s="1"/>
      <c r="O4" s="204" t="s">
        <v>62</v>
      </c>
      <c r="P4" s="204"/>
      <c r="Q4" s="204"/>
      <c r="R4" s="204"/>
      <c r="S4" s="1"/>
      <c r="W4" s="248" t="s">
        <v>63</v>
      </c>
      <c r="X4" s="248"/>
      <c r="Y4" s="248"/>
      <c r="AA4" s="248" t="s">
        <v>64</v>
      </c>
      <c r="AB4" s="248"/>
      <c r="AC4" s="248"/>
      <c r="AE4" s="248" t="s">
        <v>65</v>
      </c>
      <c r="AF4" s="248"/>
      <c r="AG4" s="248"/>
      <c r="AI4" s="248" t="s">
        <v>66</v>
      </c>
      <c r="AJ4" s="248"/>
      <c r="AK4" s="248"/>
      <c r="AP4" s="209"/>
      <c r="AQ4" s="209"/>
      <c r="AR4" s="209"/>
      <c r="AS4" s="209"/>
      <c r="AT4" s="209"/>
      <c r="AU4" s="209"/>
      <c r="AV4" s="209"/>
      <c r="AW4" s="209"/>
      <c r="AX4" s="209"/>
      <c r="AY4" s="209"/>
      <c r="AZ4" s="209"/>
      <c r="BA4" s="209"/>
      <c r="BB4" s="209"/>
      <c r="BC4" s="209"/>
      <c r="BD4" s="209"/>
      <c r="BE4" s="209"/>
    </row>
    <row r="5" spans="1:57">
      <c r="A5" s="5" t="s">
        <v>67</v>
      </c>
    </row>
    <row r="6" spans="1:57">
      <c r="AV6" s="179" t="s">
        <v>68</v>
      </c>
    </row>
    <row r="7" spans="1:57">
      <c r="A7" s="248" t="s">
        <v>240</v>
      </c>
      <c r="B7" s="248"/>
      <c r="C7" s="248"/>
      <c r="D7" s="248" t="s">
        <v>70</v>
      </c>
      <c r="E7" s="248"/>
      <c r="F7" s="248" t="s">
        <v>71</v>
      </c>
      <c r="G7" s="248"/>
      <c r="I7" s="98" t="s">
        <v>72</v>
      </c>
      <c r="J7" s="98" t="s">
        <v>123</v>
      </c>
      <c r="K7" s="98" t="s">
        <v>73</v>
      </c>
      <c r="O7" s="98" t="s">
        <v>74</v>
      </c>
      <c r="P7" s="98" t="s">
        <v>75</v>
      </c>
      <c r="Q7" s="98" t="s">
        <v>241</v>
      </c>
      <c r="R7" s="98" t="s">
        <v>77</v>
      </c>
      <c r="S7" s="98" t="s">
        <v>78</v>
      </c>
      <c r="T7" s="98" t="s">
        <v>79</v>
      </c>
      <c r="W7" s="98" t="s">
        <v>80</v>
      </c>
      <c r="X7" s="98" t="s">
        <v>81</v>
      </c>
      <c r="Y7" s="98" t="s">
        <v>82</v>
      </c>
      <c r="AA7" s="98" t="s">
        <v>80</v>
      </c>
      <c r="AB7" s="98" t="s">
        <v>81</v>
      </c>
      <c r="AC7" s="98" t="s">
        <v>82</v>
      </c>
      <c r="AE7" s="98" t="s">
        <v>80</v>
      </c>
      <c r="AF7" s="98" t="s">
        <v>81</v>
      </c>
      <c r="AG7" s="98" t="s">
        <v>82</v>
      </c>
      <c r="AI7" s="98" t="s">
        <v>80</v>
      </c>
      <c r="AJ7" s="98" t="s">
        <v>83</v>
      </c>
      <c r="AK7" s="98" t="s">
        <v>84</v>
      </c>
      <c r="AP7" s="98" t="s">
        <v>85</v>
      </c>
      <c r="AQ7" s="98" t="s">
        <v>86</v>
      </c>
      <c r="AV7" s="98" t="s">
        <v>87</v>
      </c>
      <c r="AW7" s="98" t="s">
        <v>88</v>
      </c>
      <c r="AX7" s="98" t="s">
        <v>89</v>
      </c>
      <c r="AY7" s="98" t="s">
        <v>90</v>
      </c>
    </row>
    <row r="8" spans="1:57">
      <c r="A8" s="98" t="s">
        <v>80</v>
      </c>
      <c r="B8" s="98" t="s">
        <v>242</v>
      </c>
      <c r="C8" s="98" t="s">
        <v>179</v>
      </c>
      <c r="D8" s="98" t="s">
        <v>91</v>
      </c>
      <c r="E8" s="98" t="s">
        <v>179</v>
      </c>
      <c r="F8" s="98" t="s">
        <v>91</v>
      </c>
      <c r="G8" s="98" t="str">
        <f>E8</f>
        <v>Return</v>
      </c>
      <c r="I8" s="97" t="s">
        <v>92</v>
      </c>
      <c r="J8" s="99">
        <f>_xlfn.STDEV.S(C9:C516)</f>
        <v>1.6059279553264943E-2</v>
      </c>
      <c r="K8" s="99">
        <f>_xlfn.STDEV.S(E9:E516)</f>
        <v>7.5563839934265874E-3</v>
      </c>
      <c r="O8" s="97" t="s">
        <v>93</v>
      </c>
      <c r="P8" s="110">
        <v>45243</v>
      </c>
      <c r="Q8" s="99">
        <f>C266</f>
        <v>-4.877014418999126E-3</v>
      </c>
      <c r="R8" s="108">
        <f>E266</f>
        <v>-4.1996256187405434E-3</v>
      </c>
      <c r="S8" s="109">
        <f t="shared" ref="S8:S18" si="0">$J$13+(R8*$J$12)</f>
        <v>5.3542435591734947E-5</v>
      </c>
      <c r="T8" s="108">
        <f>Q8-S8</f>
        <v>-4.9305568545908608E-3</v>
      </c>
      <c r="W8" s="126">
        <v>45623</v>
      </c>
      <c r="X8" s="97">
        <f>B9</f>
        <v>2006.35</v>
      </c>
      <c r="Y8" s="97">
        <f t="shared" ref="Y8:Y71" si="1">X8/X9-1</f>
        <v>0.34024716098864394</v>
      </c>
      <c r="AA8" s="126">
        <v>45433</v>
      </c>
      <c r="AB8" s="97">
        <f t="shared" ref="AB8:AB39" si="2">B139</f>
        <v>1683.85</v>
      </c>
      <c r="AC8" s="97">
        <f t="shared" ref="AC8:AC39" si="3">AB8/AB9-1</f>
        <v>1.4184183581280374E-2</v>
      </c>
      <c r="AE8" s="126">
        <v>45342</v>
      </c>
      <c r="AF8" s="97">
        <f t="shared" ref="AF8:AF39" si="4">B198</f>
        <v>1599.35</v>
      </c>
      <c r="AG8" s="97">
        <f t="shared" ref="AG8:AG39" si="5">AF8/AF9-1</f>
        <v>7.7502284112032083E-3</v>
      </c>
      <c r="AI8" s="126">
        <v>45280</v>
      </c>
      <c r="AJ8" s="97">
        <f t="shared" ref="AJ8:AJ29" si="6">B240</f>
        <v>1256.8</v>
      </c>
      <c r="AK8" s="97">
        <f t="shared" ref="AK8:AK28" si="7">AJ8/AJ9-1</f>
        <v>2.3786249592701258E-2</v>
      </c>
      <c r="AP8" s="97" t="s">
        <v>94</v>
      </c>
      <c r="AQ8" s="100">
        <v>19656</v>
      </c>
      <c r="AV8" s="97" t="s">
        <v>95</v>
      </c>
      <c r="AW8" s="100">
        <v>0</v>
      </c>
      <c r="AX8" s="100">
        <v>0.3</v>
      </c>
      <c r="AY8" s="100">
        <v>1</v>
      </c>
    </row>
    <row r="9" spans="1:57">
      <c r="A9" s="126">
        <v>45623</v>
      </c>
      <c r="B9" s="100">
        <v>2006.35</v>
      </c>
      <c r="C9" s="99">
        <f>B9/B10-1</f>
        <v>-1.4562868369351722E-2</v>
      </c>
      <c r="D9" s="100">
        <v>24274.9</v>
      </c>
      <c r="E9" s="99">
        <f>D9/D10-1</f>
        <v>3.3230692926078387E-3</v>
      </c>
      <c r="F9" s="100">
        <v>21828.6</v>
      </c>
      <c r="G9" s="99">
        <f t="shared" ref="G9:G72" si="8">F10/F9-1</f>
        <v>6.0997956808956921E-3</v>
      </c>
      <c r="I9" s="97" t="s">
        <v>96</v>
      </c>
      <c r="J9" s="99">
        <f>J8*SQRT(252)</f>
        <v>0.254933159596821</v>
      </c>
      <c r="K9" s="99">
        <f t="shared" ref="K9" si="9">K8*SQRT(252)</f>
        <v>0.11995387714509528</v>
      </c>
      <c r="O9" s="97" t="s">
        <v>97</v>
      </c>
      <c r="P9" s="110">
        <v>45244</v>
      </c>
      <c r="Q9" s="99">
        <f>C265</f>
        <v>-2.5569997869167027E-3</v>
      </c>
      <c r="R9" s="108">
        <f>E265</f>
        <v>5.3513890210377113E-3</v>
      </c>
      <c r="S9" s="109">
        <f t="shared" si="0"/>
        <v>4.2117933711070289E-3</v>
      </c>
      <c r="T9" s="108">
        <f t="shared" ref="T9:T18" si="10">Q9-S9</f>
        <v>-6.7687931580237316E-3</v>
      </c>
      <c r="W9" s="126">
        <v>45622</v>
      </c>
      <c r="X9" s="97">
        <v>1497</v>
      </c>
      <c r="Y9" s="97">
        <f t="shared" si="1"/>
        <v>-6.9322365584265633E-3</v>
      </c>
      <c r="AA9" s="126">
        <v>45430</v>
      </c>
      <c r="AB9" s="97">
        <f t="shared" si="2"/>
        <v>1660.3</v>
      </c>
      <c r="AC9" s="97">
        <f t="shared" si="3"/>
        <v>5.1763281368244485E-3</v>
      </c>
      <c r="AE9" s="126">
        <v>45341</v>
      </c>
      <c r="AF9" s="97">
        <f t="shared" si="4"/>
        <v>1587.05</v>
      </c>
      <c r="AG9" s="97">
        <f t="shared" si="5"/>
        <v>-6.6116743278132883E-4</v>
      </c>
      <c r="AI9" s="126">
        <v>45279</v>
      </c>
      <c r="AJ9" s="97">
        <f t="shared" si="6"/>
        <v>1227.5999999999999</v>
      </c>
      <c r="AK9" s="97">
        <f t="shared" si="7"/>
        <v>-3.3538025507794167E-2</v>
      </c>
      <c r="AP9" s="97" t="s">
        <v>98</v>
      </c>
      <c r="AQ9" s="100">
        <v>0.66</v>
      </c>
      <c r="AV9" s="97" t="s">
        <v>99</v>
      </c>
      <c r="AW9" s="100">
        <v>0</v>
      </c>
      <c r="AX9" s="100">
        <f>AX8*$AQ$12</f>
        <v>97.297200000000018</v>
      </c>
      <c r="AY9" s="100">
        <f>AY8*$AQ$12</f>
        <v>324.32400000000007</v>
      </c>
    </row>
    <row r="10" spans="1:57">
      <c r="A10" s="126">
        <v>45622</v>
      </c>
      <c r="B10" s="100">
        <v>2036</v>
      </c>
      <c r="C10" s="99">
        <f t="shared" ref="C10:C73" si="11">B10/B11-1</f>
        <v>-3.3765987233941641E-2</v>
      </c>
      <c r="D10" s="100">
        <v>24194.5</v>
      </c>
      <c r="E10" s="99">
        <f t="shared" ref="E10:E73" si="12">D10/D11-1</f>
        <v>-1.1312077087264338E-3</v>
      </c>
      <c r="F10" s="100">
        <v>21961.75</v>
      </c>
      <c r="G10" s="99">
        <f t="shared" si="8"/>
        <v>9.8034081983449095E-3</v>
      </c>
      <c r="I10" s="97"/>
      <c r="J10" s="99"/>
      <c r="K10" s="99"/>
      <c r="O10" s="97" t="s">
        <v>100</v>
      </c>
      <c r="P10" s="110">
        <v>45245</v>
      </c>
      <c r="Q10" s="99">
        <f>C264</f>
        <v>2.0294808801538222E-2</v>
      </c>
      <c r="R10" s="108">
        <f>E264</f>
        <v>6.5404448627965905E-3</v>
      </c>
      <c r="S10" s="109">
        <f t="shared" si="0"/>
        <v>4.7294758114397326E-3</v>
      </c>
      <c r="T10" s="108">
        <f t="shared" si="10"/>
        <v>1.556533299009849E-2</v>
      </c>
      <c r="W10" s="126">
        <v>45621</v>
      </c>
      <c r="X10" s="97">
        <v>1507.45</v>
      </c>
      <c r="Y10" s="97">
        <f t="shared" si="1"/>
        <v>1.4946978623127549E-2</v>
      </c>
      <c r="AA10" s="126">
        <v>45429</v>
      </c>
      <c r="AB10" s="97">
        <f t="shared" si="2"/>
        <v>1651.75</v>
      </c>
      <c r="AC10" s="97">
        <f t="shared" si="3"/>
        <v>-6.7350190925764553E-3</v>
      </c>
      <c r="AE10" s="126">
        <v>45338</v>
      </c>
      <c r="AF10" s="97">
        <f t="shared" si="4"/>
        <v>1588.1</v>
      </c>
      <c r="AG10" s="97">
        <f t="shared" si="5"/>
        <v>-2.0084533983278474E-2</v>
      </c>
      <c r="AI10" s="126">
        <v>45278</v>
      </c>
      <c r="AJ10" s="97">
        <f t="shared" si="6"/>
        <v>1270.2</v>
      </c>
      <c r="AK10" s="97">
        <f t="shared" si="7"/>
        <v>9.8986285032796051E-3</v>
      </c>
      <c r="AP10" s="97" t="s">
        <v>101</v>
      </c>
      <c r="AQ10" s="100">
        <f>AQ8*AQ9</f>
        <v>12972.960000000001</v>
      </c>
      <c r="AV10" s="97" t="s">
        <v>102</v>
      </c>
      <c r="AW10" s="100">
        <f>AQ13</f>
        <v>3931</v>
      </c>
      <c r="AX10" s="100">
        <f>$AQ$13-AX9</f>
        <v>3833.7028</v>
      </c>
      <c r="AY10" s="100">
        <f>$AQ$13-AY9</f>
        <v>3606.6759999999999</v>
      </c>
    </row>
    <row r="11" spans="1:57">
      <c r="A11" s="126">
        <v>45621</v>
      </c>
      <c r="B11" s="100">
        <v>2107.15</v>
      </c>
      <c r="C11" s="99">
        <f t="shared" si="11"/>
        <v>1.7283414198469682E-2</v>
      </c>
      <c r="D11" s="100">
        <v>24221.9</v>
      </c>
      <c r="E11" s="99">
        <f t="shared" si="12"/>
        <v>1.3161279528176584E-2</v>
      </c>
      <c r="F11" s="100">
        <v>22177.05</v>
      </c>
      <c r="G11" s="99">
        <f t="shared" si="8"/>
        <v>-9.694706915482465E-3</v>
      </c>
      <c r="I11" s="97"/>
      <c r="J11" s="99"/>
      <c r="K11" s="99"/>
      <c r="O11" s="97" t="s">
        <v>103</v>
      </c>
      <c r="P11" s="110">
        <v>45246</v>
      </c>
      <c r="Q11" s="99">
        <f>C263</f>
        <v>1.9262981574539317E-3</v>
      </c>
      <c r="R11" s="108">
        <f>E263</f>
        <v>4.5615220998758144E-3</v>
      </c>
      <c r="S11" s="109">
        <f t="shared" si="0"/>
        <v>3.8679068849346763E-3</v>
      </c>
      <c r="T11" s="108">
        <f t="shared" si="10"/>
        <v>-1.9416087274807445E-3</v>
      </c>
      <c r="W11" s="126">
        <v>45618</v>
      </c>
      <c r="X11" s="97">
        <v>1485.25</v>
      </c>
      <c r="Y11" s="97">
        <f t="shared" si="1"/>
        <v>1.6598220396988328E-2</v>
      </c>
      <c r="AA11" s="126">
        <v>45428</v>
      </c>
      <c r="AB11" s="97">
        <f t="shared" si="2"/>
        <v>1662.95</v>
      </c>
      <c r="AC11" s="97">
        <f t="shared" si="3"/>
        <v>1.4550668049539528E-2</v>
      </c>
      <c r="AE11" s="126">
        <v>45337</v>
      </c>
      <c r="AF11" s="97">
        <f t="shared" si="4"/>
        <v>1620.65</v>
      </c>
      <c r="AG11" s="97">
        <f t="shared" si="5"/>
        <v>9.6878699146472069E-3</v>
      </c>
      <c r="AI11" s="126">
        <v>45275</v>
      </c>
      <c r="AJ11" s="97">
        <f t="shared" si="6"/>
        <v>1257.75</v>
      </c>
      <c r="AK11" s="97">
        <f t="shared" si="7"/>
        <v>9.3491694085547916E-3</v>
      </c>
      <c r="AP11" s="97" t="s">
        <v>104</v>
      </c>
      <c r="AQ11" s="100">
        <v>2.5000000000000001E-2</v>
      </c>
      <c r="AV11" s="97" t="s">
        <v>105</v>
      </c>
      <c r="AW11" s="100">
        <f>AW10/$AQ$8</f>
        <v>0.19998982498982498</v>
      </c>
      <c r="AX11" s="100">
        <f>AX10/$AQ$8</f>
        <v>0.195039824989825</v>
      </c>
      <c r="AY11" s="100">
        <f>AY10/$AQ$8</f>
        <v>0.183489824989825</v>
      </c>
    </row>
    <row r="12" spans="1:57">
      <c r="A12" s="126">
        <v>45618</v>
      </c>
      <c r="B12" s="100">
        <v>2071.35</v>
      </c>
      <c r="C12" s="99">
        <f t="shared" si="11"/>
        <v>1.3876651982378752E-2</v>
      </c>
      <c r="D12" s="100">
        <v>23907.25</v>
      </c>
      <c r="E12" s="99">
        <f t="shared" si="12"/>
        <v>2.3869481239748191E-2</v>
      </c>
      <c r="F12" s="100">
        <v>21962.05</v>
      </c>
      <c r="G12" s="99">
        <f t="shared" si="8"/>
        <v>-1.0106069333236212E-2</v>
      </c>
      <c r="I12" s="97" t="s">
        <v>106</v>
      </c>
      <c r="J12" s="99">
        <f>SLOPE(C9:C516,E9:E516)</f>
        <v>0.43537268995452361</v>
      </c>
      <c r="K12" s="99"/>
      <c r="O12" s="97" t="s">
        <v>107</v>
      </c>
      <c r="P12" s="110">
        <v>45247</v>
      </c>
      <c r="Q12" s="99">
        <f>C262</f>
        <v>1.8390035944162442E-3</v>
      </c>
      <c r="R12" s="108">
        <f>E262</f>
        <v>-1.6898387064133713E-3</v>
      </c>
      <c r="S12" s="109">
        <f t="shared" si="0"/>
        <v>1.146235114824274E-3</v>
      </c>
      <c r="T12" s="108">
        <f t="shared" si="10"/>
        <v>6.9276847959197016E-4</v>
      </c>
      <c r="W12" s="126">
        <v>45617</v>
      </c>
      <c r="X12" s="97">
        <v>1461</v>
      </c>
      <c r="Y12" s="97">
        <f t="shared" si="1"/>
        <v>-6.1224489795917991E-3</v>
      </c>
      <c r="AA12" s="126">
        <v>45427</v>
      </c>
      <c r="AB12" s="97">
        <f t="shared" si="2"/>
        <v>1639.1</v>
      </c>
      <c r="AC12" s="97">
        <f t="shared" si="3"/>
        <v>1.1910942796933277E-3</v>
      </c>
      <c r="AE12" s="126">
        <v>45336</v>
      </c>
      <c r="AF12" s="97">
        <f t="shared" si="4"/>
        <v>1605.1</v>
      </c>
      <c r="AG12" s="97">
        <f t="shared" si="5"/>
        <v>-4.1259500542888405E-3</v>
      </c>
      <c r="AI12" s="126">
        <v>45274</v>
      </c>
      <c r="AJ12" s="97">
        <f t="shared" si="6"/>
        <v>1246.0999999999999</v>
      </c>
      <c r="AK12" s="97">
        <f t="shared" si="7"/>
        <v>-8.1585545429219142E-3</v>
      </c>
      <c r="AP12" s="97" t="s">
        <v>108</v>
      </c>
      <c r="AQ12" s="100">
        <f>AQ10*AQ11</f>
        <v>324.32400000000007</v>
      </c>
      <c r="AV12" s="97" t="s">
        <v>109</v>
      </c>
      <c r="AW12" s="100">
        <f>AQ14</f>
        <v>1936</v>
      </c>
      <c r="AX12" s="100">
        <f>$AQ$14-(AX9*(1-$AQ$16))</f>
        <v>1858.1622399999999</v>
      </c>
      <c r="AY12" s="100">
        <f>$AQ$14-(AY9*(1-$AQ$16))</f>
        <v>1676.5408</v>
      </c>
    </row>
    <row r="13" spans="1:57">
      <c r="A13" s="126">
        <v>45617</v>
      </c>
      <c r="B13" s="100">
        <v>2043</v>
      </c>
      <c r="C13" s="99">
        <f t="shared" si="11"/>
        <v>2.3550191345305116E-3</v>
      </c>
      <c r="D13" s="100">
        <v>23349.9</v>
      </c>
      <c r="E13" s="99">
        <f t="shared" si="12"/>
        <v>-7.1688245423814356E-3</v>
      </c>
      <c r="F13" s="100">
        <v>21740.1</v>
      </c>
      <c r="G13" s="99">
        <f t="shared" si="8"/>
        <v>1.3224410191305935E-3</v>
      </c>
      <c r="I13" s="97" t="s">
        <v>110</v>
      </c>
      <c r="J13" s="99">
        <f>INTERCEPT(C9:C516,E9:E516)</f>
        <v>1.8819447380247359E-3</v>
      </c>
      <c r="K13" s="99"/>
      <c r="O13" s="97" t="s">
        <v>111</v>
      </c>
      <c r="P13" s="110">
        <v>45250</v>
      </c>
      <c r="Q13" s="99">
        <f>C261</f>
        <v>1.9232373800583957E-2</v>
      </c>
      <c r="R13" s="108">
        <f>E261</f>
        <v>-1.915689394784037E-3</v>
      </c>
      <c r="S13" s="109">
        <f t="shared" si="0"/>
        <v>1.0479058931002565E-3</v>
      </c>
      <c r="T13" s="108">
        <f t="shared" si="10"/>
        <v>1.8184467907483702E-2</v>
      </c>
      <c r="W13" s="126">
        <v>45615</v>
      </c>
      <c r="X13" s="97">
        <v>1470</v>
      </c>
      <c r="Y13" s="97">
        <f t="shared" si="1"/>
        <v>4.098360655737654E-3</v>
      </c>
      <c r="AA13" s="126">
        <v>45426</v>
      </c>
      <c r="AB13" s="97">
        <f t="shared" si="2"/>
        <v>1637.15</v>
      </c>
      <c r="AC13" s="97">
        <f t="shared" si="3"/>
        <v>-3.0469027596825682E-2</v>
      </c>
      <c r="AE13" s="126">
        <v>45335</v>
      </c>
      <c r="AF13" s="97">
        <f t="shared" si="4"/>
        <v>1611.75</v>
      </c>
      <c r="AG13" s="97">
        <f t="shared" si="5"/>
        <v>1.8648018648017572E-3</v>
      </c>
      <c r="AI13" s="126">
        <v>45273</v>
      </c>
      <c r="AJ13" s="97">
        <f t="shared" si="6"/>
        <v>1256.3499999999999</v>
      </c>
      <c r="AK13" s="97">
        <f t="shared" si="7"/>
        <v>3.5545970125407944E-3</v>
      </c>
      <c r="AP13" s="97" t="s">
        <v>112</v>
      </c>
      <c r="AQ13" s="100">
        <v>3931</v>
      </c>
      <c r="AV13" s="97" t="s">
        <v>113</v>
      </c>
      <c r="AW13" s="100">
        <f>AW12/$AQ$8</f>
        <v>9.84940984940985E-2</v>
      </c>
      <c r="AX13" s="100">
        <f>AX12/$AQ$8</f>
        <v>9.4534098494098481E-2</v>
      </c>
      <c r="AY13" s="100">
        <f>AY12/$AQ$8</f>
        <v>8.5294098494098497E-2</v>
      </c>
    </row>
    <row r="14" spans="1:57">
      <c r="A14" s="126">
        <v>45615</v>
      </c>
      <c r="B14" s="100">
        <v>2038.2</v>
      </c>
      <c r="C14" s="99">
        <f t="shared" si="11"/>
        <v>1.2034876581112908E-3</v>
      </c>
      <c r="D14" s="100">
        <v>23518.5</v>
      </c>
      <c r="E14" s="99">
        <f t="shared" si="12"/>
        <v>2.758614808687776E-3</v>
      </c>
      <c r="F14" s="100">
        <v>21768.85</v>
      </c>
      <c r="G14" s="99">
        <f t="shared" si="8"/>
        <v>-1.0322088672575558E-2</v>
      </c>
      <c r="O14" s="97" t="s">
        <v>114</v>
      </c>
      <c r="P14" s="110">
        <v>45251</v>
      </c>
      <c r="Q14" s="99">
        <f>C260</f>
        <v>-2.4149645941632381E-3</v>
      </c>
      <c r="R14" s="108">
        <f>E260</f>
        <v>4.5394536407028507E-3</v>
      </c>
      <c r="S14" s="109">
        <f t="shared" si="0"/>
        <v>3.8582988805013914E-3</v>
      </c>
      <c r="T14" s="108">
        <f t="shared" si="10"/>
        <v>-6.2732634746646299E-3</v>
      </c>
      <c r="W14" s="126">
        <v>45614</v>
      </c>
      <c r="X14" s="97">
        <v>1464</v>
      </c>
      <c r="Y14" s="97">
        <f t="shared" si="1"/>
        <v>-2.4845134217011844E-2</v>
      </c>
      <c r="AA14" s="126">
        <v>45425</v>
      </c>
      <c r="AB14" s="97">
        <f t="shared" si="2"/>
        <v>1688.6</v>
      </c>
      <c r="AC14" s="97">
        <f t="shared" si="3"/>
        <v>4.9765316589474917E-2</v>
      </c>
      <c r="AE14" s="126">
        <v>45334</v>
      </c>
      <c r="AF14" s="97">
        <f t="shared" si="4"/>
        <v>1608.75</v>
      </c>
      <c r="AG14" s="97">
        <f t="shared" si="5"/>
        <v>8.9686098654708779E-3</v>
      </c>
      <c r="AI14" s="126">
        <v>45272</v>
      </c>
      <c r="AJ14" s="97">
        <f t="shared" si="6"/>
        <v>1251.9000000000001</v>
      </c>
      <c r="AK14" s="97">
        <f t="shared" si="7"/>
        <v>9.4746603233479831E-3</v>
      </c>
      <c r="AP14" s="97" t="s">
        <v>115</v>
      </c>
      <c r="AQ14" s="100">
        <v>1936</v>
      </c>
      <c r="AV14" s="97" t="s">
        <v>116</v>
      </c>
      <c r="AW14" s="100">
        <f>AQ15</f>
        <v>3648</v>
      </c>
      <c r="AX14" s="100">
        <f>$AQ$15-AX9</f>
        <v>3550.7028</v>
      </c>
      <c r="AY14" s="100">
        <f>$AQ$15-AY9</f>
        <v>3323.6759999999999</v>
      </c>
    </row>
    <row r="15" spans="1:57">
      <c r="A15" s="126">
        <v>45614</v>
      </c>
      <c r="B15" s="100">
        <v>2035.75</v>
      </c>
      <c r="C15" s="99">
        <f t="shared" si="11"/>
        <v>9.8717662524494543E-3</v>
      </c>
      <c r="D15" s="100">
        <v>23453.8</v>
      </c>
      <c r="E15" s="99">
        <f>D15/D16-1</f>
        <v>-3.3527814487925856E-3</v>
      </c>
      <c r="F15" s="100">
        <v>21544.15</v>
      </c>
      <c r="G15" s="99">
        <f t="shared" si="8"/>
        <v>9.6476305632851034E-3</v>
      </c>
      <c r="I15" s="111" t="s">
        <v>121</v>
      </c>
      <c r="O15" s="97" t="s">
        <v>117</v>
      </c>
      <c r="P15" s="110">
        <v>45252</v>
      </c>
      <c r="Q15" s="99">
        <f>C259</f>
        <v>-1.6781552601345617E-2</v>
      </c>
      <c r="R15" s="108">
        <f>E259</f>
        <v>1.4380743451578581E-3</v>
      </c>
      <c r="S15" s="109">
        <f t="shared" si="0"/>
        <v>2.5080430340307025E-3</v>
      </c>
      <c r="T15" s="108">
        <f t="shared" si="10"/>
        <v>-1.9289595635376321E-2</v>
      </c>
      <c r="W15" s="126">
        <v>45610</v>
      </c>
      <c r="X15" s="97">
        <v>1501.3</v>
      </c>
      <c r="Y15" s="97">
        <f t="shared" si="1"/>
        <v>-2.9884446805684695E-3</v>
      </c>
      <c r="AA15" s="126">
        <v>45422</v>
      </c>
      <c r="AB15" s="97">
        <f t="shared" si="2"/>
        <v>1608.55</v>
      </c>
      <c r="AC15" s="97">
        <f t="shared" si="3"/>
        <v>1.5530793269989518E-2</v>
      </c>
      <c r="AE15" s="126">
        <v>45331</v>
      </c>
      <c r="AF15" s="97">
        <f t="shared" si="4"/>
        <v>1594.45</v>
      </c>
      <c r="AG15" s="97">
        <f t="shared" si="5"/>
        <v>-1.7045804820911115E-2</v>
      </c>
      <c r="AI15" s="126">
        <v>45271</v>
      </c>
      <c r="AJ15" s="97">
        <f t="shared" si="6"/>
        <v>1240.1500000000001</v>
      </c>
      <c r="AK15" s="97">
        <f t="shared" si="7"/>
        <v>8.539015166917352E-3</v>
      </c>
      <c r="AP15" s="97" t="s">
        <v>118</v>
      </c>
      <c r="AQ15" s="100">
        <v>3648</v>
      </c>
      <c r="AV15" s="97" t="s">
        <v>243</v>
      </c>
      <c r="AW15" s="100">
        <f>AW12/$AQ$18</f>
        <v>42.643171806167402</v>
      </c>
      <c r="AX15" s="100">
        <f>AX12/$AQ$18</f>
        <v>40.92868370044053</v>
      </c>
      <c r="AY15" s="100">
        <f>AY12/$AQ$18</f>
        <v>36.928211453744495</v>
      </c>
    </row>
    <row r="16" spans="1:57">
      <c r="A16" s="126">
        <v>45610</v>
      </c>
      <c r="B16" s="100">
        <v>2015.85</v>
      </c>
      <c r="C16" s="99">
        <f t="shared" si="11"/>
        <v>-1.1353604708190357E-2</v>
      </c>
      <c r="D16" s="100">
        <v>23532.7</v>
      </c>
      <c r="E16" s="99">
        <f t="shared" si="12"/>
        <v>-1.1184661520731165E-3</v>
      </c>
      <c r="F16" s="100">
        <v>21752</v>
      </c>
      <c r="G16" s="99">
        <f t="shared" si="8"/>
        <v>2.6342405296064797E-3</v>
      </c>
      <c r="I16" s="98" t="s">
        <v>72</v>
      </c>
      <c r="J16" s="98" t="s">
        <v>123</v>
      </c>
      <c r="O16" s="97" t="s">
        <v>119</v>
      </c>
      <c r="P16" s="110">
        <v>45253</v>
      </c>
      <c r="Q16" s="99">
        <f>C258</f>
        <v>3.7599632767182589E-2</v>
      </c>
      <c r="R16" s="108">
        <f>E258</f>
        <v>-4.971771944567438E-4</v>
      </c>
      <c r="S16" s="109">
        <f t="shared" si="0"/>
        <v>1.6654873654900601E-3</v>
      </c>
      <c r="T16" s="108">
        <f t="shared" si="10"/>
        <v>3.5934145401692527E-2</v>
      </c>
      <c r="W16" s="126">
        <v>45609</v>
      </c>
      <c r="X16" s="97">
        <v>1505.8</v>
      </c>
      <c r="Y16" s="97">
        <f t="shared" si="1"/>
        <v>-1.2104313596850935E-2</v>
      </c>
      <c r="AA16" s="126">
        <v>45421</v>
      </c>
      <c r="AB16" s="97">
        <f t="shared" si="2"/>
        <v>1583.95</v>
      </c>
      <c r="AC16" s="97">
        <f t="shared" si="3"/>
        <v>-1.9923893202982379E-2</v>
      </c>
      <c r="AE16" s="126">
        <v>45330</v>
      </c>
      <c r="AF16" s="97">
        <f t="shared" si="4"/>
        <v>1622.1</v>
      </c>
      <c r="AG16" s="97">
        <f t="shared" si="5"/>
        <v>9.7734063745018585E-3</v>
      </c>
      <c r="AI16" s="126">
        <v>45268</v>
      </c>
      <c r="AJ16" s="97">
        <f t="shared" si="6"/>
        <v>1229.6500000000001</v>
      </c>
      <c r="AK16" s="97">
        <f t="shared" si="7"/>
        <v>-7.8266833420743698E-3</v>
      </c>
      <c r="AP16" s="97" t="s">
        <v>120</v>
      </c>
      <c r="AQ16" s="100">
        <v>0.2</v>
      </c>
      <c r="AV16" s="97" t="s">
        <v>244</v>
      </c>
      <c r="AW16" s="100">
        <f>$AQ$17</f>
        <v>2006.35</v>
      </c>
      <c r="AX16" s="100">
        <f>$AQ$20*AX15</f>
        <v>1925.6837862727273</v>
      </c>
      <c r="AY16" s="100">
        <f>$AQ$20*AY15</f>
        <v>1737.4626209090909</v>
      </c>
    </row>
    <row r="17" spans="1:51">
      <c r="A17" s="126">
        <v>45609</v>
      </c>
      <c r="B17" s="100">
        <v>2039</v>
      </c>
      <c r="C17" s="99">
        <f t="shared" si="11"/>
        <v>-2.4448590976508311E-2</v>
      </c>
      <c r="D17" s="100">
        <v>23559.05</v>
      </c>
      <c r="E17" s="99">
        <f t="shared" si="12"/>
        <v>-1.3582627300494754E-2</v>
      </c>
      <c r="F17" s="100">
        <v>21809.3</v>
      </c>
      <c r="G17" s="99">
        <f t="shared" si="8"/>
        <v>1.5695139229594757E-2</v>
      </c>
      <c r="I17" s="97" t="s">
        <v>92</v>
      </c>
      <c r="J17" s="97">
        <f>_xlfn.STDEV.S(Q8:Q18)</f>
        <v>1.4884976707069621E-2</v>
      </c>
      <c r="O17" s="97" t="s">
        <v>122</v>
      </c>
      <c r="P17" s="110">
        <v>45254</v>
      </c>
      <c r="Q17" s="99">
        <f>C257</f>
        <v>1.4076576576576016E-3</v>
      </c>
      <c r="R17" s="108">
        <f>E257</f>
        <v>-3.6864963135030404E-4</v>
      </c>
      <c r="S17" s="109">
        <f t="shared" si="0"/>
        <v>1.7214447563730106E-3</v>
      </c>
      <c r="T17" s="108">
        <f t="shared" si="10"/>
        <v>-3.1378709871540894E-4</v>
      </c>
      <c r="W17" s="126">
        <v>45608</v>
      </c>
      <c r="X17" s="97">
        <v>1524.25</v>
      </c>
      <c r="Y17" s="97">
        <f t="shared" si="1"/>
        <v>-1.6454266817228613E-2</v>
      </c>
      <c r="AA17" s="126">
        <v>45420</v>
      </c>
      <c r="AB17" s="97">
        <f t="shared" si="2"/>
        <v>1616.15</v>
      </c>
      <c r="AC17" s="97">
        <f t="shared" si="3"/>
        <v>3.4459207748667176E-3</v>
      </c>
      <c r="AE17" s="126">
        <v>45329</v>
      </c>
      <c r="AF17" s="97">
        <f t="shared" si="4"/>
        <v>1606.4</v>
      </c>
      <c r="AG17" s="97">
        <f t="shared" si="5"/>
        <v>7.5895377281567367E-3</v>
      </c>
      <c r="AI17" s="126">
        <v>45267</v>
      </c>
      <c r="AJ17" s="97">
        <f t="shared" si="6"/>
        <v>1239.3499999999999</v>
      </c>
      <c r="AK17" s="97">
        <f t="shared" si="7"/>
        <v>-7.726180944755856E-3</v>
      </c>
      <c r="AP17" s="97" t="s">
        <v>245</v>
      </c>
      <c r="AQ17" s="100">
        <f>B9</f>
        <v>2006.35</v>
      </c>
      <c r="AV17" s="97" t="s">
        <v>246</v>
      </c>
      <c r="AW17" s="100">
        <v>0</v>
      </c>
      <c r="AX17" s="100">
        <f>AX16/$AW$16-1</f>
        <v>-4.0205454545454544E-2</v>
      </c>
      <c r="AY17" s="100">
        <f>AY16/$AW$16-1</f>
        <v>-0.13401818181818181</v>
      </c>
    </row>
    <row r="18" spans="1:51">
      <c r="A18" s="126">
        <v>45608</v>
      </c>
      <c r="B18" s="100">
        <v>2090.1</v>
      </c>
      <c r="C18" s="99">
        <f t="shared" si="11"/>
        <v>2.4941244184373268E-3</v>
      </c>
      <c r="D18" s="100">
        <v>23883.45</v>
      </c>
      <c r="E18" s="99">
        <f t="shared" si="12"/>
        <v>-1.0680866399075395E-2</v>
      </c>
      <c r="F18" s="100">
        <v>22151.599999999999</v>
      </c>
      <c r="G18" s="99">
        <f t="shared" si="8"/>
        <v>8.6968887123277661E-3</v>
      </c>
      <c r="I18" s="97" t="s">
        <v>96</v>
      </c>
      <c r="J18" s="97">
        <f>J17*SQRT(252)</f>
        <v>0.23629167982737206</v>
      </c>
      <c r="O18" s="97" t="s">
        <v>124</v>
      </c>
      <c r="P18" s="110">
        <v>45258</v>
      </c>
      <c r="Q18" s="99">
        <f>C256</f>
        <v>3.6949275071287424E-3</v>
      </c>
      <c r="R18" s="108">
        <f>E256</f>
        <v>4.7992644495749026E-3</v>
      </c>
      <c r="S18" s="113">
        <f t="shared" si="0"/>
        <v>3.971413411239277E-3</v>
      </c>
      <c r="T18" s="114">
        <f t="shared" si="10"/>
        <v>-2.7648590411053463E-4</v>
      </c>
      <c r="W18" s="126">
        <v>45607</v>
      </c>
      <c r="X18" s="97">
        <v>1549.75</v>
      </c>
      <c r="Y18" s="97">
        <f t="shared" si="1"/>
        <v>-2.5651504196661512E-2</v>
      </c>
      <c r="AA18" s="126">
        <v>45419</v>
      </c>
      <c r="AB18" s="97">
        <f t="shared" si="2"/>
        <v>1610.6</v>
      </c>
      <c r="AC18" s="97">
        <f t="shared" si="3"/>
        <v>-4.1109755008484017E-2</v>
      </c>
      <c r="AE18" s="126">
        <v>45328</v>
      </c>
      <c r="AF18" s="97">
        <f t="shared" si="4"/>
        <v>1594.3</v>
      </c>
      <c r="AG18" s="97">
        <f t="shared" si="5"/>
        <v>8.9548460589183865E-3</v>
      </c>
      <c r="AI18" s="126">
        <v>45266</v>
      </c>
      <c r="AJ18" s="97">
        <f t="shared" si="6"/>
        <v>1249</v>
      </c>
      <c r="AK18" s="97">
        <f t="shared" si="7"/>
        <v>4.4229995979090386E-3</v>
      </c>
      <c r="AP18" s="97" t="s">
        <v>247</v>
      </c>
      <c r="AQ18" s="100">
        <v>45.4</v>
      </c>
      <c r="AV18" s="97" t="s">
        <v>248</v>
      </c>
      <c r="AW18" s="100">
        <f>AW16*$AQ$18</f>
        <v>91088.29</v>
      </c>
      <c r="AX18" s="100">
        <f>AX16*$AQ$18</f>
        <v>87426.043896781819</v>
      </c>
      <c r="AY18" s="100">
        <f>AY16*$AQ$18</f>
        <v>78880.802989272721</v>
      </c>
    </row>
    <row r="19" spans="1:51">
      <c r="A19" s="126">
        <v>45607</v>
      </c>
      <c r="B19" s="100">
        <v>2084.9</v>
      </c>
      <c r="C19" s="99">
        <f t="shared" si="11"/>
        <v>-9.3604485412903671E-3</v>
      </c>
      <c r="D19" s="100">
        <v>24141.3</v>
      </c>
      <c r="E19" s="99">
        <f t="shared" si="12"/>
        <v>-2.8573558277644739E-4</v>
      </c>
      <c r="F19" s="100">
        <v>22344.25</v>
      </c>
      <c r="G19" s="99">
        <f t="shared" si="8"/>
        <v>8.8613401658144131E-3</v>
      </c>
      <c r="I19" s="97" t="s">
        <v>128</v>
      </c>
      <c r="J19" s="97">
        <f>J18/J9</f>
        <v>0.92687699082014041</v>
      </c>
      <c r="O19" t="s">
        <v>125</v>
      </c>
      <c r="P19" s="37"/>
      <c r="S19" s="111" t="s">
        <v>249</v>
      </c>
      <c r="T19" s="112">
        <f>SUM(T8:T18)</f>
        <v>3.058262392590446E-2</v>
      </c>
      <c r="W19" s="126">
        <v>45604</v>
      </c>
      <c r="X19" s="97">
        <v>1590.55</v>
      </c>
      <c r="Y19" s="97">
        <f t="shared" si="1"/>
        <v>4.9281314168376777E-3</v>
      </c>
      <c r="AA19" s="126">
        <v>45418</v>
      </c>
      <c r="AB19" s="97">
        <f t="shared" si="2"/>
        <v>1679.65</v>
      </c>
      <c r="AC19" s="97">
        <f t="shared" si="3"/>
        <v>1.5047590270433675E-2</v>
      </c>
      <c r="AE19" s="126">
        <v>45327</v>
      </c>
      <c r="AF19" s="97">
        <f t="shared" si="4"/>
        <v>1580.15</v>
      </c>
      <c r="AG19" s="97">
        <f t="shared" si="5"/>
        <v>4.4496710421764174E-3</v>
      </c>
      <c r="AI19" s="126">
        <v>45265</v>
      </c>
      <c r="AJ19" s="97">
        <f t="shared" si="6"/>
        <v>1243.5</v>
      </c>
      <c r="AK19" s="97">
        <f t="shared" si="7"/>
        <v>-1.1683357176919484E-2</v>
      </c>
      <c r="AP19" s="97" t="s">
        <v>250</v>
      </c>
      <c r="AQ19" s="100">
        <f>AQ14/AQ18</f>
        <v>42.643171806167402</v>
      </c>
    </row>
    <row r="20" spans="1:51">
      <c r="A20" s="126">
        <v>45604</v>
      </c>
      <c r="B20" s="100">
        <v>2104.6</v>
      </c>
      <c r="C20" s="99">
        <f t="shared" si="11"/>
        <v>-3.2678190859578571E-3</v>
      </c>
      <c r="D20" s="100">
        <v>24148.2</v>
      </c>
      <c r="E20" s="99">
        <f t="shared" si="12"/>
        <v>-2.1136931363857636E-3</v>
      </c>
      <c r="F20" s="100">
        <v>22542.25</v>
      </c>
      <c r="G20" s="99">
        <f t="shared" si="8"/>
        <v>-6.7872550433067946E-4</v>
      </c>
      <c r="W20" s="126">
        <v>45603</v>
      </c>
      <c r="X20" s="97">
        <v>1582.75</v>
      </c>
      <c r="Y20" s="97">
        <f t="shared" si="1"/>
        <v>-8.3020050125313105E-3</v>
      </c>
      <c r="AA20" s="126">
        <v>45415</v>
      </c>
      <c r="AB20" s="97">
        <f t="shared" si="2"/>
        <v>1654.75</v>
      </c>
      <c r="AC20" s="97">
        <f t="shared" si="3"/>
        <v>4.3091676023425673E-3</v>
      </c>
      <c r="AE20" s="126">
        <v>45324</v>
      </c>
      <c r="AF20" s="97">
        <f t="shared" si="4"/>
        <v>1573.15</v>
      </c>
      <c r="AG20" s="97">
        <f t="shared" si="5"/>
        <v>4.6847446348361466E-2</v>
      </c>
      <c r="AI20" s="126">
        <v>45264</v>
      </c>
      <c r="AJ20" s="97">
        <f t="shared" si="6"/>
        <v>1258.2</v>
      </c>
      <c r="AK20" s="97">
        <f t="shared" si="7"/>
        <v>-1.8642655983498457E-3</v>
      </c>
      <c r="AP20" s="97" t="s">
        <v>251</v>
      </c>
      <c r="AQ20" s="100">
        <f>AQ17/AQ19</f>
        <v>47.04973657024793</v>
      </c>
    </row>
    <row r="21" spans="1:51">
      <c r="A21" s="126">
        <v>45603</v>
      </c>
      <c r="B21" s="100">
        <v>2111.5</v>
      </c>
      <c r="C21" s="99">
        <f t="shared" si="11"/>
        <v>-2.5184090856628538E-2</v>
      </c>
      <c r="D21" s="100">
        <v>24199.35</v>
      </c>
      <c r="E21" s="99">
        <f t="shared" si="12"/>
        <v>-1.1627978214388546E-2</v>
      </c>
      <c r="F21" s="100">
        <v>22526.95</v>
      </c>
      <c r="G21" s="99">
        <f t="shared" si="8"/>
        <v>1.7463527019858427E-2</v>
      </c>
      <c r="W21" s="126">
        <v>45602</v>
      </c>
      <c r="X21" s="97">
        <v>1596</v>
      </c>
      <c r="Y21" s="97">
        <f t="shared" si="1"/>
        <v>-5.2356020942408987E-3</v>
      </c>
      <c r="AA21" s="126">
        <v>45414</v>
      </c>
      <c r="AB21" s="97">
        <f t="shared" si="2"/>
        <v>1647.65</v>
      </c>
      <c r="AC21" s="97">
        <f t="shared" si="3"/>
        <v>1.0632480709642511E-3</v>
      </c>
      <c r="AE21" s="126">
        <v>45323</v>
      </c>
      <c r="AF21" s="97">
        <f t="shared" si="4"/>
        <v>1502.75</v>
      </c>
      <c r="AG21" s="97">
        <f t="shared" si="5"/>
        <v>-7.2339301050406979E-3</v>
      </c>
      <c r="AI21" s="126">
        <v>45261</v>
      </c>
      <c r="AJ21" s="97">
        <f t="shared" si="6"/>
        <v>1260.55</v>
      </c>
      <c r="AK21" s="97">
        <f t="shared" si="7"/>
        <v>-2.7840974819727915E-2</v>
      </c>
      <c r="AP21" s="97" t="s">
        <v>106</v>
      </c>
      <c r="AQ21" s="100">
        <f>J12</f>
        <v>0.43537268995452361</v>
      </c>
    </row>
    <row r="22" spans="1:51">
      <c r="A22" s="126">
        <v>45602</v>
      </c>
      <c r="B22" s="100">
        <v>2166.0500000000002</v>
      </c>
      <c r="C22" s="99">
        <f t="shared" si="11"/>
        <v>-7.1960582101523451E-3</v>
      </c>
      <c r="D22" s="100">
        <v>24484.05</v>
      </c>
      <c r="E22" s="99">
        <f t="shared" si="12"/>
        <v>1.1181871120417242E-2</v>
      </c>
      <c r="F22" s="100">
        <v>22920.35</v>
      </c>
      <c r="G22" s="99">
        <f t="shared" si="8"/>
        <v>-1.1304364898441666E-2</v>
      </c>
      <c r="W22" s="126">
        <v>45601</v>
      </c>
      <c r="X22" s="97">
        <v>1604.4</v>
      </c>
      <c r="Y22" s="97">
        <f t="shared" si="1"/>
        <v>1.2878787878787934E-2</v>
      </c>
      <c r="AA22" s="126">
        <v>45412</v>
      </c>
      <c r="AB22" s="97">
        <f t="shared" si="2"/>
        <v>1645.9</v>
      </c>
      <c r="AC22" s="97">
        <f t="shared" si="3"/>
        <v>5.160462914898245E-3</v>
      </c>
      <c r="AE22" s="126">
        <v>45322</v>
      </c>
      <c r="AF22" s="97">
        <f t="shared" si="4"/>
        <v>1513.7</v>
      </c>
      <c r="AG22" s="97">
        <f t="shared" si="5"/>
        <v>5.5468827847344748E-3</v>
      </c>
      <c r="AI22" s="126">
        <v>45260</v>
      </c>
      <c r="AJ22" s="97">
        <f t="shared" si="6"/>
        <v>1296.6500000000001</v>
      </c>
      <c r="AK22" s="97">
        <f t="shared" si="7"/>
        <v>1.229604184557731E-2</v>
      </c>
    </row>
    <row r="23" spans="1:51">
      <c r="A23" s="126">
        <v>45601</v>
      </c>
      <c r="B23" s="100">
        <v>2181.75</v>
      </c>
      <c r="C23" s="99">
        <f t="shared" si="11"/>
        <v>-3.0159709370073395E-3</v>
      </c>
      <c r="D23" s="100">
        <v>24213.3</v>
      </c>
      <c r="E23" s="99">
        <f t="shared" si="12"/>
        <v>9.0830098331551312E-3</v>
      </c>
      <c r="F23" s="100">
        <v>22661.25</v>
      </c>
      <c r="G23" s="99">
        <f t="shared" si="8"/>
        <v>-1.0127420155552347E-3</v>
      </c>
      <c r="W23" s="126">
        <v>45600</v>
      </c>
      <c r="X23" s="97">
        <v>1584</v>
      </c>
      <c r="Y23" s="97">
        <f t="shared" si="1"/>
        <v>1.538461538461533E-2</v>
      </c>
      <c r="AA23" s="126">
        <v>45411</v>
      </c>
      <c r="AB23" s="97">
        <f t="shared" si="2"/>
        <v>1637.45</v>
      </c>
      <c r="AC23" s="97">
        <f t="shared" si="3"/>
        <v>1.3304867106036733E-2</v>
      </c>
      <c r="AE23" s="126">
        <v>45321</v>
      </c>
      <c r="AF23" s="97">
        <f t="shared" si="4"/>
        <v>1505.35</v>
      </c>
      <c r="AG23" s="97">
        <f t="shared" si="5"/>
        <v>2.5338010421278367E-2</v>
      </c>
      <c r="AI23" s="126">
        <v>45259</v>
      </c>
      <c r="AJ23" s="97">
        <f t="shared" si="6"/>
        <v>1280.9000000000001</v>
      </c>
      <c r="AK23" s="97">
        <f t="shared" si="7"/>
        <v>2.5089032051538673E-2</v>
      </c>
      <c r="AP23" s="111" t="str">
        <f>CONCATENATE("Exposed Revenue = ₹",TEXT(AQ10,"#,##0.00")," Cr")</f>
        <v>Exposed Revenue = ₹12,972.96 Cr</v>
      </c>
    </row>
    <row r="24" spans="1:51">
      <c r="A24" s="126">
        <v>45600</v>
      </c>
      <c r="B24" s="100">
        <v>2188.35</v>
      </c>
      <c r="C24" s="99">
        <f t="shared" si="11"/>
        <v>-4.2544478318241596E-3</v>
      </c>
      <c r="D24" s="100">
        <v>23995.35</v>
      </c>
      <c r="E24" s="99">
        <f t="shared" si="12"/>
        <v>-1.2713773460306443E-2</v>
      </c>
      <c r="F24" s="100">
        <v>22638.3</v>
      </c>
      <c r="G24" s="99">
        <f t="shared" si="8"/>
        <v>7.4585989230639971E-3</v>
      </c>
      <c r="W24" s="126">
        <v>45597</v>
      </c>
      <c r="X24" s="97">
        <v>1560</v>
      </c>
      <c r="Y24" s="97">
        <f t="shared" si="1"/>
        <v>4.5074050225371032E-3</v>
      </c>
      <c r="AA24" s="126">
        <v>45408</v>
      </c>
      <c r="AB24" s="97">
        <f t="shared" si="2"/>
        <v>1615.95</v>
      </c>
      <c r="AC24" s="97">
        <f t="shared" si="3"/>
        <v>1.3516056196688275E-2</v>
      </c>
      <c r="AE24" s="126">
        <v>45320</v>
      </c>
      <c r="AF24" s="97">
        <f t="shared" si="4"/>
        <v>1468.15</v>
      </c>
      <c r="AG24" s="97">
        <f t="shared" si="5"/>
        <v>-1.0213712667700325E-2</v>
      </c>
      <c r="AI24" s="126">
        <v>45258</v>
      </c>
      <c r="AJ24" s="97">
        <f t="shared" si="6"/>
        <v>1249.55</v>
      </c>
      <c r="AK24" s="97">
        <f t="shared" si="7"/>
        <v>3.6949275071287424E-3</v>
      </c>
      <c r="AP24" s="111" t="str">
        <f>CONCATENATE("Baseline Freight Cost = ₹",TEXT(AQ12,"#,##0.00")," Cr")</f>
        <v>Baseline Freight Cost = ₹324.32 Cr</v>
      </c>
    </row>
    <row r="25" spans="1:51">
      <c r="A25" s="126">
        <v>45597</v>
      </c>
      <c r="B25" s="100">
        <v>2197.6999999999998</v>
      </c>
      <c r="C25" s="99">
        <f t="shared" si="11"/>
        <v>4.915521616863705E-3</v>
      </c>
      <c r="D25" s="100">
        <v>24304.35</v>
      </c>
      <c r="E25" s="99">
        <f t="shared" si="12"/>
        <v>4.0900048956118429E-3</v>
      </c>
      <c r="F25" s="100">
        <v>22807.15</v>
      </c>
      <c r="G25" s="99">
        <f t="shared" si="8"/>
        <v>-3.1393663829106799E-3</v>
      </c>
      <c r="J25" s="237" t="s">
        <v>129</v>
      </c>
      <c r="K25" s="237"/>
      <c r="L25" s="237"/>
      <c r="M25" s="237"/>
      <c r="W25" s="126">
        <v>45596</v>
      </c>
      <c r="X25" s="97">
        <v>1553</v>
      </c>
      <c r="Y25" s="97">
        <f t="shared" si="1"/>
        <v>9.5204513399153701E-2</v>
      </c>
      <c r="AA25" s="126">
        <v>45407</v>
      </c>
      <c r="AB25" s="97">
        <f t="shared" si="2"/>
        <v>1594.4</v>
      </c>
      <c r="AC25" s="97">
        <f t="shared" si="3"/>
        <v>9.1139240506330488E-3</v>
      </c>
      <c r="AE25" s="126">
        <v>45316</v>
      </c>
      <c r="AF25" s="97">
        <f t="shared" si="4"/>
        <v>1483.3</v>
      </c>
      <c r="AG25" s="97">
        <f t="shared" si="5"/>
        <v>2.0116227089852501E-2</v>
      </c>
      <c r="AI25" s="126">
        <v>45254</v>
      </c>
      <c r="AJ25" s="97">
        <f t="shared" si="6"/>
        <v>1244.95</v>
      </c>
      <c r="AK25" s="97">
        <f t="shared" si="7"/>
        <v>1.4076576576576016E-3</v>
      </c>
    </row>
    <row r="26" spans="1:51">
      <c r="A26" s="126">
        <v>45596</v>
      </c>
      <c r="B26" s="100">
        <v>2186.9499999999998</v>
      </c>
      <c r="C26" s="99">
        <f t="shared" si="11"/>
        <v>1.3297810726282888E-2</v>
      </c>
      <c r="D26" s="100">
        <v>24205.35</v>
      </c>
      <c r="E26" s="99">
        <f t="shared" si="12"/>
        <v>-5.5667735514577377E-3</v>
      </c>
      <c r="F26" s="100">
        <v>22735.55</v>
      </c>
      <c r="G26" s="99">
        <f t="shared" si="8"/>
        <v>-1.5860623560899012E-2</v>
      </c>
      <c r="J26" s="98" t="s">
        <v>130</v>
      </c>
      <c r="K26" s="98" t="s">
        <v>91</v>
      </c>
      <c r="L26" s="98" t="s">
        <v>131</v>
      </c>
      <c r="W26" s="126">
        <v>45595</v>
      </c>
      <c r="X26" s="97">
        <v>1418</v>
      </c>
      <c r="Y26" s="97">
        <f t="shared" si="1"/>
        <v>-4.1244083840432766E-2</v>
      </c>
      <c r="AA26" s="126">
        <v>45406</v>
      </c>
      <c r="AB26" s="97">
        <f t="shared" si="2"/>
        <v>1580</v>
      </c>
      <c r="AC26" s="97">
        <f t="shared" si="3"/>
        <v>-3.1644568209809876E-5</v>
      </c>
      <c r="AE26" s="126">
        <v>45315</v>
      </c>
      <c r="AF26" s="97">
        <f t="shared" si="4"/>
        <v>1454.05</v>
      </c>
      <c r="AG26" s="97">
        <f t="shared" si="5"/>
        <v>3.3466740270493567E-3</v>
      </c>
      <c r="AI26" s="126">
        <v>45253</v>
      </c>
      <c r="AJ26" s="97">
        <f t="shared" si="6"/>
        <v>1243.2</v>
      </c>
      <c r="AK26" s="97">
        <f t="shared" si="7"/>
        <v>3.7599632767182589E-2</v>
      </c>
    </row>
    <row r="27" spans="1:51">
      <c r="A27" s="126">
        <v>45595</v>
      </c>
      <c r="B27" s="100">
        <v>2158.25</v>
      </c>
      <c r="C27" s="99">
        <f t="shared" si="11"/>
        <v>-2.1712032273417559E-2</v>
      </c>
      <c r="D27" s="100">
        <v>24340.85</v>
      </c>
      <c r="E27" s="99">
        <f t="shared" si="12"/>
        <v>-5.1498251716097787E-3</v>
      </c>
      <c r="F27" s="100">
        <v>22374.95</v>
      </c>
      <c r="G27" s="99">
        <f t="shared" si="8"/>
        <v>1.012069300713514E-2</v>
      </c>
      <c r="J27" s="97" t="s">
        <v>132</v>
      </c>
      <c r="K27" s="100">
        <f>B262</f>
        <v>1198.5</v>
      </c>
      <c r="L27" s="97" t="s">
        <v>133</v>
      </c>
      <c r="W27" s="126">
        <v>45594</v>
      </c>
      <c r="X27" s="97">
        <v>1479</v>
      </c>
      <c r="Y27" s="97">
        <f t="shared" si="1"/>
        <v>-1.8645079954880184E-2</v>
      </c>
      <c r="AA27" s="126">
        <v>45405</v>
      </c>
      <c r="AB27" s="97">
        <f t="shared" si="2"/>
        <v>1580.05</v>
      </c>
      <c r="AC27" s="97">
        <f t="shared" si="3"/>
        <v>-1.4716428148286775E-2</v>
      </c>
      <c r="AE27" s="126">
        <v>45314</v>
      </c>
      <c r="AF27" s="97">
        <f t="shared" si="4"/>
        <v>1449.2</v>
      </c>
      <c r="AG27" s="97">
        <f t="shared" si="5"/>
        <v>6.9133229112385841E-3</v>
      </c>
      <c r="AI27" s="126">
        <v>45252</v>
      </c>
      <c r="AJ27" s="97">
        <f t="shared" si="6"/>
        <v>1198.1500000000001</v>
      </c>
      <c r="AK27" s="97">
        <f t="shared" si="7"/>
        <v>-1.6781552601345617E-2</v>
      </c>
    </row>
    <row r="28" spans="1:51">
      <c r="A28" s="126">
        <v>45594</v>
      </c>
      <c r="B28" s="100">
        <v>2206.15</v>
      </c>
      <c r="C28" s="99">
        <f t="shared" si="11"/>
        <v>6.5768585295056248E-4</v>
      </c>
      <c r="D28" s="100">
        <v>24466.85</v>
      </c>
      <c r="E28" s="99">
        <f t="shared" si="12"/>
        <v>5.2466910307056303E-3</v>
      </c>
      <c r="F28" s="100">
        <v>22601.4</v>
      </c>
      <c r="G28" s="99">
        <f t="shared" si="8"/>
        <v>1.1320095215340498E-2</v>
      </c>
      <c r="J28" s="97" t="s">
        <v>134</v>
      </c>
      <c r="K28" s="100">
        <f>B261</f>
        <v>1221.55</v>
      </c>
      <c r="L28" s="97" t="s">
        <v>133</v>
      </c>
      <c r="W28" s="126">
        <v>45593</v>
      </c>
      <c r="X28" s="97">
        <v>1507.1</v>
      </c>
      <c r="Y28" s="97">
        <f t="shared" si="1"/>
        <v>1.3755759593717221E-2</v>
      </c>
      <c r="AA28" s="126">
        <v>45404</v>
      </c>
      <c r="AB28" s="97">
        <f t="shared" si="2"/>
        <v>1603.65</v>
      </c>
      <c r="AC28" s="97">
        <f t="shared" si="3"/>
        <v>3.6250848114762091E-2</v>
      </c>
      <c r="AE28" s="126">
        <v>45311</v>
      </c>
      <c r="AF28" s="97">
        <f t="shared" si="4"/>
        <v>1439.25</v>
      </c>
      <c r="AG28" s="97">
        <f t="shared" si="5"/>
        <v>2.005740812927459E-2</v>
      </c>
      <c r="AI28" s="126">
        <v>45251</v>
      </c>
      <c r="AJ28" s="97">
        <f t="shared" si="6"/>
        <v>1218.5999999999999</v>
      </c>
      <c r="AK28" s="97">
        <f t="shared" si="7"/>
        <v>-2.4149645941632381E-3</v>
      </c>
    </row>
    <row r="29" spans="1:51">
      <c r="A29" s="126">
        <v>45593</v>
      </c>
      <c r="B29" s="100">
        <v>2204.6999999999998</v>
      </c>
      <c r="C29" s="99">
        <f t="shared" si="11"/>
        <v>2.2256224787870371E-2</v>
      </c>
      <c r="D29" s="100">
        <v>24339.15</v>
      </c>
      <c r="E29" s="99">
        <f t="shared" si="12"/>
        <v>6.5485840005294893E-3</v>
      </c>
      <c r="F29" s="100">
        <v>22857.25</v>
      </c>
      <c r="G29" s="99">
        <f t="shared" si="8"/>
        <v>-1.2368067024685847E-2</v>
      </c>
      <c r="J29" s="97" t="s">
        <v>135</v>
      </c>
      <c r="K29" s="97">
        <f>AJ8</f>
        <v>1256.8</v>
      </c>
      <c r="L29" s="97">
        <f>K29/$B$261-1</f>
        <v>2.8856780320085207E-2</v>
      </c>
      <c r="W29" s="126">
        <v>45590</v>
      </c>
      <c r="X29" s="97">
        <v>1486.65</v>
      </c>
      <c r="Y29" s="97">
        <f t="shared" si="1"/>
        <v>-5.5520251513427876E-3</v>
      </c>
      <c r="AA29" s="126">
        <v>45401</v>
      </c>
      <c r="AB29" s="97">
        <f t="shared" si="2"/>
        <v>1547.55</v>
      </c>
      <c r="AC29" s="97">
        <f t="shared" si="3"/>
        <v>-2.9170979580314338E-2</v>
      </c>
      <c r="AE29" s="126">
        <v>45310</v>
      </c>
      <c r="AF29" s="97">
        <f t="shared" si="4"/>
        <v>1410.95</v>
      </c>
      <c r="AG29" s="97">
        <f t="shared" si="5"/>
        <v>-1.3494144380353013E-2</v>
      </c>
      <c r="AI29" s="126">
        <v>45250</v>
      </c>
      <c r="AJ29" s="97">
        <f t="shared" si="6"/>
        <v>1221.55</v>
      </c>
      <c r="AK29" s="117"/>
    </row>
    <row r="30" spans="1:51">
      <c r="A30" s="126">
        <v>45590</v>
      </c>
      <c r="B30" s="100">
        <v>2156.6999999999998</v>
      </c>
      <c r="C30" s="99">
        <f t="shared" si="11"/>
        <v>1.1798925664422422E-2</v>
      </c>
      <c r="D30" s="100">
        <v>24180.799999999999</v>
      </c>
      <c r="E30" s="99">
        <f t="shared" si="12"/>
        <v>-8.9592367025419506E-3</v>
      </c>
      <c r="F30" s="100">
        <v>22574.55</v>
      </c>
      <c r="G30" s="99">
        <f t="shared" si="8"/>
        <v>-1.6611626809837077E-4</v>
      </c>
      <c r="J30" s="97" t="s">
        <v>136</v>
      </c>
      <c r="K30" s="97">
        <f>AF8</f>
        <v>1599.35</v>
      </c>
      <c r="L30" s="97">
        <f>K30/$B$261-1</f>
        <v>0.30927919446604712</v>
      </c>
      <c r="W30" s="126">
        <v>45589</v>
      </c>
      <c r="X30" s="97">
        <v>1494.95</v>
      </c>
      <c r="Y30" s="97">
        <f t="shared" si="1"/>
        <v>5.0421862919762805E-3</v>
      </c>
      <c r="AA30" s="126">
        <v>45400</v>
      </c>
      <c r="AB30" s="97">
        <f t="shared" si="2"/>
        <v>1594.05</v>
      </c>
      <c r="AC30" s="97">
        <f t="shared" si="3"/>
        <v>-1.0797728753607072E-2</v>
      </c>
      <c r="AE30" s="126">
        <v>45309</v>
      </c>
      <c r="AF30" s="97">
        <f t="shared" si="4"/>
        <v>1430.25</v>
      </c>
      <c r="AG30" s="97">
        <f t="shared" si="5"/>
        <v>3.2265983937149745E-3</v>
      </c>
      <c r="AK30" s="97">
        <f>SUM(AK8:AK29)</f>
        <v>3.1278052306283333E-2</v>
      </c>
    </row>
    <row r="31" spans="1:51">
      <c r="A31" s="126">
        <v>45589</v>
      </c>
      <c r="B31" s="100">
        <v>2131.5500000000002</v>
      </c>
      <c r="C31" s="99">
        <f t="shared" si="11"/>
        <v>2.7475838133571129E-2</v>
      </c>
      <c r="D31" s="100">
        <v>24399.4</v>
      </c>
      <c r="E31" s="99">
        <f t="shared" si="12"/>
        <v>-1.4773587608192251E-3</v>
      </c>
      <c r="F31" s="100">
        <v>22570.799999999999</v>
      </c>
      <c r="G31" s="99">
        <f t="shared" si="8"/>
        <v>-4.3950591029117136E-3</v>
      </c>
      <c r="J31" s="97" t="s">
        <v>137</v>
      </c>
      <c r="K31" s="97">
        <f>AB8</f>
        <v>1683.85</v>
      </c>
      <c r="L31" s="97">
        <f>K31/$B$261-1</f>
        <v>0.37845360402766981</v>
      </c>
      <c r="W31" s="126">
        <v>45588</v>
      </c>
      <c r="X31" s="97">
        <v>1487.45</v>
      </c>
      <c r="Y31" s="97">
        <f t="shared" si="1"/>
        <v>-1.5487970347817348E-2</v>
      </c>
      <c r="AA31" s="126">
        <v>45398</v>
      </c>
      <c r="AB31" s="97">
        <f t="shared" si="2"/>
        <v>1611.45</v>
      </c>
      <c r="AC31" s="97">
        <f t="shared" si="3"/>
        <v>1.460443726306826E-3</v>
      </c>
      <c r="AE31" s="126">
        <v>45308</v>
      </c>
      <c r="AF31" s="97">
        <f t="shared" si="4"/>
        <v>1425.65</v>
      </c>
      <c r="AG31" s="97">
        <f t="shared" si="5"/>
        <v>1.8466923846263805E-2</v>
      </c>
    </row>
    <row r="32" spans="1:51">
      <c r="A32" s="126">
        <v>45588</v>
      </c>
      <c r="B32" s="100">
        <v>2074.5500000000002</v>
      </c>
      <c r="C32" s="99">
        <f t="shared" si="11"/>
        <v>-2.6969348748856703E-2</v>
      </c>
      <c r="D32" s="100">
        <v>24435.5</v>
      </c>
      <c r="E32" s="99">
        <f t="shared" si="12"/>
        <v>-1.4955806816742134E-3</v>
      </c>
      <c r="F32" s="100">
        <v>22471.599999999999</v>
      </c>
      <c r="G32" s="99">
        <f t="shared" si="8"/>
        <v>1.5868918991082115E-2</v>
      </c>
      <c r="J32" s="97" t="s">
        <v>138</v>
      </c>
      <c r="K32" s="97">
        <f>X8</f>
        <v>2006.35</v>
      </c>
      <c r="L32" s="97">
        <f>K32/$B$261-1</f>
        <v>0.64246244525398066</v>
      </c>
      <c r="W32" s="126">
        <v>45587</v>
      </c>
      <c r="X32" s="97">
        <v>1510.85</v>
      </c>
      <c r="Y32" s="97">
        <f t="shared" si="1"/>
        <v>-5.2343955754543536E-3</v>
      </c>
      <c r="AA32" s="126">
        <v>45397</v>
      </c>
      <c r="AB32" s="97">
        <f t="shared" si="2"/>
        <v>1609.1</v>
      </c>
      <c r="AC32" s="97">
        <f t="shared" si="3"/>
        <v>-8.106025581753773E-3</v>
      </c>
      <c r="AE32" s="126">
        <v>45307</v>
      </c>
      <c r="AF32" s="97">
        <f t="shared" si="4"/>
        <v>1399.8</v>
      </c>
      <c r="AG32" s="97">
        <f t="shared" si="5"/>
        <v>8.7558101826827883E-3</v>
      </c>
    </row>
    <row r="33" spans="1:33">
      <c r="A33" s="126">
        <v>45587</v>
      </c>
      <c r="B33" s="100">
        <v>2132.0500000000002</v>
      </c>
      <c r="C33" s="99">
        <f t="shared" si="11"/>
        <v>-9.2474267524801368E-3</v>
      </c>
      <c r="D33" s="100">
        <v>24472.1</v>
      </c>
      <c r="E33" s="99">
        <f t="shared" si="12"/>
        <v>-1.2469180141317371E-2</v>
      </c>
      <c r="F33" s="100">
        <v>22828.2</v>
      </c>
      <c r="G33" s="99">
        <f t="shared" si="8"/>
        <v>1.2900710524701875E-2</v>
      </c>
      <c r="W33" s="126">
        <v>45586</v>
      </c>
      <c r="X33" s="97">
        <v>1518.8</v>
      </c>
      <c r="Y33" s="97">
        <f t="shared" si="1"/>
        <v>-2.1391752577319623E-2</v>
      </c>
      <c r="AA33" s="126">
        <v>45394</v>
      </c>
      <c r="AB33" s="97">
        <f t="shared" si="2"/>
        <v>1622.25</v>
      </c>
      <c r="AC33" s="97">
        <f t="shared" si="3"/>
        <v>1.0999626075034241E-2</v>
      </c>
      <c r="AE33" s="126">
        <v>45306</v>
      </c>
      <c r="AF33" s="97">
        <f t="shared" si="4"/>
        <v>1387.65</v>
      </c>
      <c r="AG33" s="97">
        <f t="shared" si="5"/>
        <v>-1.7940552016985079E-2</v>
      </c>
    </row>
    <row r="34" spans="1:33">
      <c r="A34" s="126">
        <v>45586</v>
      </c>
      <c r="B34" s="100">
        <v>2151.9499999999998</v>
      </c>
      <c r="C34" s="99">
        <f t="shared" si="11"/>
        <v>-1.2731109785750316E-2</v>
      </c>
      <c r="D34" s="100">
        <v>24781.1</v>
      </c>
      <c r="E34" s="99">
        <f t="shared" si="12"/>
        <v>-2.9351353199982277E-3</v>
      </c>
      <c r="F34" s="100">
        <v>23122.7</v>
      </c>
      <c r="G34" s="99">
        <f t="shared" si="8"/>
        <v>1.0098301668922671E-2</v>
      </c>
      <c r="W34" s="126">
        <v>45583</v>
      </c>
      <c r="X34" s="97">
        <v>1552</v>
      </c>
      <c r="Y34" s="97">
        <f t="shared" si="1"/>
        <v>-2.8911018310311398E-3</v>
      </c>
      <c r="AA34" s="126">
        <v>45392</v>
      </c>
      <c r="AB34" s="97">
        <f t="shared" si="2"/>
        <v>1604.6</v>
      </c>
      <c r="AC34" s="97">
        <f t="shared" si="3"/>
        <v>-6.5394077165026321E-4</v>
      </c>
      <c r="AE34" s="126">
        <v>45303</v>
      </c>
      <c r="AF34" s="97">
        <f t="shared" si="4"/>
        <v>1413</v>
      </c>
      <c r="AG34" s="97">
        <f t="shared" si="5"/>
        <v>1.0910391700947875E-2</v>
      </c>
    </row>
    <row r="35" spans="1:33">
      <c r="A35" s="126">
        <v>45583</v>
      </c>
      <c r="B35" s="100">
        <v>2179.6999999999998</v>
      </c>
      <c r="C35" s="99">
        <f t="shared" si="11"/>
        <v>1.5622846114964339E-3</v>
      </c>
      <c r="D35" s="100">
        <v>24854.05</v>
      </c>
      <c r="E35" s="99">
        <f t="shared" si="12"/>
        <v>4.2101265260194864E-3</v>
      </c>
      <c r="F35" s="100">
        <v>23356.2</v>
      </c>
      <c r="G35" s="99">
        <f t="shared" si="8"/>
        <v>-4.3757118024336794E-3</v>
      </c>
      <c r="W35" s="126">
        <v>45582</v>
      </c>
      <c r="X35" s="97">
        <v>1556.5</v>
      </c>
      <c r="Y35" s="97">
        <f t="shared" si="1"/>
        <v>-4.1905249352227614E-3</v>
      </c>
      <c r="AA35" s="126">
        <v>45391</v>
      </c>
      <c r="AB35" s="97">
        <f t="shared" si="2"/>
        <v>1605.65</v>
      </c>
      <c r="AC35" s="97">
        <f t="shared" si="3"/>
        <v>-3.9392059553349235E-3</v>
      </c>
      <c r="AE35" s="126">
        <v>45302</v>
      </c>
      <c r="AF35" s="97">
        <f t="shared" si="4"/>
        <v>1397.75</v>
      </c>
      <c r="AG35" s="97">
        <f t="shared" si="5"/>
        <v>-1.9279517298012028E-3</v>
      </c>
    </row>
    <row r="36" spans="1:33" ht="15.75">
      <c r="A36" s="126">
        <v>45582</v>
      </c>
      <c r="B36" s="100">
        <v>2176.3000000000002</v>
      </c>
      <c r="C36" s="99">
        <f t="shared" si="11"/>
        <v>-8.6548535507675606E-3</v>
      </c>
      <c r="D36" s="100">
        <v>24749.85</v>
      </c>
      <c r="E36" s="99">
        <f t="shared" si="12"/>
        <v>-8.8681806714108191E-3</v>
      </c>
      <c r="F36" s="100">
        <f>Ciplaa!F36</f>
        <v>23254</v>
      </c>
      <c r="G36" s="99">
        <f t="shared" si="8"/>
        <v>9.1747656317191506E-3</v>
      </c>
      <c r="I36" s="249" t="s">
        <v>252</v>
      </c>
      <c r="J36" s="249"/>
      <c r="K36" s="249"/>
      <c r="W36" s="126">
        <v>45581</v>
      </c>
      <c r="X36" s="97">
        <v>1563.05</v>
      </c>
      <c r="Y36" s="97">
        <f t="shared" si="1"/>
        <v>-4.2999108166645872E-3</v>
      </c>
      <c r="AA36" s="126">
        <v>45390</v>
      </c>
      <c r="AB36" s="97">
        <f t="shared" si="2"/>
        <v>1612</v>
      </c>
      <c r="AC36" s="97">
        <f t="shared" si="3"/>
        <v>7.9724871033297617E-3</v>
      </c>
      <c r="AE36" s="126">
        <v>45301</v>
      </c>
      <c r="AF36" s="97">
        <f t="shared" si="4"/>
        <v>1400.45</v>
      </c>
      <c r="AG36" s="97">
        <f t="shared" si="5"/>
        <v>-3.4157623198718401E-3</v>
      </c>
    </row>
    <row r="37" spans="1:33">
      <c r="A37" s="126">
        <v>45581</v>
      </c>
      <c r="B37" s="100">
        <v>2195.3000000000002</v>
      </c>
      <c r="C37" s="99">
        <f t="shared" si="11"/>
        <v>-2.4701230618863534E-2</v>
      </c>
      <c r="D37" s="100">
        <v>24971.3</v>
      </c>
      <c r="E37" s="99">
        <f t="shared" si="12"/>
        <v>-3.4341221238478603E-3</v>
      </c>
      <c r="F37" s="100">
        <v>23467.35</v>
      </c>
      <c r="G37" s="99">
        <f t="shared" si="8"/>
        <v>3.7648051441685482E-3</v>
      </c>
      <c r="I37" s="246" t="s">
        <v>253</v>
      </c>
      <c r="J37" s="246"/>
      <c r="K37" s="246"/>
      <c r="L37" s="246"/>
      <c r="M37" s="246"/>
      <c r="N37" s="246"/>
      <c r="O37" s="246"/>
      <c r="P37" s="246"/>
      <c r="Q37" s="246"/>
      <c r="R37" s="246"/>
      <c r="W37" s="126">
        <v>45580</v>
      </c>
      <c r="X37" s="97">
        <v>1569.8</v>
      </c>
      <c r="Y37" s="97">
        <f t="shared" si="1"/>
        <v>-1.9487820112429777E-2</v>
      </c>
      <c r="AA37" s="126">
        <v>45387</v>
      </c>
      <c r="AB37" s="97">
        <f t="shared" si="2"/>
        <v>1599.25</v>
      </c>
      <c r="AC37" s="97">
        <f t="shared" si="3"/>
        <v>7.5602457079855245E-3</v>
      </c>
      <c r="AE37" s="126">
        <v>45300</v>
      </c>
      <c r="AF37" s="97">
        <f t="shared" si="4"/>
        <v>1405.25</v>
      </c>
      <c r="AG37" s="97">
        <f t="shared" si="5"/>
        <v>6.4097973214924941E-3</v>
      </c>
    </row>
    <row r="38" spans="1:33">
      <c r="A38" s="126">
        <v>45580</v>
      </c>
      <c r="B38" s="100">
        <v>2250.9</v>
      </c>
      <c r="C38" s="99">
        <f t="shared" si="11"/>
        <v>3.1195686082268193E-3</v>
      </c>
      <c r="D38" s="100">
        <v>25057.35</v>
      </c>
      <c r="E38" s="99">
        <f t="shared" si="12"/>
        <v>-2.809620362982379E-3</v>
      </c>
      <c r="F38" s="100">
        <v>23555.7</v>
      </c>
      <c r="G38" s="99">
        <f t="shared" si="8"/>
        <v>5.2768544343830825E-3</v>
      </c>
      <c r="I38" s="246"/>
      <c r="J38" s="246"/>
      <c r="K38" s="246"/>
      <c r="L38" s="246"/>
      <c r="M38" s="246"/>
      <c r="N38" s="246"/>
      <c r="O38" s="246"/>
      <c r="P38" s="246"/>
      <c r="Q38" s="246"/>
      <c r="R38" s="246"/>
      <c r="W38" s="126">
        <v>45579</v>
      </c>
      <c r="X38" s="97">
        <v>1601</v>
      </c>
      <c r="Y38" s="97">
        <f t="shared" si="1"/>
        <v>4.2024713040205164E-3</v>
      </c>
      <c r="AA38" s="126">
        <v>45386</v>
      </c>
      <c r="AB38" s="97">
        <f t="shared" si="2"/>
        <v>1587.25</v>
      </c>
      <c r="AC38" s="97">
        <f t="shared" si="3"/>
        <v>-1.1305593621527388E-2</v>
      </c>
      <c r="AE38" s="126">
        <v>45299</v>
      </c>
      <c r="AF38" s="97">
        <f t="shared" si="4"/>
        <v>1396.3</v>
      </c>
      <c r="AG38" s="97">
        <f t="shared" si="5"/>
        <v>1.0091510833001749E-2</v>
      </c>
    </row>
    <row r="39" spans="1:33">
      <c r="A39" s="126">
        <v>45579</v>
      </c>
      <c r="B39" s="100">
        <v>2243.9</v>
      </c>
      <c r="C39" s="99">
        <f t="shared" si="11"/>
        <v>8.7210609125647487E-3</v>
      </c>
      <c r="D39" s="100">
        <v>25127.95</v>
      </c>
      <c r="E39" s="99">
        <f t="shared" si="12"/>
        <v>6.5573770491802463E-3</v>
      </c>
      <c r="F39" s="100">
        <v>23680</v>
      </c>
      <c r="G39" s="99">
        <f t="shared" si="8"/>
        <v>-4.1279560810810745E-3</v>
      </c>
      <c r="W39" s="126">
        <v>45576</v>
      </c>
      <c r="X39" s="97">
        <v>1594.3</v>
      </c>
      <c r="Y39" s="97">
        <f t="shared" si="1"/>
        <v>-1.8227723381981753E-2</v>
      </c>
      <c r="AA39" s="126">
        <v>45385</v>
      </c>
      <c r="AB39" s="97">
        <f t="shared" si="2"/>
        <v>1605.4</v>
      </c>
      <c r="AC39" s="97">
        <f t="shared" si="3"/>
        <v>-2.7952046710976175E-3</v>
      </c>
      <c r="AE39" s="126">
        <v>45296</v>
      </c>
      <c r="AF39" s="97">
        <f t="shared" si="4"/>
        <v>1382.35</v>
      </c>
      <c r="AG39" s="97">
        <f t="shared" si="5"/>
        <v>-5.1099355860233509E-3</v>
      </c>
    </row>
    <row r="40" spans="1:33">
      <c r="A40" s="126">
        <v>45576</v>
      </c>
      <c r="B40" s="100">
        <v>2224.5</v>
      </c>
      <c r="C40" s="99">
        <f t="shared" si="11"/>
        <v>3.2418258185784143E-2</v>
      </c>
      <c r="D40" s="100">
        <v>24964.25</v>
      </c>
      <c r="E40" s="99">
        <f t="shared" si="12"/>
        <v>-1.3680848212589414E-3</v>
      </c>
      <c r="F40" s="100">
        <v>23582.25</v>
      </c>
      <c r="G40" s="99">
        <f t="shared" si="8"/>
        <v>-1.1750363090883953E-2</v>
      </c>
      <c r="I40" s="157" t="s">
        <v>254</v>
      </c>
      <c r="W40" s="126">
        <v>45575</v>
      </c>
      <c r="X40" s="97">
        <v>1623.9</v>
      </c>
      <c r="Y40" s="97">
        <f t="shared" si="1"/>
        <v>-3.5115864527629159E-2</v>
      </c>
      <c r="AA40" s="126">
        <v>45384</v>
      </c>
      <c r="AB40" s="97">
        <f t="shared" ref="AB40:AB71" si="13">B171</f>
        <v>1609.9</v>
      </c>
      <c r="AC40" s="97">
        <f t="shared" ref="AC40:AC71" si="14">AB40/AB41-1</f>
        <v>-8.5296381832178358E-3</v>
      </c>
      <c r="AE40" s="126">
        <v>45295</v>
      </c>
      <c r="AF40" s="97">
        <f t="shared" ref="AF40:AF71" si="15">B230</f>
        <v>1389.45</v>
      </c>
      <c r="AG40" s="97">
        <f t="shared" ref="AG40:AG70" si="16">AF40/AF41-1</f>
        <v>-6.8263045032165293E-3</v>
      </c>
    </row>
    <row r="41" spans="1:33">
      <c r="A41" s="126">
        <v>45575</v>
      </c>
      <c r="B41" s="100">
        <v>2154.65</v>
      </c>
      <c r="C41" s="99">
        <f t="shared" si="11"/>
        <v>-5.7479057763391017E-2</v>
      </c>
      <c r="D41" s="100">
        <v>24998.45</v>
      </c>
      <c r="E41" s="99">
        <f t="shared" si="12"/>
        <v>6.6047686429593355E-4</v>
      </c>
      <c r="F41" s="100">
        <v>23305.15</v>
      </c>
      <c r="G41" s="99">
        <f t="shared" si="8"/>
        <v>2.0538378856175488E-2</v>
      </c>
      <c r="I41" s="242" t="s">
        <v>255</v>
      </c>
      <c r="J41" s="242"/>
      <c r="K41" s="242"/>
      <c r="L41" s="242"/>
      <c r="M41" s="242"/>
      <c r="N41" s="242"/>
      <c r="O41" s="242"/>
      <c r="P41" s="242"/>
      <c r="Q41" s="242"/>
      <c r="R41" s="242"/>
      <c r="W41" s="126">
        <v>45574</v>
      </c>
      <c r="X41" s="97">
        <v>1683</v>
      </c>
      <c r="Y41" s="97">
        <f t="shared" si="1"/>
        <v>2.6282090371364086E-2</v>
      </c>
      <c r="AA41" s="126">
        <v>45383</v>
      </c>
      <c r="AB41" s="97">
        <f t="shared" si="13"/>
        <v>1623.75</v>
      </c>
      <c r="AC41" s="97">
        <f t="shared" si="14"/>
        <v>4.2986145472538873E-3</v>
      </c>
      <c r="AE41" s="126">
        <v>45294</v>
      </c>
      <c r="AF41" s="97">
        <f t="shared" si="15"/>
        <v>1399</v>
      </c>
      <c r="AG41" s="97">
        <f t="shared" si="16"/>
        <v>-5.2616609783845414E-3</v>
      </c>
    </row>
    <row r="42" spans="1:33">
      <c r="A42" s="126">
        <v>45574</v>
      </c>
      <c r="B42" s="100">
        <v>2286.0500000000002</v>
      </c>
      <c r="C42" s="99">
        <f t="shared" si="11"/>
        <v>3.1168948329912904E-2</v>
      </c>
      <c r="D42" s="100">
        <v>24981.95</v>
      </c>
      <c r="E42" s="99">
        <f t="shared" si="12"/>
        <v>-1.2473438971101203E-3</v>
      </c>
      <c r="F42" s="100">
        <v>23783.8</v>
      </c>
      <c r="G42" s="99">
        <f t="shared" si="8"/>
        <v>-2.0007315904102763E-2</v>
      </c>
      <c r="I42" s="242" t="s">
        <v>256</v>
      </c>
      <c r="J42" s="242"/>
      <c r="K42" s="242"/>
      <c r="L42" s="242"/>
      <c r="M42" s="242"/>
      <c r="N42" s="242"/>
      <c r="O42" s="242"/>
      <c r="P42" s="242"/>
      <c r="Q42" s="242"/>
      <c r="R42" s="242"/>
      <c r="W42" s="126">
        <v>45573</v>
      </c>
      <c r="X42" s="97">
        <v>1639.9</v>
      </c>
      <c r="Y42" s="97">
        <f t="shared" si="1"/>
        <v>9.7906403940888342E-3</v>
      </c>
      <c r="AA42" s="126">
        <v>45379</v>
      </c>
      <c r="AB42" s="97">
        <f t="shared" si="13"/>
        <v>1616.8</v>
      </c>
      <c r="AC42" s="97">
        <f t="shared" si="14"/>
        <v>1.0531579111847211E-2</v>
      </c>
      <c r="AE42" s="126">
        <v>45293</v>
      </c>
      <c r="AF42" s="97">
        <f t="shared" si="15"/>
        <v>1406.4</v>
      </c>
      <c r="AG42" s="97">
        <f t="shared" si="16"/>
        <v>8.6420195790153365E-3</v>
      </c>
    </row>
    <row r="43" spans="1:33">
      <c r="A43" s="126">
        <v>45573</v>
      </c>
      <c r="B43" s="100">
        <v>2216.9499999999998</v>
      </c>
      <c r="C43" s="99">
        <f t="shared" si="11"/>
        <v>1.9334222263092338E-2</v>
      </c>
      <c r="D43" s="100">
        <v>25013.15</v>
      </c>
      <c r="E43" s="99">
        <f t="shared" si="12"/>
        <v>8.7676315497615676E-3</v>
      </c>
      <c r="F43" s="100">
        <v>23307.95</v>
      </c>
      <c r="G43" s="99">
        <f t="shared" si="8"/>
        <v>-1.4164694878786022E-2</v>
      </c>
      <c r="I43" s="242" t="s">
        <v>257</v>
      </c>
      <c r="J43" s="242"/>
      <c r="K43" s="242"/>
      <c r="L43" s="242"/>
      <c r="M43" s="242"/>
      <c r="N43" s="242"/>
      <c r="O43" s="242"/>
      <c r="P43" s="242"/>
      <c r="Q43" s="242"/>
      <c r="R43" s="242"/>
      <c r="W43" s="126">
        <v>45572</v>
      </c>
      <c r="X43" s="97">
        <v>1624</v>
      </c>
      <c r="Y43" s="97">
        <f t="shared" si="1"/>
        <v>-6.1538461538457323E-4</v>
      </c>
      <c r="AA43" s="126">
        <v>45378</v>
      </c>
      <c r="AB43" s="97">
        <f t="shared" si="13"/>
        <v>1599.95</v>
      </c>
      <c r="AC43" s="97">
        <f t="shared" si="14"/>
        <v>-9.2575391665118412E-3</v>
      </c>
      <c r="AE43" s="126">
        <v>45292</v>
      </c>
      <c r="AF43" s="97">
        <f t="shared" si="15"/>
        <v>1394.35</v>
      </c>
      <c r="AG43" s="97">
        <f t="shared" si="16"/>
        <v>6.2078683779563493E-2</v>
      </c>
    </row>
    <row r="44" spans="1:33">
      <c r="A44" s="126">
        <v>45572</v>
      </c>
      <c r="B44" s="100">
        <v>2174.9</v>
      </c>
      <c r="C44" s="99">
        <f t="shared" si="11"/>
        <v>-1.0622085750028432E-2</v>
      </c>
      <c r="D44" s="100">
        <v>24795.75</v>
      </c>
      <c r="E44" s="99">
        <f t="shared" si="12"/>
        <v>-8.7488906478615514E-3</v>
      </c>
      <c r="F44" s="100">
        <v>22977.8</v>
      </c>
      <c r="G44" s="99">
        <f t="shared" si="8"/>
        <v>5.0875192577184425E-3</v>
      </c>
      <c r="I44" s="242" t="s">
        <v>258</v>
      </c>
      <c r="J44" s="242"/>
      <c r="K44" s="242"/>
      <c r="L44" s="242"/>
      <c r="M44" s="242"/>
      <c r="N44" s="242"/>
      <c r="O44" s="242"/>
      <c r="P44" s="242"/>
      <c r="Q44" s="242"/>
      <c r="R44" s="242"/>
      <c r="W44" s="126">
        <v>45569</v>
      </c>
      <c r="X44" s="97">
        <v>1625</v>
      </c>
      <c r="Y44" s="97">
        <f t="shared" si="1"/>
        <v>-1.9903498190591118E-2</v>
      </c>
      <c r="AA44" s="126">
        <v>45377</v>
      </c>
      <c r="AB44" s="97">
        <f t="shared" si="13"/>
        <v>1614.9</v>
      </c>
      <c r="AC44" s="97">
        <f t="shared" si="14"/>
        <v>4.1349292709467189E-3</v>
      </c>
      <c r="AE44" s="126">
        <v>45289</v>
      </c>
      <c r="AF44" s="97">
        <f t="shared" si="15"/>
        <v>1312.85</v>
      </c>
      <c r="AG44" s="97">
        <f t="shared" si="16"/>
        <v>-7.6344533051136976E-3</v>
      </c>
    </row>
    <row r="45" spans="1:33">
      <c r="A45" s="126">
        <v>45569</v>
      </c>
      <c r="B45" s="100">
        <v>2198.25</v>
      </c>
      <c r="C45" s="99">
        <f t="shared" si="11"/>
        <v>6.7091042315443605E-3</v>
      </c>
      <c r="D45" s="100">
        <v>25014.6</v>
      </c>
      <c r="E45" s="99">
        <f t="shared" si="12"/>
        <v>-9.3266957358584257E-3</v>
      </c>
      <c r="F45" s="100">
        <v>23094.7</v>
      </c>
      <c r="G45" s="99">
        <f t="shared" si="8"/>
        <v>3.6393631439246565E-3</v>
      </c>
      <c r="W45" s="126">
        <v>45568</v>
      </c>
      <c r="X45" s="97">
        <v>1658</v>
      </c>
      <c r="Y45" s="97">
        <f t="shared" si="1"/>
        <v>-3.5758286006190021E-3</v>
      </c>
      <c r="AA45" s="126">
        <v>45373</v>
      </c>
      <c r="AB45" s="97">
        <f t="shared" si="13"/>
        <v>1608.25</v>
      </c>
      <c r="AC45" s="97">
        <f t="shared" si="14"/>
        <v>-2.1096391896504585E-3</v>
      </c>
      <c r="AE45" s="126">
        <v>45288</v>
      </c>
      <c r="AF45" s="97">
        <f t="shared" si="15"/>
        <v>1322.95</v>
      </c>
      <c r="AG45" s="97">
        <f t="shared" si="16"/>
        <v>-1.2687040561214946E-2</v>
      </c>
    </row>
    <row r="46" spans="1:33">
      <c r="A46" s="126">
        <v>45568</v>
      </c>
      <c r="B46" s="100">
        <v>2183.6</v>
      </c>
      <c r="C46" s="99">
        <f t="shared" si="11"/>
        <v>-4.921618665694627E-3</v>
      </c>
      <c r="D46" s="100">
        <v>25250.1</v>
      </c>
      <c r="E46" s="99">
        <f t="shared" si="12"/>
        <v>-2.1196345297303298E-2</v>
      </c>
      <c r="F46" s="100">
        <v>23178.75</v>
      </c>
      <c r="G46" s="99">
        <f t="shared" si="8"/>
        <v>5.0822412770317182E-3</v>
      </c>
      <c r="I46" s="157" t="s">
        <v>259</v>
      </c>
      <c r="W46" s="126">
        <v>45566</v>
      </c>
      <c r="X46" s="97">
        <v>1663.95</v>
      </c>
      <c r="Y46" s="97">
        <f t="shared" si="1"/>
        <v>5.407854984894378E-3</v>
      </c>
      <c r="AA46" s="126">
        <v>45372</v>
      </c>
      <c r="AB46" s="97">
        <f t="shared" si="13"/>
        <v>1611.65</v>
      </c>
      <c r="AC46" s="97">
        <f t="shared" si="14"/>
        <v>3.1192014844199978E-2</v>
      </c>
      <c r="AE46" s="126">
        <v>45287</v>
      </c>
      <c r="AF46" s="97">
        <f t="shared" si="15"/>
        <v>1339.95</v>
      </c>
      <c r="AG46" s="97">
        <f t="shared" si="16"/>
        <v>4.0333850931677073E-2</v>
      </c>
    </row>
    <row r="47" spans="1:33">
      <c r="A47" s="126">
        <v>45566</v>
      </c>
      <c r="B47" s="100">
        <v>2194.4</v>
      </c>
      <c r="C47" s="99">
        <f t="shared" si="11"/>
        <v>1.5060928300854037E-3</v>
      </c>
      <c r="D47" s="100">
        <v>25796.9</v>
      </c>
      <c r="E47" s="99">
        <f t="shared" si="12"/>
        <v>-5.4047038357885047E-4</v>
      </c>
      <c r="F47" s="100">
        <v>23296.55</v>
      </c>
      <c r="G47" s="99">
        <f t="shared" si="8"/>
        <v>-6.5889584509293275E-4</v>
      </c>
      <c r="I47" s="242" t="s">
        <v>260</v>
      </c>
      <c r="J47" s="242"/>
      <c r="K47" s="242"/>
      <c r="L47" s="242"/>
      <c r="M47" s="242"/>
      <c r="N47" s="242"/>
      <c r="O47" s="242"/>
      <c r="P47" s="242"/>
      <c r="Q47" s="242"/>
      <c r="R47" s="242"/>
      <c r="W47" s="126">
        <v>45565</v>
      </c>
      <c r="X47" s="97">
        <v>1655</v>
      </c>
      <c r="Y47" s="97">
        <f t="shared" si="1"/>
        <v>-1.1645267243953428E-2</v>
      </c>
      <c r="AA47" s="126">
        <v>45371</v>
      </c>
      <c r="AB47" s="97">
        <f t="shared" si="13"/>
        <v>1562.9</v>
      </c>
      <c r="AC47" s="97">
        <f t="shared" si="14"/>
        <v>-4.6490892879887946E-3</v>
      </c>
      <c r="AE47" s="126">
        <v>45286</v>
      </c>
      <c r="AF47" s="97">
        <f t="shared" si="15"/>
        <v>1288</v>
      </c>
      <c r="AG47" s="97">
        <f t="shared" si="16"/>
        <v>4.1710521186604232E-3</v>
      </c>
    </row>
    <row r="48" spans="1:33">
      <c r="A48" s="126">
        <v>45565</v>
      </c>
      <c r="B48" s="100">
        <v>2191.1</v>
      </c>
      <c r="C48" s="99">
        <f t="shared" si="11"/>
        <v>-1.2350687401397331E-2</v>
      </c>
      <c r="D48" s="100">
        <v>25810.85</v>
      </c>
      <c r="E48" s="99">
        <f t="shared" si="12"/>
        <v>-1.4060915353747983E-2</v>
      </c>
      <c r="F48" s="100">
        <v>23281.200000000001</v>
      </c>
      <c r="G48" s="99">
        <f t="shared" si="8"/>
        <v>1.021854543580214E-2</v>
      </c>
      <c r="I48" s="242" t="s">
        <v>261</v>
      </c>
      <c r="J48" s="242"/>
      <c r="K48" s="242"/>
      <c r="L48" s="242"/>
      <c r="M48" s="242"/>
      <c r="N48" s="242"/>
      <c r="O48" s="242"/>
      <c r="P48" s="242"/>
      <c r="Q48" s="242"/>
      <c r="R48" s="242"/>
      <c r="W48" s="126">
        <v>45562</v>
      </c>
      <c r="X48" s="97">
        <v>1674.5</v>
      </c>
      <c r="Y48" s="97">
        <f t="shared" si="1"/>
        <v>3.4280420012353208E-2</v>
      </c>
      <c r="AA48" s="126">
        <v>45370</v>
      </c>
      <c r="AB48" s="97">
        <f t="shared" si="13"/>
        <v>1570.2</v>
      </c>
      <c r="AC48" s="97">
        <f t="shared" si="14"/>
        <v>-2.7378592666005952E-2</v>
      </c>
      <c r="AE48" s="126">
        <v>45282</v>
      </c>
      <c r="AF48" s="97">
        <f t="shared" si="15"/>
        <v>1282.6500000000001</v>
      </c>
      <c r="AG48" s="97">
        <f t="shared" si="16"/>
        <v>1.3872421152478109E-2</v>
      </c>
    </row>
    <row r="49" spans="1:33">
      <c r="A49" s="126">
        <v>45562</v>
      </c>
      <c r="B49" s="100">
        <v>2218.5</v>
      </c>
      <c r="C49" s="99">
        <f t="shared" si="11"/>
        <v>1.3870164294038201E-2</v>
      </c>
      <c r="D49" s="100">
        <v>26178.95</v>
      </c>
      <c r="E49" s="99">
        <f t="shared" si="12"/>
        <v>-1.4151636116043198E-3</v>
      </c>
      <c r="F49" s="100">
        <v>23519.1</v>
      </c>
      <c r="G49" s="99">
        <f t="shared" si="8"/>
        <v>-1.1403497582815558E-2</v>
      </c>
      <c r="I49" s="242" t="s">
        <v>262</v>
      </c>
      <c r="J49" s="242"/>
      <c r="K49" s="242"/>
      <c r="L49" s="242"/>
      <c r="M49" s="242"/>
      <c r="N49" s="242"/>
      <c r="O49" s="242"/>
      <c r="P49" s="242"/>
      <c r="Q49" s="242"/>
      <c r="R49" s="242"/>
      <c r="W49" s="126">
        <v>45561</v>
      </c>
      <c r="X49" s="97">
        <v>1619</v>
      </c>
      <c r="Y49" s="97">
        <f t="shared" si="1"/>
        <v>-1.7597087378640741E-2</v>
      </c>
      <c r="AA49" s="126">
        <v>45369</v>
      </c>
      <c r="AB49" s="97">
        <f t="shared" si="13"/>
        <v>1614.4</v>
      </c>
      <c r="AC49" s="97">
        <f t="shared" si="14"/>
        <v>-1.3685239491690981E-2</v>
      </c>
      <c r="AE49" s="126">
        <v>45281</v>
      </c>
      <c r="AF49" s="97">
        <f t="shared" si="15"/>
        <v>1265.0999999999999</v>
      </c>
      <c r="AG49" s="97">
        <f t="shared" si="16"/>
        <v>6.604073838319513E-3</v>
      </c>
    </row>
    <row r="50" spans="1:33">
      <c r="A50" s="126">
        <v>45561</v>
      </c>
      <c r="B50" s="100">
        <v>2188.15</v>
      </c>
      <c r="C50" s="99">
        <f t="shared" si="11"/>
        <v>-1.4834991670793718E-2</v>
      </c>
      <c r="D50" s="100">
        <v>26216.05</v>
      </c>
      <c r="E50" s="99">
        <f t="shared" si="12"/>
        <v>8.1486993422204002E-3</v>
      </c>
      <c r="F50" s="100">
        <v>23250.9</v>
      </c>
      <c r="G50" s="99">
        <f t="shared" si="8"/>
        <v>-8.1717266858571946E-5</v>
      </c>
      <c r="I50" s="242" t="s">
        <v>263</v>
      </c>
      <c r="J50" s="242"/>
      <c r="K50" s="242"/>
      <c r="L50" s="242"/>
      <c r="M50" s="242"/>
      <c r="N50" s="242"/>
      <c r="O50" s="242"/>
      <c r="P50" s="242"/>
      <c r="Q50" s="242"/>
      <c r="R50" s="242"/>
      <c r="W50" s="126">
        <v>45560</v>
      </c>
      <c r="X50" s="97">
        <v>1648</v>
      </c>
      <c r="Y50" s="97">
        <f t="shared" si="1"/>
        <v>5.5218279996338548E-3</v>
      </c>
      <c r="AA50" s="126">
        <v>45366</v>
      </c>
      <c r="AB50" s="97">
        <f t="shared" si="13"/>
        <v>1636.8</v>
      </c>
      <c r="AC50" s="97">
        <f t="shared" si="14"/>
        <v>-7.8196035642844608E-3</v>
      </c>
      <c r="AE50" s="126">
        <v>45280</v>
      </c>
      <c r="AF50" s="97">
        <f t="shared" si="15"/>
        <v>1256.8</v>
      </c>
      <c r="AG50" s="97">
        <f t="shared" si="16"/>
        <v>2.3786249592701258E-2</v>
      </c>
    </row>
    <row r="51" spans="1:33">
      <c r="A51" s="126">
        <v>45560</v>
      </c>
      <c r="B51" s="100">
        <v>2221.1</v>
      </c>
      <c r="C51" s="99">
        <f t="shared" si="11"/>
        <v>2.414532325397678E-3</v>
      </c>
      <c r="D51" s="100">
        <v>26004.15</v>
      </c>
      <c r="E51" s="99">
        <f t="shared" si="12"/>
        <v>2.4575565527131804E-3</v>
      </c>
      <c r="F51" s="100">
        <v>23249</v>
      </c>
      <c r="G51" s="99">
        <f t="shared" si="8"/>
        <v>-2.6065637231708072E-3</v>
      </c>
      <c r="W51" s="126">
        <v>45559</v>
      </c>
      <c r="X51" s="97">
        <v>1638.95</v>
      </c>
      <c r="Y51" s="97">
        <f t="shared" si="1"/>
        <v>-1.1817551475686527E-2</v>
      </c>
      <c r="AA51" s="126">
        <v>45365</v>
      </c>
      <c r="AB51" s="97">
        <f t="shared" si="13"/>
        <v>1649.7</v>
      </c>
      <c r="AC51" s="97">
        <f t="shared" si="14"/>
        <v>2.8811973807296498E-2</v>
      </c>
      <c r="AE51" s="126">
        <v>45279</v>
      </c>
      <c r="AF51" s="97">
        <f t="shared" si="15"/>
        <v>1227.5999999999999</v>
      </c>
      <c r="AG51" s="97">
        <f t="shared" si="16"/>
        <v>-3.3538025507794167E-2</v>
      </c>
    </row>
    <row r="52" spans="1:33" ht="15.75">
      <c r="A52" s="126">
        <v>45559</v>
      </c>
      <c r="B52" s="100">
        <v>2215.75</v>
      </c>
      <c r="C52" s="99">
        <f t="shared" si="11"/>
        <v>1.5351128422499638E-2</v>
      </c>
      <c r="D52" s="100">
        <v>25940.400000000001</v>
      </c>
      <c r="E52" s="99">
        <f t="shared" si="12"/>
        <v>5.2045082607143911E-5</v>
      </c>
      <c r="F52" s="100">
        <v>23188.400000000001</v>
      </c>
      <c r="G52" s="99">
        <f t="shared" si="8"/>
        <v>-2.3352193338048721E-3</v>
      </c>
      <c r="I52" s="177" t="s">
        <v>264</v>
      </c>
      <c r="W52" s="126">
        <v>45558</v>
      </c>
      <c r="X52" s="97">
        <v>1658.55</v>
      </c>
      <c r="Y52" s="97">
        <f t="shared" si="1"/>
        <v>8.8196830996625231E-3</v>
      </c>
      <c r="AA52" s="126">
        <v>45364</v>
      </c>
      <c r="AB52" s="97">
        <f t="shared" si="13"/>
        <v>1603.5</v>
      </c>
      <c r="AC52" s="97">
        <f t="shared" si="14"/>
        <v>-2.5849761550378103E-2</v>
      </c>
      <c r="AE52" s="126">
        <v>45278</v>
      </c>
      <c r="AF52" s="97">
        <f t="shared" si="15"/>
        <v>1270.2</v>
      </c>
      <c r="AG52" s="97">
        <f t="shared" si="16"/>
        <v>9.8986285032796051E-3</v>
      </c>
    </row>
    <row r="53" spans="1:33">
      <c r="A53" s="126">
        <v>45558</v>
      </c>
      <c r="B53" s="100">
        <v>2182.25</v>
      </c>
      <c r="C53" s="99">
        <f t="shared" si="11"/>
        <v>1.419807593995448E-2</v>
      </c>
      <c r="D53" s="100">
        <v>25939.05</v>
      </c>
      <c r="E53" s="99">
        <f t="shared" si="12"/>
        <v>5.7423243424534753E-3</v>
      </c>
      <c r="F53" s="100">
        <v>23134.25</v>
      </c>
      <c r="G53" s="99">
        <f t="shared" si="8"/>
        <v>-5.5761479192106833E-3</v>
      </c>
      <c r="W53" s="126">
        <v>45555</v>
      </c>
      <c r="X53" s="97">
        <v>1644.05</v>
      </c>
      <c r="Y53" s="97">
        <f t="shared" si="1"/>
        <v>1.2484774665042497E-3</v>
      </c>
      <c r="AA53" s="126">
        <v>45363</v>
      </c>
      <c r="AB53" s="97">
        <f t="shared" si="13"/>
        <v>1646.05</v>
      </c>
      <c r="AC53" s="97">
        <f t="shared" si="14"/>
        <v>-1.8250678436167456E-2</v>
      </c>
      <c r="AE53" s="126">
        <v>45275</v>
      </c>
      <c r="AF53" s="97">
        <f t="shared" si="15"/>
        <v>1257.75</v>
      </c>
      <c r="AG53" s="97">
        <f t="shared" si="16"/>
        <v>9.3491694085547916E-3</v>
      </c>
    </row>
    <row r="54" spans="1:33" ht="30">
      <c r="A54" s="126">
        <v>45555</v>
      </c>
      <c r="B54" s="100">
        <v>2151.6999999999998</v>
      </c>
      <c r="C54" s="99">
        <f t="shared" si="11"/>
        <v>-9.3006123670520413E-3</v>
      </c>
      <c r="D54" s="100">
        <v>25790.95</v>
      </c>
      <c r="E54" s="99">
        <f t="shared" si="12"/>
        <v>1.4760503308965278E-2</v>
      </c>
      <c r="F54" s="100">
        <v>23005.25</v>
      </c>
      <c r="G54" s="99">
        <f t="shared" si="8"/>
        <v>-3.2644722400321236E-3</v>
      </c>
      <c r="I54" s="187" t="s">
        <v>265</v>
      </c>
      <c r="J54" s="243" t="s">
        <v>266</v>
      </c>
      <c r="K54" s="244"/>
      <c r="L54" s="244"/>
      <c r="M54" s="244"/>
      <c r="N54" s="245"/>
      <c r="O54" s="184" t="s">
        <v>267</v>
      </c>
      <c r="Q54" s="184" t="s">
        <v>268</v>
      </c>
      <c r="W54" s="126">
        <v>45554</v>
      </c>
      <c r="X54" s="97">
        <v>1642</v>
      </c>
      <c r="Y54" s="97">
        <f t="shared" si="1"/>
        <v>-6.3540090771557756E-3</v>
      </c>
      <c r="AA54" s="126">
        <v>45362</v>
      </c>
      <c r="AB54" s="97">
        <f t="shared" si="13"/>
        <v>1676.65</v>
      </c>
      <c r="AC54" s="97">
        <f t="shared" si="14"/>
        <v>4.1323551429854888E-3</v>
      </c>
      <c r="AE54" s="126">
        <v>45274</v>
      </c>
      <c r="AF54" s="97">
        <f t="shared" si="15"/>
        <v>1246.0999999999999</v>
      </c>
      <c r="AG54" s="97">
        <f t="shared" si="16"/>
        <v>-8.1585545429219142E-3</v>
      </c>
    </row>
    <row r="55" spans="1:33">
      <c r="A55" s="126">
        <v>45554</v>
      </c>
      <c r="B55" s="100">
        <v>2171.9</v>
      </c>
      <c r="C55" s="99">
        <f t="shared" si="11"/>
        <v>-2.3843232432189332E-2</v>
      </c>
      <c r="D55" s="100">
        <v>25415.8</v>
      </c>
      <c r="E55" s="99">
        <f t="shared" si="12"/>
        <v>1.5072376963103373E-3</v>
      </c>
      <c r="F55" s="100">
        <v>22930.15</v>
      </c>
      <c r="G55" s="99">
        <f t="shared" si="8"/>
        <v>4.1451974801733904E-3</v>
      </c>
      <c r="I55" s="185" t="s">
        <v>269</v>
      </c>
      <c r="J55" s="239" t="s">
        <v>270</v>
      </c>
      <c r="K55" s="240"/>
      <c r="L55" s="240"/>
      <c r="M55" s="240"/>
      <c r="N55" s="241"/>
      <c r="O55" s="180">
        <v>3</v>
      </c>
      <c r="Q55" s="180">
        <v>2</v>
      </c>
      <c r="W55" s="126">
        <v>45553</v>
      </c>
      <c r="X55" s="97">
        <v>1652.5</v>
      </c>
      <c r="Y55" s="97">
        <f t="shared" si="1"/>
        <v>-1.2253436939629436E-2</v>
      </c>
      <c r="AA55" s="126">
        <v>45358</v>
      </c>
      <c r="AB55" s="97">
        <f t="shared" si="13"/>
        <v>1669.75</v>
      </c>
      <c r="AC55" s="97">
        <f t="shared" si="14"/>
        <v>2.6119851086825463E-3</v>
      </c>
      <c r="AE55" s="126">
        <v>45273</v>
      </c>
      <c r="AF55" s="97">
        <f t="shared" si="15"/>
        <v>1256.3499999999999</v>
      </c>
      <c r="AG55" s="97">
        <f t="shared" si="16"/>
        <v>3.5545970125407944E-3</v>
      </c>
    </row>
    <row r="56" spans="1:33" ht="30">
      <c r="A56" s="126">
        <v>45553</v>
      </c>
      <c r="B56" s="100">
        <v>2224.9499999999998</v>
      </c>
      <c r="C56" s="99">
        <f t="shared" si="11"/>
        <v>-2.0018498942917629E-2</v>
      </c>
      <c r="D56" s="100">
        <v>25377.55</v>
      </c>
      <c r="E56" s="99">
        <f t="shared" si="12"/>
        <v>-1.6129952337957665E-3</v>
      </c>
      <c r="F56" s="100">
        <v>23025.200000000001</v>
      </c>
      <c r="G56" s="99">
        <f t="shared" si="8"/>
        <v>1.5567725796084231E-2</v>
      </c>
      <c r="I56" s="185" t="s">
        <v>271</v>
      </c>
      <c r="J56" s="239" t="s">
        <v>272</v>
      </c>
      <c r="K56" s="240"/>
      <c r="L56" s="240"/>
      <c r="M56" s="240"/>
      <c r="N56" s="241"/>
      <c r="O56" s="180">
        <v>4</v>
      </c>
      <c r="Q56" s="180">
        <v>2</v>
      </c>
      <c r="W56" s="126">
        <v>45552</v>
      </c>
      <c r="X56" s="97">
        <v>1673</v>
      </c>
      <c r="Y56" s="97">
        <f t="shared" si="1"/>
        <v>7.224563515954241E-3</v>
      </c>
      <c r="AA56" s="126">
        <v>45357</v>
      </c>
      <c r="AB56" s="97">
        <f t="shared" si="13"/>
        <v>1665.4</v>
      </c>
      <c r="AC56" s="97">
        <f t="shared" si="14"/>
        <v>-7.9523454951599959E-3</v>
      </c>
      <c r="AE56" s="126">
        <v>45272</v>
      </c>
      <c r="AF56" s="97">
        <f t="shared" si="15"/>
        <v>1251.9000000000001</v>
      </c>
      <c r="AG56" s="97">
        <f t="shared" si="16"/>
        <v>9.4746603233479831E-3</v>
      </c>
    </row>
    <row r="57" spans="1:33">
      <c r="A57" s="126">
        <v>45552</v>
      </c>
      <c r="B57" s="100">
        <v>2270.4</v>
      </c>
      <c r="C57" s="99">
        <f t="shared" si="11"/>
        <v>8.2376712480849434E-3</v>
      </c>
      <c r="D57" s="100">
        <v>25418.55</v>
      </c>
      <c r="E57" s="99">
        <f t="shared" si="12"/>
        <v>1.3709558280394774E-3</v>
      </c>
      <c r="F57" s="100">
        <v>23383.65</v>
      </c>
      <c r="G57" s="99">
        <f t="shared" si="8"/>
        <v>2.7839965103821918E-3</v>
      </c>
      <c r="I57" s="185" t="s">
        <v>273</v>
      </c>
      <c r="J57" s="239" t="s">
        <v>274</v>
      </c>
      <c r="K57" s="240"/>
      <c r="L57" s="240"/>
      <c r="M57" s="240"/>
      <c r="N57" s="241"/>
      <c r="O57" s="180">
        <v>3</v>
      </c>
      <c r="Q57" s="180">
        <v>2</v>
      </c>
      <c r="W57" s="126">
        <v>45551</v>
      </c>
      <c r="X57" s="97">
        <v>1661</v>
      </c>
      <c r="Y57" s="97">
        <f t="shared" si="1"/>
        <v>6.0240963855417995E-4</v>
      </c>
      <c r="AA57" s="126">
        <v>45356</v>
      </c>
      <c r="AB57" s="97">
        <f t="shared" si="13"/>
        <v>1678.75</v>
      </c>
      <c r="AC57" s="97">
        <f t="shared" si="14"/>
        <v>5.3298200437166265E-3</v>
      </c>
      <c r="AE57" s="126">
        <v>45271</v>
      </c>
      <c r="AF57" s="97">
        <f t="shared" si="15"/>
        <v>1240.1500000000001</v>
      </c>
      <c r="AG57" s="97">
        <f t="shared" si="16"/>
        <v>8.539015166917352E-3</v>
      </c>
    </row>
    <row r="58" spans="1:33">
      <c r="A58" s="126">
        <v>45551</v>
      </c>
      <c r="B58" s="100">
        <v>2251.85</v>
      </c>
      <c r="C58" s="99">
        <f t="shared" si="11"/>
        <v>-2.0386004564691973E-3</v>
      </c>
      <c r="D58" s="100">
        <v>25383.75</v>
      </c>
      <c r="E58" s="99">
        <f t="shared" si="12"/>
        <v>1.0746751326089488E-3</v>
      </c>
      <c r="F58" s="100">
        <v>23448.75</v>
      </c>
      <c r="G58" s="99">
        <f t="shared" si="8"/>
        <v>3.7955114878207574E-4</v>
      </c>
      <c r="I58" s="185" t="s">
        <v>275</v>
      </c>
      <c r="J58" s="240" t="s">
        <v>276</v>
      </c>
      <c r="K58" s="240"/>
      <c r="L58" s="240"/>
      <c r="M58" s="240"/>
      <c r="N58" s="241"/>
      <c r="O58" s="180">
        <v>3</v>
      </c>
      <c r="Q58" s="180">
        <v>3</v>
      </c>
      <c r="W58" s="126">
        <v>45548</v>
      </c>
      <c r="X58" s="97">
        <v>1660</v>
      </c>
      <c r="Y58" s="97">
        <f t="shared" si="1"/>
        <v>4.8426150121065881E-3</v>
      </c>
      <c r="AA58" s="126">
        <v>45355</v>
      </c>
      <c r="AB58" s="97">
        <f t="shared" si="13"/>
        <v>1669.85</v>
      </c>
      <c r="AC58" s="97">
        <f t="shared" si="14"/>
        <v>2.1689916789035646E-2</v>
      </c>
      <c r="AE58" s="126">
        <v>45268</v>
      </c>
      <c r="AF58" s="97">
        <f t="shared" si="15"/>
        <v>1229.6500000000001</v>
      </c>
      <c r="AG58" s="97">
        <f t="shared" si="16"/>
        <v>-7.8266833420743698E-3</v>
      </c>
    </row>
    <row r="59" spans="1:33">
      <c r="A59" s="126">
        <v>45548</v>
      </c>
      <c r="B59" s="100">
        <v>2256.4499999999998</v>
      </c>
      <c r="C59" s="99">
        <f t="shared" si="11"/>
        <v>3.9822024471634077E-3</v>
      </c>
      <c r="D59" s="100">
        <v>25356.5</v>
      </c>
      <c r="E59" s="99">
        <f t="shared" si="12"/>
        <v>-1.276148238009589E-3</v>
      </c>
      <c r="F59" s="100">
        <v>23457.65</v>
      </c>
      <c r="G59" s="99">
        <f t="shared" si="8"/>
        <v>-1.1957719549913204E-3</v>
      </c>
      <c r="I59" s="181" t="s">
        <v>277</v>
      </c>
      <c r="O59" s="182">
        <f>AVERAGE(O55:O58)</f>
        <v>3.25</v>
      </c>
      <c r="Q59" s="182">
        <f>AVERAGE(Q55:Q58)</f>
        <v>2.25</v>
      </c>
      <c r="W59" s="126">
        <v>45547</v>
      </c>
      <c r="X59" s="97">
        <v>1652</v>
      </c>
      <c r="Y59" s="97">
        <f t="shared" si="1"/>
        <v>1.039755351681948E-2</v>
      </c>
      <c r="AA59" s="126">
        <v>45352</v>
      </c>
      <c r="AB59" s="97">
        <f t="shared" si="13"/>
        <v>1634.4</v>
      </c>
      <c r="AC59" s="97">
        <f t="shared" si="14"/>
        <v>6.0632175063863869E-3</v>
      </c>
      <c r="AE59" s="126">
        <v>45267</v>
      </c>
      <c r="AF59" s="97">
        <f t="shared" si="15"/>
        <v>1239.3499999999999</v>
      </c>
      <c r="AG59" s="97">
        <f t="shared" si="16"/>
        <v>-7.726180944755856E-3</v>
      </c>
    </row>
    <row r="60" spans="1:33" ht="14.45" customHeight="1">
      <c r="A60" s="126">
        <v>45547</v>
      </c>
      <c r="B60" s="100">
        <v>2247.5</v>
      </c>
      <c r="C60" s="99">
        <f t="shared" si="11"/>
        <v>1.724450076943973E-2</v>
      </c>
      <c r="D60" s="100">
        <v>25388.9</v>
      </c>
      <c r="E60" s="99">
        <f t="shared" si="12"/>
        <v>1.8879585206944993E-2</v>
      </c>
      <c r="F60" s="100">
        <v>23429.599999999999</v>
      </c>
      <c r="G60" s="99">
        <f t="shared" si="8"/>
        <v>-8.928876293235799E-3</v>
      </c>
      <c r="I60" s="181" t="s">
        <v>278</v>
      </c>
      <c r="O60" s="183" t="str">
        <f>IF(O59&lt;=2,"Low",IF(O59&lt;=3,"Moderate",IF(O59&lt;=4,"High","Severe")))</f>
        <v>High</v>
      </c>
      <c r="Q60" s="183" t="str">
        <f>IF(Q59&lt;=2,"Low",IF(Q59&lt;=3,"Moderate",IF(Q59&lt;=4,"High","Severe")))</f>
        <v>Moderate</v>
      </c>
      <c r="W60" s="126">
        <v>45546</v>
      </c>
      <c r="X60" s="97">
        <v>1635</v>
      </c>
      <c r="Y60" s="97">
        <f t="shared" si="1"/>
        <v>2.6369043968847983E-3</v>
      </c>
      <c r="AA60" s="126">
        <v>45351</v>
      </c>
      <c r="AB60" s="97">
        <f t="shared" si="13"/>
        <v>1624.55</v>
      </c>
      <c r="AC60" s="97">
        <f t="shared" si="14"/>
        <v>2.1590944141143265E-3</v>
      </c>
      <c r="AE60" s="126">
        <v>45266</v>
      </c>
      <c r="AF60" s="97">
        <f t="shared" si="15"/>
        <v>1249</v>
      </c>
      <c r="AG60" s="97">
        <f t="shared" si="16"/>
        <v>4.4229995979090386E-3</v>
      </c>
    </row>
    <row r="61" spans="1:33" ht="14.45" customHeight="1">
      <c r="A61" s="126">
        <v>45546</v>
      </c>
      <c r="B61" s="100">
        <v>2209.4</v>
      </c>
      <c r="C61" s="99">
        <f t="shared" si="11"/>
        <v>-5.9166272974736644E-3</v>
      </c>
      <c r="D61" s="100">
        <v>24918.45</v>
      </c>
      <c r="E61" s="99">
        <f t="shared" si="12"/>
        <v>-4.8979477738596566E-3</v>
      </c>
      <c r="F61" s="100">
        <v>23220.400000000001</v>
      </c>
      <c r="G61" s="99">
        <f t="shared" si="8"/>
        <v>1.5697404006820292E-3</v>
      </c>
      <c r="W61" s="126">
        <v>45545</v>
      </c>
      <c r="X61" s="97">
        <v>1630.7</v>
      </c>
      <c r="Y61" s="97">
        <f t="shared" si="1"/>
        <v>6.1701733818719795E-3</v>
      </c>
      <c r="AA61" s="126">
        <v>45350</v>
      </c>
      <c r="AB61" s="97">
        <f t="shared" si="13"/>
        <v>1621.05</v>
      </c>
      <c r="AC61" s="97">
        <f t="shared" si="14"/>
        <v>2.9077860611872453E-3</v>
      </c>
      <c r="AE61" s="126">
        <v>45265</v>
      </c>
      <c r="AF61" s="97">
        <f t="shared" si="15"/>
        <v>1243.5</v>
      </c>
      <c r="AG61" s="97">
        <f t="shared" si="16"/>
        <v>-1.1683357176919484E-2</v>
      </c>
    </row>
    <row r="62" spans="1:33" ht="14.45" customHeight="1">
      <c r="A62" s="126">
        <v>45545</v>
      </c>
      <c r="B62" s="100">
        <v>2222.5500000000002</v>
      </c>
      <c r="C62" s="99">
        <f t="shared" si="11"/>
        <v>2.5938289426199468E-3</v>
      </c>
      <c r="D62" s="100">
        <v>25041.1</v>
      </c>
      <c r="E62" s="99">
        <f t="shared" si="12"/>
        <v>4.1986814455974297E-3</v>
      </c>
      <c r="F62" s="100">
        <v>23256.85</v>
      </c>
      <c r="G62" s="99">
        <f t="shared" si="8"/>
        <v>-1.0639875993524339E-2</v>
      </c>
      <c r="I62" s="238" t="s">
        <v>279</v>
      </c>
      <c r="J62" s="238"/>
      <c r="K62" s="238"/>
      <c r="L62" s="238"/>
      <c r="M62" s="238"/>
      <c r="N62" s="238"/>
      <c r="O62" s="238"/>
      <c r="P62" s="178"/>
      <c r="Q62" s="178"/>
      <c r="R62" s="178"/>
      <c r="W62" s="126">
        <v>45544</v>
      </c>
      <c r="X62" s="97">
        <v>1620.7</v>
      </c>
      <c r="Y62" s="97">
        <f t="shared" si="1"/>
        <v>4.4000991571642167E-3</v>
      </c>
      <c r="AA62" s="126">
        <v>45349</v>
      </c>
      <c r="AB62" s="97">
        <f t="shared" si="13"/>
        <v>1616.35</v>
      </c>
      <c r="AC62" s="97">
        <f t="shared" si="14"/>
        <v>-3.8518427215580298E-3</v>
      </c>
      <c r="AE62" s="126">
        <v>45264</v>
      </c>
      <c r="AF62" s="97">
        <f t="shared" si="15"/>
        <v>1258.2</v>
      </c>
      <c r="AG62" s="97">
        <f t="shared" si="16"/>
        <v>-1.8642655983498457E-3</v>
      </c>
    </row>
    <row r="63" spans="1:33" ht="14.45" customHeight="1">
      <c r="A63" s="126">
        <v>45544</v>
      </c>
      <c r="B63" s="100">
        <v>2216.8000000000002</v>
      </c>
      <c r="C63" s="99">
        <f t="shared" si="11"/>
        <v>-1.7593618435630343E-2</v>
      </c>
      <c r="D63" s="100">
        <v>24936.400000000001</v>
      </c>
      <c r="E63" s="99">
        <f t="shared" si="12"/>
        <v>3.3900487482974029E-3</v>
      </c>
      <c r="F63" s="100">
        <v>23009.4</v>
      </c>
      <c r="G63" s="99">
        <f t="shared" si="8"/>
        <v>1.4776569575911669E-3</v>
      </c>
      <c r="I63" s="238"/>
      <c r="J63" s="238"/>
      <c r="K63" s="238"/>
      <c r="L63" s="238"/>
      <c r="M63" s="238"/>
      <c r="N63" s="238"/>
      <c r="O63" s="238"/>
      <c r="P63" s="178"/>
      <c r="Q63" s="178"/>
      <c r="R63" s="178"/>
      <c r="W63" s="126">
        <v>45541</v>
      </c>
      <c r="X63" s="97">
        <v>1613.6</v>
      </c>
      <c r="Y63" s="97">
        <f t="shared" si="1"/>
        <v>-8.6625299502366415E-3</v>
      </c>
      <c r="AA63" s="126">
        <v>45348</v>
      </c>
      <c r="AB63" s="97">
        <f t="shared" si="13"/>
        <v>1622.6</v>
      </c>
      <c r="AC63" s="97">
        <f t="shared" si="14"/>
        <v>1.1154732971895065E-2</v>
      </c>
      <c r="AE63" s="126">
        <v>45261</v>
      </c>
      <c r="AF63" s="97">
        <f t="shared" si="15"/>
        <v>1260.55</v>
      </c>
      <c r="AG63" s="97">
        <f t="shared" si="16"/>
        <v>-2.7840974819727915E-2</v>
      </c>
    </row>
    <row r="64" spans="1:33" ht="14.45" customHeight="1">
      <c r="A64" s="126">
        <v>45541</v>
      </c>
      <c r="B64" s="100">
        <v>2256.5</v>
      </c>
      <c r="C64" s="99">
        <f t="shared" si="11"/>
        <v>-1.4714872063575135E-2</v>
      </c>
      <c r="D64" s="100">
        <v>24852.15</v>
      </c>
      <c r="E64" s="99">
        <f t="shared" si="12"/>
        <v>-1.16503811875871E-2</v>
      </c>
      <c r="F64" s="100">
        <v>23043.4</v>
      </c>
      <c r="G64" s="99">
        <f t="shared" si="8"/>
        <v>4.9168091514273371E-3</v>
      </c>
      <c r="W64" s="126">
        <v>45540</v>
      </c>
      <c r="X64" s="97">
        <v>1627.7</v>
      </c>
      <c r="Y64" s="97">
        <f t="shared" si="1"/>
        <v>-1.5900846432889915E-2</v>
      </c>
      <c r="AA64" s="126">
        <v>45345</v>
      </c>
      <c r="AB64" s="97">
        <f t="shared" si="13"/>
        <v>1604.7</v>
      </c>
      <c r="AC64" s="97">
        <f t="shared" si="14"/>
        <v>-6.3469457258739093E-3</v>
      </c>
      <c r="AE64" s="126">
        <v>45260</v>
      </c>
      <c r="AF64" s="97">
        <f t="shared" si="15"/>
        <v>1296.6500000000001</v>
      </c>
      <c r="AG64" s="97">
        <f t="shared" si="16"/>
        <v>1.229604184557731E-2</v>
      </c>
    </row>
    <row r="65" spans="1:33">
      <c r="A65" s="126">
        <v>45540</v>
      </c>
      <c r="B65" s="100">
        <v>2290.1999999999998</v>
      </c>
      <c r="C65" s="99">
        <f t="shared" si="11"/>
        <v>5.6866834998352545E-3</v>
      </c>
      <c r="D65" s="100">
        <v>25145.1</v>
      </c>
      <c r="E65" s="99">
        <f t="shared" si="12"/>
        <v>-2.127093858016571E-3</v>
      </c>
      <c r="F65" s="100">
        <v>23156.7</v>
      </c>
      <c r="G65" s="99">
        <f t="shared" si="8"/>
        <v>1.1961980765826663E-3</v>
      </c>
      <c r="W65" s="126">
        <v>45539</v>
      </c>
      <c r="X65" s="97">
        <v>1654</v>
      </c>
      <c r="Y65" s="97">
        <f t="shared" si="1"/>
        <v>2.4242424242424399E-3</v>
      </c>
      <c r="AA65" s="126">
        <v>45344</v>
      </c>
      <c r="AB65" s="97">
        <f t="shared" si="13"/>
        <v>1614.95</v>
      </c>
      <c r="AC65" s="97">
        <f t="shared" si="14"/>
        <v>1.3301960784313671E-2</v>
      </c>
      <c r="AE65" s="126">
        <v>45259</v>
      </c>
      <c r="AF65" s="97">
        <f t="shared" si="15"/>
        <v>1280.9000000000001</v>
      </c>
      <c r="AG65" s="97">
        <f t="shared" si="16"/>
        <v>2.5089032051538673E-2</v>
      </c>
    </row>
    <row r="66" spans="1:33">
      <c r="A66" s="126">
        <v>45539</v>
      </c>
      <c r="B66" s="100">
        <v>2277.25</v>
      </c>
      <c r="C66" s="99">
        <f t="shared" si="11"/>
        <v>1.6516013837741372E-2</v>
      </c>
      <c r="D66" s="100">
        <v>25198.7</v>
      </c>
      <c r="E66" s="99">
        <f t="shared" si="12"/>
        <v>-3.2100665154262131E-3</v>
      </c>
      <c r="F66" s="100">
        <v>23184.400000000001</v>
      </c>
      <c r="G66" s="99">
        <f t="shared" si="8"/>
        <v>-7.336829937371725E-3</v>
      </c>
      <c r="W66" s="126">
        <v>45538</v>
      </c>
      <c r="X66" s="97">
        <v>1650</v>
      </c>
      <c r="Y66" s="97">
        <f t="shared" si="1"/>
        <v>3.6496350364962904E-3</v>
      </c>
      <c r="AA66" s="126">
        <v>45343</v>
      </c>
      <c r="AB66" s="97">
        <f t="shared" si="13"/>
        <v>1593.75</v>
      </c>
      <c r="AC66" s="97">
        <f t="shared" si="14"/>
        <v>-3.5014224528714388E-3</v>
      </c>
      <c r="AE66" s="126">
        <v>45258</v>
      </c>
      <c r="AF66" s="97">
        <f t="shared" si="15"/>
        <v>1249.55</v>
      </c>
      <c r="AG66" s="97">
        <f t="shared" si="16"/>
        <v>3.6949275071287424E-3</v>
      </c>
    </row>
    <row r="67" spans="1:33">
      <c r="A67" s="126">
        <v>45538</v>
      </c>
      <c r="B67" s="100">
        <v>2240.25</v>
      </c>
      <c r="C67" s="99">
        <f t="shared" si="11"/>
        <v>3.3590863285186678E-3</v>
      </c>
      <c r="D67" s="100">
        <v>25279.85</v>
      </c>
      <c r="E67" s="99">
        <f t="shared" si="12"/>
        <v>4.5492845755390476E-5</v>
      </c>
      <c r="F67" s="100">
        <v>23014.3</v>
      </c>
      <c r="G67" s="99">
        <f t="shared" si="8"/>
        <v>-1.1666659424791614E-3</v>
      </c>
      <c r="W67" s="126">
        <v>45537</v>
      </c>
      <c r="X67" s="97">
        <v>1644</v>
      </c>
      <c r="Y67" s="97">
        <f t="shared" si="1"/>
        <v>-6.4063822071799281E-3</v>
      </c>
      <c r="AA67" s="126">
        <v>45342</v>
      </c>
      <c r="AB67" s="97">
        <f t="shared" si="13"/>
        <v>1599.35</v>
      </c>
      <c r="AC67" s="97">
        <f t="shared" si="14"/>
        <v>7.7502284112032083E-3</v>
      </c>
      <c r="AE67" s="126">
        <v>45254</v>
      </c>
      <c r="AF67" s="97">
        <f t="shared" si="15"/>
        <v>1244.95</v>
      </c>
      <c r="AG67" s="97">
        <f t="shared" si="16"/>
        <v>1.4076576576576016E-3</v>
      </c>
    </row>
    <row r="68" spans="1:33">
      <c r="A68" s="126">
        <v>45537</v>
      </c>
      <c r="B68" s="100">
        <v>2232.75</v>
      </c>
      <c r="C68" s="99">
        <f t="shared" si="11"/>
        <v>-3.325595928934888E-3</v>
      </c>
      <c r="D68" s="100">
        <v>25278.7</v>
      </c>
      <c r="E68" s="99">
        <f t="shared" si="12"/>
        <v>1.6959965763059248E-3</v>
      </c>
      <c r="F68" s="100">
        <v>22987.45</v>
      </c>
      <c r="G68" s="99">
        <f t="shared" si="8"/>
        <v>1.0011984800401885E-2</v>
      </c>
      <c r="W68" s="126">
        <v>45534</v>
      </c>
      <c r="X68" s="97">
        <v>1654.6</v>
      </c>
      <c r="Y68" s="97">
        <f t="shared" si="1"/>
        <v>2.3886138613861352E-2</v>
      </c>
      <c r="AA68" s="126">
        <v>45341</v>
      </c>
      <c r="AB68" s="97">
        <f t="shared" si="13"/>
        <v>1587.05</v>
      </c>
      <c r="AC68" s="97">
        <f t="shared" si="14"/>
        <v>-6.6116743278132883E-4</v>
      </c>
      <c r="AE68" s="126">
        <v>45253</v>
      </c>
      <c r="AF68" s="97">
        <f t="shared" si="15"/>
        <v>1243.2</v>
      </c>
      <c r="AG68" s="97">
        <f t="shared" si="16"/>
        <v>3.7599632767182589E-2</v>
      </c>
    </row>
    <row r="69" spans="1:33">
      <c r="A69" s="126">
        <v>45534</v>
      </c>
      <c r="B69" s="100">
        <v>2240.1999999999998</v>
      </c>
      <c r="C69" s="99">
        <f t="shared" si="11"/>
        <v>2.1173789173789093E-2</v>
      </c>
      <c r="D69" s="100">
        <v>25235.9</v>
      </c>
      <c r="E69" s="99">
        <f t="shared" si="12"/>
        <v>3.3377133780880808E-3</v>
      </c>
      <c r="F69" s="100">
        <v>23217.599999999999</v>
      </c>
      <c r="G69" s="99">
        <f t="shared" si="8"/>
        <v>-1.4624681276273144E-2</v>
      </c>
      <c r="W69" s="126">
        <v>45533</v>
      </c>
      <c r="X69" s="97">
        <v>1616</v>
      </c>
      <c r="Y69" s="97">
        <f t="shared" si="1"/>
        <v>1.5472690700923941E-4</v>
      </c>
      <c r="AA69" s="126">
        <v>45338</v>
      </c>
      <c r="AB69" s="97">
        <f t="shared" si="13"/>
        <v>1588.1</v>
      </c>
      <c r="AC69" s="97">
        <f t="shared" si="14"/>
        <v>-2.0084533983278474E-2</v>
      </c>
      <c r="AE69" s="126">
        <v>45252</v>
      </c>
      <c r="AF69" s="97">
        <f t="shared" si="15"/>
        <v>1198.1500000000001</v>
      </c>
      <c r="AG69" s="97">
        <f t="shared" si="16"/>
        <v>-1.6781552601345617E-2</v>
      </c>
    </row>
    <row r="70" spans="1:33">
      <c r="A70" s="126">
        <v>45533</v>
      </c>
      <c r="B70" s="100">
        <v>2193.75</v>
      </c>
      <c r="C70" s="99">
        <f t="shared" si="11"/>
        <v>-3.1807338407361385E-3</v>
      </c>
      <c r="D70" s="100">
        <v>25151.95</v>
      </c>
      <c r="E70" s="99">
        <f t="shared" si="12"/>
        <v>3.975674936682605E-3</v>
      </c>
      <c r="F70" s="100">
        <v>22878.05</v>
      </c>
      <c r="G70" s="99">
        <f t="shared" si="8"/>
        <v>4.8539976090620218E-3</v>
      </c>
      <c r="W70" s="126">
        <v>45532</v>
      </c>
      <c r="X70" s="97">
        <v>1615.75</v>
      </c>
      <c r="Y70" s="97">
        <f t="shared" si="1"/>
        <v>1.3644918444165599E-2</v>
      </c>
      <c r="AA70" s="126">
        <v>45337</v>
      </c>
      <c r="AB70" s="97">
        <f t="shared" si="13"/>
        <v>1620.65</v>
      </c>
      <c r="AC70" s="97">
        <f t="shared" si="14"/>
        <v>9.6878699146472069E-3</v>
      </c>
      <c r="AE70" s="126">
        <v>45251</v>
      </c>
      <c r="AF70" s="97">
        <f t="shared" si="15"/>
        <v>1218.5999999999999</v>
      </c>
      <c r="AG70" s="97">
        <f t="shared" si="16"/>
        <v>-2.4149645941632381E-3</v>
      </c>
    </row>
    <row r="71" spans="1:33">
      <c r="A71" s="126">
        <v>45532</v>
      </c>
      <c r="B71" s="100">
        <v>2200.75</v>
      </c>
      <c r="C71" s="99">
        <f t="shared" si="11"/>
        <v>1.3446616472104989E-2</v>
      </c>
      <c r="D71" s="100">
        <v>25052.35</v>
      </c>
      <c r="E71" s="99">
        <f t="shared" si="12"/>
        <v>1.3830180571794415E-3</v>
      </c>
      <c r="F71" s="100">
        <v>22989.1</v>
      </c>
      <c r="G71" s="99">
        <f t="shared" si="8"/>
        <v>-1.1314057531612742E-2</v>
      </c>
      <c r="W71" s="126">
        <v>45531</v>
      </c>
      <c r="X71" s="97">
        <v>1594</v>
      </c>
      <c r="Y71" s="97">
        <f t="shared" si="1"/>
        <v>1.2548625925457024E-4</v>
      </c>
      <c r="AA71" s="126">
        <v>45336</v>
      </c>
      <c r="AB71" s="97">
        <f t="shared" si="13"/>
        <v>1605.1</v>
      </c>
      <c r="AC71" s="97">
        <f t="shared" si="14"/>
        <v>-4.1259500542888405E-3</v>
      </c>
      <c r="AE71" s="126">
        <v>45250</v>
      </c>
      <c r="AF71" s="97">
        <f t="shared" si="15"/>
        <v>1221.55</v>
      </c>
      <c r="AG71" s="97"/>
    </row>
    <row r="72" spans="1:33">
      <c r="A72" s="126">
        <v>45531</v>
      </c>
      <c r="B72" s="100">
        <v>2171.5500000000002</v>
      </c>
      <c r="C72" s="99">
        <f t="shared" si="11"/>
        <v>2.6155372838106317E-2</v>
      </c>
      <c r="D72" s="100">
        <v>25017.75</v>
      </c>
      <c r="E72" s="99">
        <f t="shared" si="12"/>
        <v>2.8587878739427808E-4</v>
      </c>
      <c r="F72" s="100">
        <v>22729</v>
      </c>
      <c r="G72" s="99">
        <f t="shared" si="8"/>
        <v>-7.6576180210303768E-3</v>
      </c>
      <c r="W72" s="126">
        <v>45530</v>
      </c>
      <c r="X72" s="97">
        <v>1593.8</v>
      </c>
      <c r="Y72" s="97">
        <f t="shared" ref="Y72:Y135" si="17">X72/X73-1</f>
        <v>1.1069876613696294E-2</v>
      </c>
      <c r="AA72" s="126">
        <v>45335</v>
      </c>
      <c r="AB72" s="97">
        <f t="shared" ref="AB72:AB103" si="18">B203</f>
        <v>1611.75</v>
      </c>
      <c r="AC72" s="97">
        <f t="shared" ref="AC72:AC103" si="19">AB72/AB73-1</f>
        <v>1.8648018648017572E-3</v>
      </c>
    </row>
    <row r="73" spans="1:33">
      <c r="A73" s="126">
        <v>45530</v>
      </c>
      <c r="B73" s="100">
        <v>2116.1999999999998</v>
      </c>
      <c r="C73" s="99">
        <f t="shared" si="11"/>
        <v>1.0818943899118638E-2</v>
      </c>
      <c r="D73" s="100">
        <v>25010.6</v>
      </c>
      <c r="E73" s="99">
        <f t="shared" si="12"/>
        <v>7.5514187361394036E-3</v>
      </c>
      <c r="F73" s="100">
        <v>22554.95</v>
      </c>
      <c r="G73" s="99">
        <f t="shared" ref="G73:G136" si="20">F74/F73-1</f>
        <v>-1.2015100898029596E-3</v>
      </c>
      <c r="W73" s="126">
        <v>45527</v>
      </c>
      <c r="X73" s="97">
        <v>1576.35</v>
      </c>
      <c r="Y73" s="97">
        <f t="shared" si="17"/>
        <v>-3.9177277179236469E-3</v>
      </c>
      <c r="AA73" s="126">
        <v>45334</v>
      </c>
      <c r="AB73" s="97">
        <f t="shared" si="18"/>
        <v>1608.75</v>
      </c>
      <c r="AC73" s="97">
        <f t="shared" si="19"/>
        <v>8.9686098654708779E-3</v>
      </c>
    </row>
    <row r="74" spans="1:33">
      <c r="A74" s="126">
        <v>45527</v>
      </c>
      <c r="B74" s="100">
        <v>2093.5500000000002</v>
      </c>
      <c r="C74" s="99">
        <f t="shared" ref="C74:C137" si="21">B74/B75-1</f>
        <v>-7.4198748340601473E-3</v>
      </c>
      <c r="D74" s="100">
        <v>24823.15</v>
      </c>
      <c r="E74" s="99">
        <f t="shared" ref="E74:E137" si="22">D74/D75-1</f>
        <v>4.6954033411927831E-4</v>
      </c>
      <c r="F74" s="100">
        <v>22527.85</v>
      </c>
      <c r="G74" s="99">
        <f t="shared" si="20"/>
        <v>8.1010837696449123E-4</v>
      </c>
      <c r="W74" s="126">
        <v>45526</v>
      </c>
      <c r="X74" s="97">
        <v>1582.55</v>
      </c>
      <c r="Y74" s="97">
        <f t="shared" si="17"/>
        <v>-7.1520436651087982E-3</v>
      </c>
      <c r="AA74" s="126">
        <v>45331</v>
      </c>
      <c r="AB74" s="97">
        <f t="shared" si="18"/>
        <v>1594.45</v>
      </c>
      <c r="AC74" s="97">
        <f t="shared" si="19"/>
        <v>-1.7045804820911115E-2</v>
      </c>
    </row>
    <row r="75" spans="1:33">
      <c r="A75" s="126">
        <v>45526</v>
      </c>
      <c r="B75" s="100">
        <v>2109.1999999999998</v>
      </c>
      <c r="C75" s="99">
        <f t="shared" si="21"/>
        <v>-3.919716646989424E-3</v>
      </c>
      <c r="D75" s="100">
        <v>24811.5</v>
      </c>
      <c r="E75" s="99">
        <f t="shared" si="22"/>
        <v>1.6673260611541618E-3</v>
      </c>
      <c r="F75" s="100">
        <v>22546.1</v>
      </c>
      <c r="G75" s="99">
        <f t="shared" si="20"/>
        <v>1.4104434913355668E-3</v>
      </c>
      <c r="W75" s="126">
        <v>45525</v>
      </c>
      <c r="X75" s="97">
        <v>1593.95</v>
      </c>
      <c r="Y75" s="97">
        <f t="shared" si="17"/>
        <v>1.9866914069998076E-2</v>
      </c>
      <c r="AA75" s="126">
        <v>45330</v>
      </c>
      <c r="AB75" s="97">
        <f t="shared" si="18"/>
        <v>1622.1</v>
      </c>
      <c r="AC75" s="97">
        <f t="shared" si="19"/>
        <v>9.7734063745018585E-3</v>
      </c>
    </row>
    <row r="76" spans="1:33">
      <c r="A76" s="126">
        <v>45525</v>
      </c>
      <c r="B76" s="100">
        <v>2117.5</v>
      </c>
      <c r="C76" s="99">
        <f t="shared" si="21"/>
        <v>1.0619257845125851E-2</v>
      </c>
      <c r="D76" s="100">
        <v>24770.2</v>
      </c>
      <c r="E76" s="99">
        <f t="shared" si="22"/>
        <v>2.888798466325504E-3</v>
      </c>
      <c r="F76" s="100">
        <v>22577.9</v>
      </c>
      <c r="G76" s="99">
        <f t="shared" si="20"/>
        <v>-9.0198822742594276E-3</v>
      </c>
      <c r="W76" s="126">
        <v>45524</v>
      </c>
      <c r="X76" s="97">
        <v>1562.9</v>
      </c>
      <c r="Y76" s="97">
        <f t="shared" si="17"/>
        <v>-4.5222929936304945E-3</v>
      </c>
      <c r="AA76" s="126">
        <v>45329</v>
      </c>
      <c r="AB76" s="97">
        <f t="shared" si="18"/>
        <v>1606.4</v>
      </c>
      <c r="AC76" s="97">
        <f t="shared" si="19"/>
        <v>7.5895377281567367E-3</v>
      </c>
    </row>
    <row r="77" spans="1:33">
      <c r="A77" s="126">
        <v>45524</v>
      </c>
      <c r="B77" s="100">
        <v>2095.25</v>
      </c>
      <c r="C77" s="99">
        <f t="shared" si="21"/>
        <v>1.2785189481825165E-2</v>
      </c>
      <c r="D77" s="100">
        <v>24698.85</v>
      </c>
      <c r="E77" s="99">
        <f t="shared" si="22"/>
        <v>5.1357912150296059E-3</v>
      </c>
      <c r="F77" s="100">
        <v>22374.25</v>
      </c>
      <c r="G77" s="99">
        <f t="shared" si="20"/>
        <v>-6.0962937305161224E-3</v>
      </c>
      <c r="W77" s="126">
        <v>45523</v>
      </c>
      <c r="X77" s="97">
        <v>1570</v>
      </c>
      <c r="Y77" s="97">
        <f t="shared" si="17"/>
        <v>-3.1746031746031633E-3</v>
      </c>
      <c r="AA77" s="126">
        <v>45328</v>
      </c>
      <c r="AB77" s="97">
        <f t="shared" si="18"/>
        <v>1594.3</v>
      </c>
      <c r="AC77" s="97">
        <f t="shared" si="19"/>
        <v>8.9548460589183865E-3</v>
      </c>
    </row>
    <row r="78" spans="1:33">
      <c r="A78" s="126">
        <v>45523</v>
      </c>
      <c r="B78" s="100">
        <v>2068.8000000000002</v>
      </c>
      <c r="C78" s="99">
        <f t="shared" si="21"/>
        <v>-8.2692169411088257E-3</v>
      </c>
      <c r="D78" s="100">
        <v>24572.65</v>
      </c>
      <c r="E78" s="99">
        <f t="shared" si="22"/>
        <v>1.283558431450782E-3</v>
      </c>
      <c r="F78" s="100">
        <v>22237.85</v>
      </c>
      <c r="G78" s="99">
        <f t="shared" si="20"/>
        <v>-5.906596186232016E-3</v>
      </c>
      <c r="W78" s="126">
        <v>45520</v>
      </c>
      <c r="X78" s="97">
        <v>1575</v>
      </c>
      <c r="Y78" s="97">
        <f t="shared" si="17"/>
        <v>6.1647554859936005E-3</v>
      </c>
      <c r="AA78" s="126">
        <v>45327</v>
      </c>
      <c r="AB78" s="97">
        <f t="shared" si="18"/>
        <v>1580.15</v>
      </c>
      <c r="AC78" s="97">
        <f t="shared" si="19"/>
        <v>4.4496710421764174E-3</v>
      </c>
    </row>
    <row r="79" spans="1:33">
      <c r="A79" s="126">
        <v>45520</v>
      </c>
      <c r="B79" s="100">
        <v>2086.0500000000002</v>
      </c>
      <c r="C79" s="99">
        <f t="shared" si="21"/>
        <v>5.8342775862485485E-3</v>
      </c>
      <c r="D79" s="100">
        <v>24541.15</v>
      </c>
      <c r="E79" s="99">
        <f t="shared" si="22"/>
        <v>1.6459746311157097E-2</v>
      </c>
      <c r="F79" s="100">
        <v>22106.5</v>
      </c>
      <c r="G79" s="99">
        <f t="shared" si="20"/>
        <v>-4.2430959220138842E-3</v>
      </c>
      <c r="W79" s="126">
        <v>45518</v>
      </c>
      <c r="X79" s="97">
        <v>1565.35</v>
      </c>
      <c r="Y79" s="97">
        <f t="shared" si="17"/>
        <v>-1.2397476340694102E-2</v>
      </c>
      <c r="AA79" s="126">
        <v>45324</v>
      </c>
      <c r="AB79" s="97">
        <f t="shared" si="18"/>
        <v>1573.15</v>
      </c>
      <c r="AC79" s="97">
        <f t="shared" si="19"/>
        <v>4.6847446348361466E-2</v>
      </c>
    </row>
    <row r="80" spans="1:33">
      <c r="A80" s="126">
        <v>45518</v>
      </c>
      <c r="B80" s="100">
        <v>2073.9499999999998</v>
      </c>
      <c r="C80" s="99">
        <f t="shared" si="21"/>
        <v>-1.1298357685982086E-2</v>
      </c>
      <c r="D80" s="100">
        <v>24143.75</v>
      </c>
      <c r="E80" s="99">
        <f t="shared" si="22"/>
        <v>1.9677699987563635E-4</v>
      </c>
      <c r="F80" s="100">
        <v>22012.7</v>
      </c>
      <c r="G80" s="99">
        <f t="shared" si="20"/>
        <v>8.1271266132731945E-3</v>
      </c>
      <c r="W80" s="126">
        <v>45517</v>
      </c>
      <c r="X80" s="97">
        <v>1585</v>
      </c>
      <c r="Y80" s="97">
        <f t="shared" si="17"/>
        <v>-6.3051702395966469E-4</v>
      </c>
      <c r="AA80" s="126">
        <v>45323</v>
      </c>
      <c r="AB80" s="97">
        <f t="shared" si="18"/>
        <v>1502.75</v>
      </c>
      <c r="AC80" s="97">
        <f t="shared" si="19"/>
        <v>-7.2339301050406979E-3</v>
      </c>
    </row>
    <row r="81" spans="1:29">
      <c r="A81" s="126">
        <v>45517</v>
      </c>
      <c r="B81" s="100">
        <v>2097.65</v>
      </c>
      <c r="C81" s="99">
        <f t="shared" si="21"/>
        <v>2.3836765827622841E-5</v>
      </c>
      <c r="D81" s="100">
        <v>24139</v>
      </c>
      <c r="E81" s="99">
        <f t="shared" si="22"/>
        <v>-8.5431469996303244E-3</v>
      </c>
      <c r="F81" s="100">
        <v>22191.599999999999</v>
      </c>
      <c r="G81" s="99">
        <f t="shared" si="20"/>
        <v>6.3086933794775923E-4</v>
      </c>
      <c r="W81" s="126">
        <v>45516</v>
      </c>
      <c r="X81" s="97">
        <v>1586</v>
      </c>
      <c r="Y81" s="97">
        <f t="shared" si="17"/>
        <v>8.9058524173029063E-3</v>
      </c>
      <c r="AA81" s="126">
        <v>45322</v>
      </c>
      <c r="AB81" s="97">
        <f t="shared" si="18"/>
        <v>1513.7</v>
      </c>
      <c r="AC81" s="97">
        <f t="shared" si="19"/>
        <v>5.5468827847344748E-3</v>
      </c>
    </row>
    <row r="82" spans="1:29">
      <c r="A82" s="126">
        <v>45516</v>
      </c>
      <c r="B82" s="100">
        <v>2097.6</v>
      </c>
      <c r="C82" s="99">
        <f t="shared" si="21"/>
        <v>-7.5465449125879935E-3</v>
      </c>
      <c r="D82" s="100">
        <v>24347</v>
      </c>
      <c r="E82" s="99">
        <f t="shared" si="22"/>
        <v>-8.4128449779419245E-4</v>
      </c>
      <c r="F82" s="100">
        <v>22205.599999999999</v>
      </c>
      <c r="G82" s="99">
        <f t="shared" si="20"/>
        <v>1.7788305652621794E-4</v>
      </c>
      <c r="W82" s="126">
        <v>45513</v>
      </c>
      <c r="X82" s="97">
        <v>1572</v>
      </c>
      <c r="Y82" s="97">
        <f t="shared" si="17"/>
        <v>1.2738853503184711E-3</v>
      </c>
      <c r="AA82" s="126">
        <v>45321</v>
      </c>
      <c r="AB82" s="97">
        <f t="shared" si="18"/>
        <v>1505.35</v>
      </c>
      <c r="AC82" s="97">
        <f t="shared" si="19"/>
        <v>2.5338010421278367E-2</v>
      </c>
    </row>
    <row r="83" spans="1:29">
      <c r="A83" s="126">
        <v>45513</v>
      </c>
      <c r="B83" s="100">
        <v>2113.5500000000002</v>
      </c>
      <c r="C83" s="99">
        <f t="shared" si="21"/>
        <v>3.0597815486639313E-2</v>
      </c>
      <c r="D83" s="100">
        <v>24367.5</v>
      </c>
      <c r="E83" s="99">
        <f t="shared" si="22"/>
        <v>1.0386864037815746E-2</v>
      </c>
      <c r="F83" s="100">
        <v>22209.55</v>
      </c>
      <c r="G83" s="99">
        <f t="shared" si="20"/>
        <v>-4.2909469124767785E-3</v>
      </c>
      <c r="W83" s="126">
        <v>45512</v>
      </c>
      <c r="X83" s="97">
        <v>1570</v>
      </c>
      <c r="Y83" s="97">
        <f t="shared" si="17"/>
        <v>1.1597938144329856E-2</v>
      </c>
      <c r="AA83" s="126">
        <v>45320</v>
      </c>
      <c r="AB83" s="97">
        <f t="shared" si="18"/>
        <v>1468.15</v>
      </c>
      <c r="AC83" s="97">
        <f t="shared" si="19"/>
        <v>-1.0213712667700325E-2</v>
      </c>
    </row>
    <row r="84" spans="1:29">
      <c r="A84" s="126">
        <v>45512</v>
      </c>
      <c r="B84" s="100">
        <v>2050.8000000000002</v>
      </c>
      <c r="C84" s="99">
        <f t="shared" si="21"/>
        <v>2.8253403193863047E-2</v>
      </c>
      <c r="D84" s="100">
        <v>24117</v>
      </c>
      <c r="E84" s="99">
        <f t="shared" si="22"/>
        <v>-7.4287478135610652E-3</v>
      </c>
      <c r="F84" s="100">
        <v>22114.25</v>
      </c>
      <c r="G84" s="99">
        <f t="shared" si="20"/>
        <v>-3.4954836813366752E-3</v>
      </c>
      <c r="W84" s="126">
        <v>45511</v>
      </c>
      <c r="X84" s="97">
        <v>1552</v>
      </c>
      <c r="Y84" s="97">
        <f t="shared" si="17"/>
        <v>1.2757349342555901E-2</v>
      </c>
      <c r="AA84" s="126">
        <v>45316</v>
      </c>
      <c r="AB84" s="97">
        <f t="shared" si="18"/>
        <v>1483.3</v>
      </c>
      <c r="AC84" s="97">
        <f t="shared" si="19"/>
        <v>2.0116227089852501E-2</v>
      </c>
    </row>
    <row r="85" spans="1:29">
      <c r="A85" s="126">
        <v>45511</v>
      </c>
      <c r="B85" s="100">
        <v>1994.45</v>
      </c>
      <c r="C85" s="99">
        <f t="shared" si="21"/>
        <v>4.3804788695538388E-2</v>
      </c>
      <c r="D85" s="100">
        <v>24297.5</v>
      </c>
      <c r="E85" s="99">
        <f t="shared" si="22"/>
        <v>1.2710195456506312E-2</v>
      </c>
      <c r="F85" s="100">
        <v>22036.95</v>
      </c>
      <c r="G85" s="99">
        <f t="shared" si="20"/>
        <v>-2.1527479982484055E-2</v>
      </c>
      <c r="W85" s="126">
        <v>45510</v>
      </c>
      <c r="X85" s="97">
        <v>1532.45</v>
      </c>
      <c r="Y85" s="97">
        <f t="shared" si="17"/>
        <v>1.085092348284955E-2</v>
      </c>
      <c r="AA85" s="126">
        <v>45315</v>
      </c>
      <c r="AB85" s="97">
        <f t="shared" si="18"/>
        <v>1454.05</v>
      </c>
      <c r="AC85" s="97">
        <f t="shared" si="19"/>
        <v>3.3466740270493567E-3</v>
      </c>
    </row>
    <row r="86" spans="1:29">
      <c r="A86" s="126">
        <v>45510</v>
      </c>
      <c r="B86" s="100">
        <v>1910.75</v>
      </c>
      <c r="C86" s="99">
        <f t="shared" si="21"/>
        <v>-1.9248043115616564E-2</v>
      </c>
      <c r="D86" s="100">
        <v>23992.55</v>
      </c>
      <c r="E86" s="99">
        <f t="shared" si="22"/>
        <v>-2.6210113237665755E-3</v>
      </c>
      <c r="F86" s="100">
        <v>21562.55</v>
      </c>
      <c r="G86" s="99">
        <f t="shared" si="20"/>
        <v>9.5072243310734272E-4</v>
      </c>
      <c r="W86" s="126">
        <v>45509</v>
      </c>
      <c r="X86" s="97">
        <v>1516</v>
      </c>
      <c r="Y86" s="97">
        <f t="shared" si="17"/>
        <v>-6.5530799475753687E-3</v>
      </c>
      <c r="AA86" s="126">
        <v>45314</v>
      </c>
      <c r="AB86" s="97">
        <f t="shared" si="18"/>
        <v>1449.2</v>
      </c>
      <c r="AC86" s="97">
        <f t="shared" si="19"/>
        <v>6.9133229112385841E-3</v>
      </c>
    </row>
    <row r="87" spans="1:29">
      <c r="A87" s="126">
        <v>45509</v>
      </c>
      <c r="B87" s="100">
        <v>1948.25</v>
      </c>
      <c r="C87" s="99">
        <f t="shared" si="21"/>
        <v>-6.7550344124394091E-3</v>
      </c>
      <c r="D87" s="100">
        <v>24055.599999999999</v>
      </c>
      <c r="E87" s="99">
        <f t="shared" si="22"/>
        <v>-2.6786472851438536E-2</v>
      </c>
      <c r="F87" s="100">
        <v>21583.05</v>
      </c>
      <c r="G87" s="99">
        <f t="shared" si="20"/>
        <v>1.4817182928270167E-2</v>
      </c>
      <c r="W87" s="126">
        <v>45506</v>
      </c>
      <c r="X87" s="97">
        <v>1526</v>
      </c>
      <c r="Y87" s="97">
        <f t="shared" si="17"/>
        <v>-1.229773462783168E-2</v>
      </c>
      <c r="AA87" s="126">
        <v>45311</v>
      </c>
      <c r="AB87" s="97">
        <f t="shared" si="18"/>
        <v>1439.25</v>
      </c>
      <c r="AC87" s="97">
        <f t="shared" si="19"/>
        <v>2.005740812927459E-2</v>
      </c>
    </row>
    <row r="88" spans="1:29">
      <c r="A88" s="126">
        <v>45506</v>
      </c>
      <c r="B88" s="100">
        <v>1961.5</v>
      </c>
      <c r="C88" s="99">
        <f t="shared" si="21"/>
        <v>4.1723193488110155E-3</v>
      </c>
      <c r="D88" s="100">
        <v>24717.7</v>
      </c>
      <c r="E88" s="99">
        <f t="shared" si="22"/>
        <v>-1.1722888820474342E-2</v>
      </c>
      <c r="F88" s="100">
        <v>21902.85</v>
      </c>
      <c r="G88" s="99">
        <f t="shared" si="20"/>
        <v>-5.1363178764407547E-3</v>
      </c>
      <c r="W88" s="126">
        <v>45505</v>
      </c>
      <c r="X88" s="97">
        <v>1545</v>
      </c>
      <c r="Y88" s="97">
        <f t="shared" si="17"/>
        <v>6.4766839378238572E-4</v>
      </c>
      <c r="AA88" s="126">
        <v>45310</v>
      </c>
      <c r="AB88" s="97">
        <f t="shared" si="18"/>
        <v>1410.95</v>
      </c>
      <c r="AC88" s="97">
        <f t="shared" si="19"/>
        <v>-1.3494144380353013E-2</v>
      </c>
    </row>
    <row r="89" spans="1:29">
      <c r="A89" s="126">
        <v>45505</v>
      </c>
      <c r="B89" s="100">
        <v>1953.35</v>
      </c>
      <c r="C89" s="99">
        <f t="shared" si="21"/>
        <v>2.1706723853858856E-2</v>
      </c>
      <c r="D89" s="100">
        <v>25010.9</v>
      </c>
      <c r="E89" s="99">
        <f t="shared" si="22"/>
        <v>2.3946792031630526E-3</v>
      </c>
      <c r="F89" s="100">
        <v>21790.35</v>
      </c>
      <c r="G89" s="99">
        <f t="shared" si="20"/>
        <v>-6.0577273884987459E-4</v>
      </c>
      <c r="W89" s="126">
        <v>45504</v>
      </c>
      <c r="X89" s="97">
        <v>1544</v>
      </c>
      <c r="Y89" s="97">
        <f t="shared" si="17"/>
        <v>9.8103335513406442E-3</v>
      </c>
      <c r="AA89" s="126">
        <v>45309</v>
      </c>
      <c r="AB89" s="97">
        <f t="shared" si="18"/>
        <v>1430.25</v>
      </c>
      <c r="AC89" s="97">
        <f t="shared" si="19"/>
        <v>3.2265983937149745E-3</v>
      </c>
    </row>
    <row r="90" spans="1:29">
      <c r="A90" s="126">
        <v>45504</v>
      </c>
      <c r="B90" s="100">
        <v>1911.85</v>
      </c>
      <c r="C90" s="99">
        <f t="shared" si="21"/>
        <v>2.6496644295302074E-2</v>
      </c>
      <c r="D90" s="100">
        <v>24951.15</v>
      </c>
      <c r="E90" s="99">
        <f t="shared" si="22"/>
        <v>3.7755508442189889E-3</v>
      </c>
      <c r="F90" s="100">
        <v>21777.15</v>
      </c>
      <c r="G90" s="99">
        <f t="shared" si="20"/>
        <v>-1.085311898021557E-2</v>
      </c>
      <c r="W90" s="126">
        <v>45503</v>
      </c>
      <c r="X90" s="97">
        <v>1529</v>
      </c>
      <c r="Y90" s="97">
        <f t="shared" si="17"/>
        <v>-1.5453960077269846E-2</v>
      </c>
      <c r="AA90" s="126">
        <v>45308</v>
      </c>
      <c r="AB90" s="97">
        <f t="shared" si="18"/>
        <v>1425.65</v>
      </c>
      <c r="AC90" s="97">
        <f t="shared" si="19"/>
        <v>1.8466923846263805E-2</v>
      </c>
    </row>
    <row r="91" spans="1:29">
      <c r="A91" s="126">
        <v>45503</v>
      </c>
      <c r="B91" s="100">
        <v>1862.5</v>
      </c>
      <c r="C91" s="99">
        <f t="shared" si="21"/>
        <v>7.253579775945429E-4</v>
      </c>
      <c r="D91" s="100">
        <v>24857.3</v>
      </c>
      <c r="E91" s="99">
        <f t="shared" si="22"/>
        <v>8.5359617653346653E-4</v>
      </c>
      <c r="F91" s="100">
        <v>21540.799999999999</v>
      </c>
      <c r="G91" s="99">
        <f t="shared" si="20"/>
        <v>6.2277167050435178E-3</v>
      </c>
      <c r="W91" s="126">
        <v>45502</v>
      </c>
      <c r="X91" s="97">
        <v>1553</v>
      </c>
      <c r="Y91" s="97">
        <f t="shared" si="17"/>
        <v>-2.1115663410022023E-2</v>
      </c>
      <c r="AA91" s="126">
        <v>45307</v>
      </c>
      <c r="AB91" s="97">
        <f t="shared" si="18"/>
        <v>1399.8</v>
      </c>
      <c r="AC91" s="97">
        <f t="shared" si="19"/>
        <v>8.7558101826827883E-3</v>
      </c>
    </row>
    <row r="92" spans="1:29">
      <c r="A92" s="126">
        <v>45502</v>
      </c>
      <c r="B92" s="100">
        <v>1861.15</v>
      </c>
      <c r="C92" s="99">
        <f t="shared" si="21"/>
        <v>1.1109903840930135E-2</v>
      </c>
      <c r="D92" s="100">
        <v>24836.1</v>
      </c>
      <c r="E92" s="99">
        <f t="shared" si="22"/>
        <v>5.0332496471794386E-5</v>
      </c>
      <c r="F92" s="100">
        <v>21674.95</v>
      </c>
      <c r="G92" s="99">
        <f t="shared" si="20"/>
        <v>-3.3148865395307148E-3</v>
      </c>
      <c r="W92" s="126">
        <v>45499</v>
      </c>
      <c r="X92" s="97">
        <v>1586.5</v>
      </c>
      <c r="Y92" s="97">
        <f t="shared" si="17"/>
        <v>5.555555555555558E-2</v>
      </c>
      <c r="AA92" s="126">
        <v>45306</v>
      </c>
      <c r="AB92" s="97">
        <f t="shared" si="18"/>
        <v>1387.65</v>
      </c>
      <c r="AC92" s="97">
        <f t="shared" si="19"/>
        <v>-1.7940552016985079E-2</v>
      </c>
    </row>
    <row r="93" spans="1:29">
      <c r="A93" s="126">
        <v>45499</v>
      </c>
      <c r="B93" s="100">
        <v>1840.7</v>
      </c>
      <c r="C93" s="99">
        <f t="shared" si="21"/>
        <v>2.2412308717749463E-2</v>
      </c>
      <c r="D93" s="100">
        <v>24834.85</v>
      </c>
      <c r="E93" s="99">
        <f t="shared" si="22"/>
        <v>1.7567329479105664E-2</v>
      </c>
      <c r="F93" s="100">
        <v>21603.1</v>
      </c>
      <c r="G93" s="99">
        <f t="shared" si="20"/>
        <v>-2.3033731270049151E-2</v>
      </c>
      <c r="W93" s="126">
        <v>45498</v>
      </c>
      <c r="X93" s="97">
        <v>1503</v>
      </c>
      <c r="Y93" s="97">
        <f t="shared" si="17"/>
        <v>-3.3255736614568043E-4</v>
      </c>
      <c r="AA93" s="126">
        <v>45303</v>
      </c>
      <c r="AB93" s="97">
        <f t="shared" si="18"/>
        <v>1413</v>
      </c>
      <c r="AC93" s="97">
        <f t="shared" si="19"/>
        <v>1.0910391700947875E-2</v>
      </c>
    </row>
    <row r="94" spans="1:29">
      <c r="A94" s="126">
        <v>45498</v>
      </c>
      <c r="B94" s="100">
        <v>1800.35</v>
      </c>
      <c r="C94" s="99">
        <f t="shared" si="21"/>
        <v>-8.4267342274118029E-3</v>
      </c>
      <c r="D94" s="100">
        <v>24406.1</v>
      </c>
      <c r="E94" s="99">
        <f t="shared" si="22"/>
        <v>-3.0311098367707956E-4</v>
      </c>
      <c r="F94" s="100">
        <v>21105.5</v>
      </c>
      <c r="G94" s="99">
        <f t="shared" si="20"/>
        <v>-9.3340598422212429E-3</v>
      </c>
      <c r="W94" s="126">
        <v>45497</v>
      </c>
      <c r="X94" s="97">
        <v>1503.5</v>
      </c>
      <c r="Y94" s="97">
        <f t="shared" si="17"/>
        <v>5.6856187290970084E-3</v>
      </c>
      <c r="AA94" s="126">
        <v>45302</v>
      </c>
      <c r="AB94" s="97">
        <f t="shared" si="18"/>
        <v>1397.75</v>
      </c>
      <c r="AC94" s="97">
        <f t="shared" si="19"/>
        <v>-1.9279517298012028E-3</v>
      </c>
    </row>
    <row r="95" spans="1:29">
      <c r="A95" s="126">
        <v>45497</v>
      </c>
      <c r="B95" s="100">
        <v>1815.65</v>
      </c>
      <c r="C95" s="99">
        <f t="shared" si="21"/>
        <v>8.6944444444445601E-3</v>
      </c>
      <c r="D95" s="100">
        <v>24413.5</v>
      </c>
      <c r="E95" s="99">
        <f t="shared" si="22"/>
        <v>-2.6777999963233379E-3</v>
      </c>
      <c r="F95" s="100">
        <v>20908.5</v>
      </c>
      <c r="G95" s="99">
        <f t="shared" si="20"/>
        <v>-7.3247722218237055E-3</v>
      </c>
      <c r="W95" s="126">
        <v>45496</v>
      </c>
      <c r="X95" s="97">
        <v>1495</v>
      </c>
      <c r="Y95" s="97">
        <f t="shared" si="17"/>
        <v>2.5818998759346012E-3</v>
      </c>
      <c r="AA95" s="126">
        <v>45301</v>
      </c>
      <c r="AB95" s="97">
        <f t="shared" si="18"/>
        <v>1400.45</v>
      </c>
      <c r="AC95" s="97">
        <f t="shared" si="19"/>
        <v>-3.4157623198718401E-3</v>
      </c>
    </row>
    <row r="96" spans="1:29">
      <c r="A96" s="126">
        <v>45496</v>
      </c>
      <c r="B96" s="100">
        <v>1800</v>
      </c>
      <c r="C96" s="99">
        <f t="shared" si="21"/>
        <v>-2.9358001440203951E-3</v>
      </c>
      <c r="D96" s="100">
        <v>24479.05</v>
      </c>
      <c r="E96" s="99">
        <f t="shared" si="22"/>
        <v>-1.2321878474453873E-3</v>
      </c>
      <c r="F96" s="100">
        <v>20755.349999999999</v>
      </c>
      <c r="G96" s="99">
        <f t="shared" si="20"/>
        <v>-5.4829236799186498E-3</v>
      </c>
      <c r="W96" s="126">
        <v>45495</v>
      </c>
      <c r="X96" s="97">
        <v>1491.15</v>
      </c>
      <c r="Y96" s="97">
        <f t="shared" si="17"/>
        <v>2.1169354838710408E-3</v>
      </c>
      <c r="AA96" s="126">
        <v>45300</v>
      </c>
      <c r="AB96" s="97">
        <f t="shared" si="18"/>
        <v>1405.25</v>
      </c>
      <c r="AC96" s="97">
        <f t="shared" si="19"/>
        <v>6.4097973214924941E-3</v>
      </c>
    </row>
    <row r="97" spans="1:29">
      <c r="A97" s="126">
        <v>45495</v>
      </c>
      <c r="B97" s="100">
        <v>1805.3</v>
      </c>
      <c r="C97" s="99">
        <f t="shared" si="21"/>
        <v>1.0438530210169716E-2</v>
      </c>
      <c r="D97" s="100">
        <v>24509.25</v>
      </c>
      <c r="E97" s="99">
        <f t="shared" si="22"/>
        <v>-8.8256036264466875E-4</v>
      </c>
      <c r="F97" s="100">
        <v>20641.55</v>
      </c>
      <c r="G97" s="99">
        <f t="shared" si="20"/>
        <v>-1.0471597336440208E-2</v>
      </c>
      <c r="W97" s="126">
        <v>45492</v>
      </c>
      <c r="X97" s="97">
        <v>1488</v>
      </c>
      <c r="Y97" s="97">
        <f t="shared" si="17"/>
        <v>-9.320905459387463E-3</v>
      </c>
      <c r="AA97" s="126">
        <v>45299</v>
      </c>
      <c r="AB97" s="97">
        <f t="shared" si="18"/>
        <v>1396.3</v>
      </c>
      <c r="AC97" s="97">
        <f t="shared" si="19"/>
        <v>1.0091510833001749E-2</v>
      </c>
    </row>
    <row r="98" spans="1:29">
      <c r="A98" s="126">
        <v>45492</v>
      </c>
      <c r="B98" s="100">
        <v>1786.65</v>
      </c>
      <c r="C98" s="99">
        <f t="shared" si="21"/>
        <v>-1.6838629797771287E-2</v>
      </c>
      <c r="D98" s="100">
        <v>24530.9</v>
      </c>
      <c r="E98" s="99">
        <f t="shared" si="22"/>
        <v>-1.0884707580586794E-2</v>
      </c>
      <c r="F98" s="100">
        <v>20425.400000000001</v>
      </c>
      <c r="G98" s="99">
        <f t="shared" si="20"/>
        <v>1.6790368854465276E-2</v>
      </c>
      <c r="W98" s="126">
        <v>45491</v>
      </c>
      <c r="X98" s="97">
        <v>1502</v>
      </c>
      <c r="Y98" s="97">
        <f t="shared" si="17"/>
        <v>-4.2429063908777653E-3</v>
      </c>
      <c r="AA98" s="126">
        <v>45296</v>
      </c>
      <c r="AB98" s="97">
        <f t="shared" si="18"/>
        <v>1382.35</v>
      </c>
      <c r="AC98" s="97">
        <f t="shared" si="19"/>
        <v>-5.1099355860233509E-3</v>
      </c>
    </row>
    <row r="99" spans="1:29">
      <c r="A99" s="126">
        <v>45491</v>
      </c>
      <c r="B99" s="100">
        <v>1817.25</v>
      </c>
      <c r="C99" s="99">
        <f t="shared" si="21"/>
        <v>-1.5067342348445867E-2</v>
      </c>
      <c r="D99" s="100">
        <v>24800.85</v>
      </c>
      <c r="E99" s="99">
        <f t="shared" si="22"/>
        <v>7.6321456141064115E-3</v>
      </c>
      <c r="F99" s="100">
        <v>20768.349999999999</v>
      </c>
      <c r="G99" s="99">
        <f t="shared" si="20"/>
        <v>-1.3963555121121463E-4</v>
      </c>
      <c r="W99" s="126">
        <v>45489</v>
      </c>
      <c r="X99" s="97">
        <v>1508.4</v>
      </c>
      <c r="Y99" s="97">
        <f t="shared" si="17"/>
        <v>-4.2907122582348522E-3</v>
      </c>
      <c r="AA99" s="126">
        <v>45295</v>
      </c>
      <c r="AB99" s="97">
        <f t="shared" si="18"/>
        <v>1389.45</v>
      </c>
      <c r="AC99" s="97">
        <f t="shared" si="19"/>
        <v>-6.8263045032165293E-3</v>
      </c>
    </row>
    <row r="100" spans="1:29">
      <c r="A100" s="126">
        <v>45489</v>
      </c>
      <c r="B100" s="100">
        <v>1845.05</v>
      </c>
      <c r="C100" s="99">
        <f t="shared" si="21"/>
        <v>6.7112262992770066E-3</v>
      </c>
      <c r="D100" s="100">
        <v>24613</v>
      </c>
      <c r="E100" s="99">
        <f t="shared" si="22"/>
        <v>1.0696840161550369E-3</v>
      </c>
      <c r="F100" s="100">
        <v>20765.45</v>
      </c>
      <c r="G100" s="99">
        <f t="shared" si="20"/>
        <v>3.809211936172785E-3</v>
      </c>
      <c r="W100" s="126">
        <v>45488</v>
      </c>
      <c r="X100" s="97">
        <v>1514.9</v>
      </c>
      <c r="Y100" s="97">
        <f t="shared" si="17"/>
        <v>1.5536676473506539E-3</v>
      </c>
      <c r="AA100" s="126">
        <v>45294</v>
      </c>
      <c r="AB100" s="97">
        <f t="shared" si="18"/>
        <v>1399</v>
      </c>
      <c r="AC100" s="97">
        <f t="shared" si="19"/>
        <v>-5.2616609783845414E-3</v>
      </c>
    </row>
    <row r="101" spans="1:29">
      <c r="A101" s="126">
        <v>45488</v>
      </c>
      <c r="B101" s="100">
        <v>1832.75</v>
      </c>
      <c r="C101" s="99">
        <f t="shared" si="21"/>
        <v>1.9468780419969356E-2</v>
      </c>
      <c r="D101" s="100">
        <v>24586.7</v>
      </c>
      <c r="E101" s="99">
        <f t="shared" si="22"/>
        <v>3.4507175900890807E-3</v>
      </c>
      <c r="F101" s="100">
        <v>20844.55</v>
      </c>
      <c r="G101" s="99">
        <f t="shared" si="20"/>
        <v>-1.1125210186835321E-2</v>
      </c>
      <c r="W101" s="126">
        <v>45485</v>
      </c>
      <c r="X101" s="97">
        <v>1512.55</v>
      </c>
      <c r="Y101" s="97">
        <f t="shared" si="17"/>
        <v>4.816315684581074E-3</v>
      </c>
      <c r="AA101" s="126">
        <v>45293</v>
      </c>
      <c r="AB101" s="97">
        <f t="shared" si="18"/>
        <v>1406.4</v>
      </c>
      <c r="AC101" s="97">
        <f t="shared" si="19"/>
        <v>8.6420195790153365E-3</v>
      </c>
    </row>
    <row r="102" spans="1:29">
      <c r="A102" s="126">
        <v>45485</v>
      </c>
      <c r="B102" s="100">
        <v>1797.75</v>
      </c>
      <c r="C102" s="99">
        <f t="shared" si="21"/>
        <v>-1.0757717492984042E-2</v>
      </c>
      <c r="D102" s="100">
        <v>24502.15</v>
      </c>
      <c r="E102" s="99">
        <f t="shared" si="22"/>
        <v>7.6575252046495734E-3</v>
      </c>
      <c r="F102" s="100">
        <v>20612.650000000001</v>
      </c>
      <c r="G102" s="99">
        <f t="shared" si="20"/>
        <v>-5.3122718330733676E-4</v>
      </c>
      <c r="W102" s="126">
        <v>45484</v>
      </c>
      <c r="X102" s="97">
        <v>1505.3</v>
      </c>
      <c r="Y102" s="97">
        <f t="shared" si="17"/>
        <v>-4.9576943416181907E-3</v>
      </c>
      <c r="AA102" s="126">
        <v>45292</v>
      </c>
      <c r="AB102" s="97">
        <f t="shared" si="18"/>
        <v>1394.35</v>
      </c>
      <c r="AC102" s="97">
        <f t="shared" si="19"/>
        <v>6.2078683779563493E-2</v>
      </c>
    </row>
    <row r="103" spans="1:29">
      <c r="A103" s="126">
        <v>45484</v>
      </c>
      <c r="B103" s="100">
        <v>1817.3</v>
      </c>
      <c r="C103" s="99">
        <f t="shared" si="21"/>
        <v>-5.2548032185670834E-3</v>
      </c>
      <c r="D103" s="100">
        <v>24315.95</v>
      </c>
      <c r="E103" s="99">
        <f t="shared" si="22"/>
        <v>-3.4944263899083783E-4</v>
      </c>
      <c r="F103" s="100">
        <v>20601.7</v>
      </c>
      <c r="G103" s="99">
        <f t="shared" si="20"/>
        <v>6.0310556895790679E-3</v>
      </c>
      <c r="W103" s="126">
        <v>45483</v>
      </c>
      <c r="X103" s="97">
        <v>1512.8</v>
      </c>
      <c r="Y103" s="97">
        <f t="shared" si="17"/>
        <v>-7.9260237780720555E-4</v>
      </c>
      <c r="AA103" s="126">
        <v>45289</v>
      </c>
      <c r="AB103" s="97">
        <f t="shared" si="18"/>
        <v>1312.85</v>
      </c>
      <c r="AC103" s="97">
        <f t="shared" si="19"/>
        <v>-7.6344533051136976E-3</v>
      </c>
    </row>
    <row r="104" spans="1:29">
      <c r="A104" s="126">
        <v>45483</v>
      </c>
      <c r="B104" s="100">
        <v>1826.9</v>
      </c>
      <c r="C104" s="99">
        <f t="shared" si="21"/>
        <v>6.6951370712220459E-3</v>
      </c>
      <c r="D104" s="100">
        <v>24324.45</v>
      </c>
      <c r="E104" s="99">
        <f t="shared" si="22"/>
        <v>-4.4509110554491471E-3</v>
      </c>
      <c r="F104" s="100">
        <v>20725.95</v>
      </c>
      <c r="G104" s="99">
        <f t="shared" si="20"/>
        <v>-3.8671327490417129E-3</v>
      </c>
      <c r="W104" s="126">
        <v>45482</v>
      </c>
      <c r="X104" s="97">
        <v>1514</v>
      </c>
      <c r="Y104" s="97">
        <f t="shared" si="17"/>
        <v>1.5425888665325349E-2</v>
      </c>
      <c r="AA104" s="126">
        <v>45288</v>
      </c>
      <c r="AB104" s="97">
        <f t="shared" ref="AB104:AB130" si="23">B235</f>
        <v>1322.95</v>
      </c>
      <c r="AC104" s="97">
        <f t="shared" ref="AC104:AC129" si="24">AB104/AB105-1</f>
        <v>-1.2687040561214946E-2</v>
      </c>
    </row>
    <row r="105" spans="1:29">
      <c r="A105" s="126">
        <v>45482</v>
      </c>
      <c r="B105" s="100">
        <v>1814.75</v>
      </c>
      <c r="C105" s="99">
        <f t="shared" si="21"/>
        <v>2.0152903479678352E-2</v>
      </c>
      <c r="D105" s="100">
        <v>24433.200000000001</v>
      </c>
      <c r="E105" s="99">
        <f t="shared" si="22"/>
        <v>4.6318853808815508E-3</v>
      </c>
      <c r="F105" s="100">
        <v>20645.8</v>
      </c>
      <c r="G105" s="99">
        <f t="shared" si="20"/>
        <v>-1.549952048358505E-2</v>
      </c>
      <c r="W105" s="126">
        <v>45481</v>
      </c>
      <c r="X105" s="97">
        <v>1491</v>
      </c>
      <c r="Y105" s="97">
        <f t="shared" si="17"/>
        <v>-1.2615476308731499E-2</v>
      </c>
      <c r="AA105" s="126">
        <v>45287</v>
      </c>
      <c r="AB105" s="97">
        <f t="shared" si="23"/>
        <v>1339.95</v>
      </c>
      <c r="AC105" s="97">
        <f t="shared" si="24"/>
        <v>4.0333850931677073E-2</v>
      </c>
    </row>
    <row r="106" spans="1:29">
      <c r="A106" s="126">
        <v>45481</v>
      </c>
      <c r="B106" s="100">
        <v>1778.9</v>
      </c>
      <c r="C106" s="99">
        <f t="shared" si="21"/>
        <v>4.9146989040786959E-3</v>
      </c>
      <c r="D106" s="100">
        <v>24320.55</v>
      </c>
      <c r="E106" s="99">
        <f t="shared" si="22"/>
        <v>-1.3566931221820067E-4</v>
      </c>
      <c r="F106" s="100">
        <v>20325.8</v>
      </c>
      <c r="G106" s="99">
        <f t="shared" si="20"/>
        <v>6.2998750356688671E-3</v>
      </c>
      <c r="W106" s="126">
        <v>45478</v>
      </c>
      <c r="X106" s="97">
        <v>1510.05</v>
      </c>
      <c r="Y106" s="97">
        <f t="shared" si="17"/>
        <v>1.6868686868686922E-2</v>
      </c>
      <c r="AA106" s="126">
        <v>45286</v>
      </c>
      <c r="AB106" s="97">
        <f t="shared" si="23"/>
        <v>1288</v>
      </c>
      <c r="AC106" s="97">
        <f t="shared" si="24"/>
        <v>4.1710521186604232E-3</v>
      </c>
    </row>
    <row r="107" spans="1:29">
      <c r="A107" s="126">
        <v>45478</v>
      </c>
      <c r="B107" s="100">
        <v>1770.2</v>
      </c>
      <c r="C107" s="99">
        <f t="shared" si="21"/>
        <v>6.1956459955665455E-3</v>
      </c>
      <c r="D107" s="100">
        <v>24323.85</v>
      </c>
      <c r="E107" s="99">
        <f t="shared" si="22"/>
        <v>8.9292511156413568E-4</v>
      </c>
      <c r="F107" s="100">
        <v>20453.849999999999</v>
      </c>
      <c r="G107" s="99">
        <f t="shared" si="20"/>
        <v>-1.2772656492543E-2</v>
      </c>
      <c r="W107" s="126">
        <v>45477</v>
      </c>
      <c r="X107" s="97">
        <v>1485</v>
      </c>
      <c r="Y107" s="97">
        <f t="shared" si="17"/>
        <v>-4.7115837652289549E-4</v>
      </c>
      <c r="AA107" s="126">
        <v>45282</v>
      </c>
      <c r="AB107" s="97">
        <f t="shared" si="23"/>
        <v>1282.6500000000001</v>
      </c>
      <c r="AC107" s="97">
        <f t="shared" si="24"/>
        <v>1.3872421152478109E-2</v>
      </c>
    </row>
    <row r="108" spans="1:29">
      <c r="A108" s="126">
        <v>45477</v>
      </c>
      <c r="B108" s="100">
        <v>1759.3</v>
      </c>
      <c r="C108" s="99">
        <f t="shared" si="21"/>
        <v>7.8928001962467853E-2</v>
      </c>
      <c r="D108" s="100">
        <v>24302.15</v>
      </c>
      <c r="E108" s="99">
        <f t="shared" si="22"/>
        <v>6.4439091676460336E-4</v>
      </c>
      <c r="F108" s="100">
        <v>20192.599999999999</v>
      </c>
      <c r="G108" s="99">
        <f t="shared" si="20"/>
        <v>-1.3732753582995749E-2</v>
      </c>
      <c r="W108" s="126">
        <v>45476</v>
      </c>
      <c r="X108" s="97">
        <v>1485.7</v>
      </c>
      <c r="Y108" s="97">
        <f t="shared" si="17"/>
        <v>-2.8859060402683934E-3</v>
      </c>
      <c r="AA108" s="126">
        <v>45281</v>
      </c>
      <c r="AB108" s="97">
        <f t="shared" si="23"/>
        <v>1265.0999999999999</v>
      </c>
      <c r="AC108" s="97">
        <f t="shared" si="24"/>
        <v>6.604073838319513E-3</v>
      </c>
    </row>
    <row r="109" spans="1:29">
      <c r="A109" s="126">
        <v>45476</v>
      </c>
      <c r="B109" s="100">
        <v>1630.6</v>
      </c>
      <c r="C109" s="99">
        <f t="shared" si="21"/>
        <v>-1.3473787359138401E-3</v>
      </c>
      <c r="D109" s="100">
        <v>24286.5</v>
      </c>
      <c r="E109" s="99">
        <f t="shared" si="22"/>
        <v>6.7422903060665451E-3</v>
      </c>
      <c r="F109" s="100">
        <v>19915.3</v>
      </c>
      <c r="G109" s="99">
        <f t="shared" si="20"/>
        <v>-6.4724106591413921E-3</v>
      </c>
      <c r="W109" s="126">
        <v>45475</v>
      </c>
      <c r="X109" s="97">
        <v>1490</v>
      </c>
      <c r="Y109" s="97">
        <f t="shared" si="17"/>
        <v>8.289629504314E-3</v>
      </c>
      <c r="AA109" s="126">
        <v>45280</v>
      </c>
      <c r="AB109" s="97">
        <f t="shared" si="23"/>
        <v>1256.8</v>
      </c>
      <c r="AC109" s="97">
        <f t="shared" si="24"/>
        <v>2.3786249592701258E-2</v>
      </c>
    </row>
    <row r="110" spans="1:29">
      <c r="A110" s="126">
        <v>45475</v>
      </c>
      <c r="B110" s="100">
        <v>1632.8</v>
      </c>
      <c r="C110" s="99">
        <f t="shared" si="21"/>
        <v>1.0364778317502488E-2</v>
      </c>
      <c r="D110" s="100">
        <v>24123.85</v>
      </c>
      <c r="E110" s="99">
        <f t="shared" si="22"/>
        <v>-7.4973231242725369E-4</v>
      </c>
      <c r="F110" s="100">
        <v>19786.400000000001</v>
      </c>
      <c r="G110" s="99">
        <f t="shared" si="20"/>
        <v>-1.4226943759350075E-3</v>
      </c>
      <c r="W110" s="126">
        <v>45474</v>
      </c>
      <c r="X110" s="97">
        <v>1477.75</v>
      </c>
      <c r="Y110" s="97">
        <f t="shared" si="17"/>
        <v>-3.3048932654369256E-3</v>
      </c>
      <c r="AA110" s="126">
        <v>45279</v>
      </c>
      <c r="AB110" s="97">
        <f t="shared" si="23"/>
        <v>1227.5999999999999</v>
      </c>
      <c r="AC110" s="97">
        <f t="shared" si="24"/>
        <v>-3.3538025507794167E-2</v>
      </c>
    </row>
    <row r="111" spans="1:29">
      <c r="A111" s="126">
        <v>45474</v>
      </c>
      <c r="B111" s="100">
        <v>1616.05</v>
      </c>
      <c r="C111" s="99">
        <f t="shared" si="21"/>
        <v>-3.2688808708791761E-3</v>
      </c>
      <c r="D111" s="100">
        <v>24141.95</v>
      </c>
      <c r="E111" s="99">
        <f t="shared" si="22"/>
        <v>5.4705005289330533E-3</v>
      </c>
      <c r="F111" s="100">
        <v>19758.25</v>
      </c>
      <c r="G111" s="99">
        <f t="shared" si="20"/>
        <v>-1.3513342527805561E-3</v>
      </c>
      <c r="W111" s="126">
        <v>45471</v>
      </c>
      <c r="X111" s="97">
        <v>1482.65</v>
      </c>
      <c r="Y111" s="97">
        <f t="shared" si="17"/>
        <v>-1.5824915824915742E-3</v>
      </c>
      <c r="AA111" s="126">
        <v>45278</v>
      </c>
      <c r="AB111" s="97">
        <f t="shared" si="23"/>
        <v>1270.2</v>
      </c>
      <c r="AC111" s="97">
        <f t="shared" si="24"/>
        <v>9.8986285032796051E-3</v>
      </c>
    </row>
    <row r="112" spans="1:29">
      <c r="A112" s="126">
        <v>45471</v>
      </c>
      <c r="B112" s="100">
        <v>1621.35</v>
      </c>
      <c r="C112" s="99">
        <f t="shared" si="21"/>
        <v>2.3967411898446311E-2</v>
      </c>
      <c r="D112" s="100">
        <v>24010.6</v>
      </c>
      <c r="E112" s="99">
        <f t="shared" si="22"/>
        <v>-1.4098858366778932E-3</v>
      </c>
      <c r="F112" s="100">
        <v>19731.55</v>
      </c>
      <c r="G112" s="99">
        <f t="shared" si="20"/>
        <v>-1.0984945430034587E-2</v>
      </c>
      <c r="W112" s="126">
        <v>45470</v>
      </c>
      <c r="X112" s="97">
        <v>1485</v>
      </c>
      <c r="Y112" s="97">
        <f t="shared" si="17"/>
        <v>4.4982581932559995E-3</v>
      </c>
      <c r="AA112" s="126">
        <v>45275</v>
      </c>
      <c r="AB112" s="97">
        <f t="shared" si="23"/>
        <v>1257.75</v>
      </c>
      <c r="AC112" s="97">
        <f t="shared" si="24"/>
        <v>9.3491694085547916E-3</v>
      </c>
    </row>
    <row r="113" spans="1:29">
      <c r="A113" s="126">
        <v>45470</v>
      </c>
      <c r="B113" s="100">
        <v>1583.4</v>
      </c>
      <c r="C113" s="99">
        <f t="shared" si="21"/>
        <v>-1.5786316420929314E-4</v>
      </c>
      <c r="D113" s="100">
        <v>24044.5</v>
      </c>
      <c r="E113" s="99">
        <f t="shared" si="22"/>
        <v>7.3610738704921186E-3</v>
      </c>
      <c r="F113" s="100">
        <v>19514.8</v>
      </c>
      <c r="G113" s="99">
        <f t="shared" si="20"/>
        <v>1.5654785086189893E-3</v>
      </c>
      <c r="W113" s="126">
        <v>45469</v>
      </c>
      <c r="X113" s="97">
        <v>1478.35</v>
      </c>
      <c r="Y113" s="97">
        <f t="shared" si="17"/>
        <v>-1.5745672436751068E-2</v>
      </c>
      <c r="AA113" s="126">
        <v>45274</v>
      </c>
      <c r="AB113" s="97">
        <f t="shared" si="23"/>
        <v>1246.0999999999999</v>
      </c>
      <c r="AC113" s="97">
        <f t="shared" si="24"/>
        <v>-8.1585545429219142E-3</v>
      </c>
    </row>
    <row r="114" spans="1:29">
      <c r="A114" s="126">
        <v>45469</v>
      </c>
      <c r="B114" s="100">
        <v>1583.65</v>
      </c>
      <c r="C114" s="99">
        <f t="shared" si="21"/>
        <v>1.5909163806652415E-2</v>
      </c>
      <c r="D114" s="100">
        <v>23868.799999999999</v>
      </c>
      <c r="E114" s="99">
        <f t="shared" si="22"/>
        <v>6.2180403266263173E-3</v>
      </c>
      <c r="F114" s="100">
        <v>19545.349999999999</v>
      </c>
      <c r="G114" s="99">
        <f t="shared" si="20"/>
        <v>-6.6767798990552407E-4</v>
      </c>
      <c r="W114" s="126">
        <v>45468</v>
      </c>
      <c r="X114" s="97">
        <v>1502</v>
      </c>
      <c r="Y114" s="97">
        <f t="shared" si="17"/>
        <v>-3.8796962562588355E-3</v>
      </c>
      <c r="AA114" s="126">
        <v>45273</v>
      </c>
      <c r="AB114" s="97">
        <f t="shared" si="23"/>
        <v>1256.3499999999999</v>
      </c>
      <c r="AC114" s="97">
        <f t="shared" si="24"/>
        <v>3.5545970125407944E-3</v>
      </c>
    </row>
    <row r="115" spans="1:29">
      <c r="A115" s="126">
        <v>45468</v>
      </c>
      <c r="B115" s="100">
        <v>1558.85</v>
      </c>
      <c r="C115" s="99">
        <f t="shared" si="21"/>
        <v>-5.0422849848412721E-3</v>
      </c>
      <c r="D115" s="100">
        <v>23721.3</v>
      </c>
      <c r="E115" s="99">
        <f t="shared" si="22"/>
        <v>7.7938299377386944E-3</v>
      </c>
      <c r="F115" s="100">
        <v>19532.3</v>
      </c>
      <c r="G115" s="99">
        <f t="shared" si="20"/>
        <v>-5.7084931114093074E-4</v>
      </c>
      <c r="W115" s="126">
        <v>45467</v>
      </c>
      <c r="X115" s="97">
        <v>1507.85</v>
      </c>
      <c r="Y115" s="97">
        <f t="shared" si="17"/>
        <v>-1.9125060985526132E-2</v>
      </c>
      <c r="AA115" s="126">
        <v>45272</v>
      </c>
      <c r="AB115" s="97">
        <f t="shared" si="23"/>
        <v>1251.9000000000001</v>
      </c>
      <c r="AC115" s="97">
        <f t="shared" si="24"/>
        <v>9.4746603233479831E-3</v>
      </c>
    </row>
    <row r="116" spans="1:29">
      <c r="A116" s="126">
        <v>45467</v>
      </c>
      <c r="B116" s="100">
        <v>1566.75</v>
      </c>
      <c r="C116" s="99">
        <f t="shared" si="21"/>
        <v>3.6835361947469281E-3</v>
      </c>
      <c r="D116" s="100">
        <v>23537.85</v>
      </c>
      <c r="E116" s="99">
        <f t="shared" si="22"/>
        <v>1.5637565901169825E-3</v>
      </c>
      <c r="F116" s="100">
        <v>19521.150000000001</v>
      </c>
      <c r="G116" s="99">
        <f t="shared" si="20"/>
        <v>3.7139205425917865E-4</v>
      </c>
      <c r="W116" s="126">
        <v>45464</v>
      </c>
      <c r="X116" s="97">
        <v>1537.25</v>
      </c>
      <c r="Y116" s="97">
        <f t="shared" si="17"/>
        <v>-5.3058979585234312E-3</v>
      </c>
      <c r="AA116" s="126">
        <v>45271</v>
      </c>
      <c r="AB116" s="97">
        <f t="shared" si="23"/>
        <v>1240.1500000000001</v>
      </c>
      <c r="AC116" s="97">
        <f t="shared" si="24"/>
        <v>8.539015166917352E-3</v>
      </c>
    </row>
    <row r="117" spans="1:29">
      <c r="A117" s="126">
        <v>45464</v>
      </c>
      <c r="B117" s="100">
        <v>1561</v>
      </c>
      <c r="C117" s="99">
        <f t="shared" si="21"/>
        <v>3.4068265089670646E-3</v>
      </c>
      <c r="D117" s="100">
        <v>23501.1</v>
      </c>
      <c r="E117" s="99">
        <f t="shared" si="22"/>
        <v>-2.7962829380066001E-3</v>
      </c>
      <c r="F117" s="100">
        <v>19528.400000000001</v>
      </c>
      <c r="G117" s="99">
        <f t="shared" si="20"/>
        <v>8.2700067593854953E-4</v>
      </c>
      <c r="W117" s="126">
        <v>45463</v>
      </c>
      <c r="X117" s="97">
        <v>1545.45</v>
      </c>
      <c r="Y117" s="97">
        <f t="shared" si="17"/>
        <v>-9.3586744014614309E-3</v>
      </c>
      <c r="AA117" s="126">
        <v>45268</v>
      </c>
      <c r="AB117" s="97">
        <f t="shared" si="23"/>
        <v>1229.6500000000001</v>
      </c>
      <c r="AC117" s="97">
        <f t="shared" si="24"/>
        <v>-7.8266833420743698E-3</v>
      </c>
    </row>
    <row r="118" spans="1:29">
      <c r="A118" s="126">
        <v>45463</v>
      </c>
      <c r="B118" s="100">
        <v>1555.7</v>
      </c>
      <c r="C118" s="99">
        <f t="shared" si="21"/>
        <v>-1.0557781593843352E-2</v>
      </c>
      <c r="D118" s="100">
        <v>23567</v>
      </c>
      <c r="E118" s="99">
        <f t="shared" si="22"/>
        <v>2.1687361796223215E-3</v>
      </c>
      <c r="F118" s="100">
        <v>19544.55</v>
      </c>
      <c r="G118" s="99">
        <f t="shared" si="20"/>
        <v>5.1139575994332276E-3</v>
      </c>
      <c r="W118" s="126">
        <v>45462</v>
      </c>
      <c r="X118" s="97">
        <v>1560.05</v>
      </c>
      <c r="Y118" s="97">
        <f t="shared" si="17"/>
        <v>-9.4920634920635516E-3</v>
      </c>
      <c r="AA118" s="126">
        <v>45267</v>
      </c>
      <c r="AB118" s="97">
        <f t="shared" si="23"/>
        <v>1239.3499999999999</v>
      </c>
      <c r="AC118" s="97">
        <f t="shared" si="24"/>
        <v>-7.726180944755856E-3</v>
      </c>
    </row>
    <row r="119" spans="1:29">
      <c r="A119" s="126">
        <v>45462</v>
      </c>
      <c r="B119" s="100">
        <v>1572.3</v>
      </c>
      <c r="C119" s="99">
        <f t="shared" si="21"/>
        <v>-5.7858294603054805E-3</v>
      </c>
      <c r="D119" s="100">
        <v>23516</v>
      </c>
      <c r="E119" s="99">
        <f t="shared" si="22"/>
        <v>-1.7785965642099777E-3</v>
      </c>
      <c r="F119" s="100">
        <v>19644.5</v>
      </c>
      <c r="G119" s="99">
        <f t="shared" si="20"/>
        <v>9.2723154063478752E-3</v>
      </c>
      <c r="W119" s="126">
        <v>45461</v>
      </c>
      <c r="X119" s="97">
        <v>1575</v>
      </c>
      <c r="Y119" s="97">
        <f t="shared" si="17"/>
        <v>5.7471264367816577E-3</v>
      </c>
      <c r="AA119" s="126">
        <v>45266</v>
      </c>
      <c r="AB119" s="97">
        <f t="shared" si="23"/>
        <v>1249</v>
      </c>
      <c r="AC119" s="97">
        <f t="shared" si="24"/>
        <v>4.4229995979090386E-3</v>
      </c>
    </row>
    <row r="120" spans="1:29">
      <c r="A120" s="126">
        <v>45461</v>
      </c>
      <c r="B120" s="100">
        <v>1581.45</v>
      </c>
      <c r="C120" s="99">
        <f t="shared" si="21"/>
        <v>-1.4120067327473285E-2</v>
      </c>
      <c r="D120" s="100">
        <v>23557.9</v>
      </c>
      <c r="E120" s="99">
        <f t="shared" si="22"/>
        <v>3.933417428064967E-3</v>
      </c>
      <c r="F120" s="100">
        <v>19826.650000000001</v>
      </c>
      <c r="G120" s="99">
        <f t="shared" si="20"/>
        <v>3.4801643242807767E-3</v>
      </c>
      <c r="W120" s="126">
        <v>45457</v>
      </c>
      <c r="X120" s="97">
        <v>1566</v>
      </c>
      <c r="Y120" s="97">
        <f t="shared" si="17"/>
        <v>1.3592233009708687E-2</v>
      </c>
      <c r="AA120" s="126">
        <v>45265</v>
      </c>
      <c r="AB120" s="97">
        <f t="shared" si="23"/>
        <v>1243.5</v>
      </c>
      <c r="AC120" s="97">
        <f t="shared" si="24"/>
        <v>-1.1683357176919484E-2</v>
      </c>
    </row>
    <row r="121" spans="1:29">
      <c r="A121" s="126">
        <v>45457</v>
      </c>
      <c r="B121" s="100">
        <v>1604.1</v>
      </c>
      <c r="C121" s="99">
        <f t="shared" si="21"/>
        <v>-8.4088573297214086E-4</v>
      </c>
      <c r="D121" s="100">
        <v>23465.599999999999</v>
      </c>
      <c r="E121" s="99">
        <f t="shared" si="22"/>
        <v>2.8505613511744521E-3</v>
      </c>
      <c r="F121" s="100">
        <v>19895.650000000001</v>
      </c>
      <c r="G121" s="99">
        <f t="shared" si="20"/>
        <v>-2.8724872019764147E-3</v>
      </c>
      <c r="W121" s="126">
        <v>45456</v>
      </c>
      <c r="X121" s="97">
        <v>1545</v>
      </c>
      <c r="Y121" s="97">
        <f t="shared" si="17"/>
        <v>4.3554573230188964E-3</v>
      </c>
      <c r="AA121" s="126">
        <v>45264</v>
      </c>
      <c r="AB121" s="97">
        <f t="shared" si="23"/>
        <v>1258.2</v>
      </c>
      <c r="AC121" s="97">
        <f t="shared" si="24"/>
        <v>-1.8642655983498457E-3</v>
      </c>
    </row>
    <row r="122" spans="1:29">
      <c r="A122" s="126">
        <v>45456</v>
      </c>
      <c r="B122" s="100">
        <v>1605.45</v>
      </c>
      <c r="C122" s="99">
        <f t="shared" si="21"/>
        <v>-6.2283952539599063E-5</v>
      </c>
      <c r="D122" s="100">
        <v>23398.9</v>
      </c>
      <c r="E122" s="99">
        <f t="shared" si="22"/>
        <v>3.2564491198583401E-3</v>
      </c>
      <c r="F122" s="100">
        <v>19838.5</v>
      </c>
      <c r="G122" s="99">
        <f t="shared" si="20"/>
        <v>-5.0104594601406705E-3</v>
      </c>
      <c r="W122" s="126">
        <v>45455</v>
      </c>
      <c r="X122" s="97">
        <v>1538.3</v>
      </c>
      <c r="Y122" s="97">
        <f t="shared" si="17"/>
        <v>2.1498371335504363E-3</v>
      </c>
      <c r="AA122" s="126">
        <v>45261</v>
      </c>
      <c r="AB122" s="97">
        <f t="shared" si="23"/>
        <v>1260.55</v>
      </c>
      <c r="AC122" s="97">
        <f t="shared" si="24"/>
        <v>-2.7840974819727915E-2</v>
      </c>
    </row>
    <row r="123" spans="1:29">
      <c r="A123" s="126">
        <v>45455</v>
      </c>
      <c r="B123" s="100">
        <v>1605.55</v>
      </c>
      <c r="C123" s="99">
        <f t="shared" si="21"/>
        <v>-5.2662556922028481E-3</v>
      </c>
      <c r="D123" s="100">
        <v>23322.95</v>
      </c>
      <c r="E123" s="99">
        <f t="shared" si="22"/>
        <v>2.4973296625596664E-3</v>
      </c>
      <c r="F123" s="100">
        <v>19739.099999999999</v>
      </c>
      <c r="G123" s="99">
        <f t="shared" si="20"/>
        <v>-2.50264703051295E-3</v>
      </c>
      <c r="W123" s="126">
        <v>45454</v>
      </c>
      <c r="X123" s="97">
        <v>1535</v>
      </c>
      <c r="Y123" s="97">
        <f t="shared" si="17"/>
        <v>3.9241334205362133E-3</v>
      </c>
      <c r="AA123" s="126">
        <v>45260</v>
      </c>
      <c r="AB123" s="97">
        <f t="shared" si="23"/>
        <v>1296.6500000000001</v>
      </c>
      <c r="AC123" s="97">
        <f t="shared" si="24"/>
        <v>1.229604184557731E-2</v>
      </c>
    </row>
    <row r="124" spans="1:29">
      <c r="A124" s="126">
        <v>45454</v>
      </c>
      <c r="B124" s="100">
        <v>1614.05</v>
      </c>
      <c r="C124" s="99">
        <f t="shared" si="21"/>
        <v>-1.2299972462748276E-2</v>
      </c>
      <c r="D124" s="100">
        <v>23264.85</v>
      </c>
      <c r="E124" s="99">
        <f t="shared" si="22"/>
        <v>2.4291463162962046E-4</v>
      </c>
      <c r="F124" s="100">
        <v>19689.7</v>
      </c>
      <c r="G124" s="99">
        <f t="shared" si="20"/>
        <v>4.3169779123095608E-3</v>
      </c>
      <c r="W124" s="126">
        <v>45453</v>
      </c>
      <c r="X124" s="97">
        <v>1529</v>
      </c>
      <c r="Y124" s="97">
        <f t="shared" si="17"/>
        <v>2.1376085504342113E-2</v>
      </c>
      <c r="AA124" s="126">
        <v>45259</v>
      </c>
      <c r="AB124" s="97">
        <f t="shared" si="23"/>
        <v>1280.9000000000001</v>
      </c>
      <c r="AC124" s="97">
        <f t="shared" si="24"/>
        <v>2.5089032051538673E-2</v>
      </c>
    </row>
    <row r="125" spans="1:29">
      <c r="A125" s="126">
        <v>45453</v>
      </c>
      <c r="B125" s="100">
        <v>1634.15</v>
      </c>
      <c r="C125" s="99">
        <f t="shared" si="21"/>
        <v>2.8228652081863093E-3</v>
      </c>
      <c r="D125" s="100">
        <v>23259.200000000001</v>
      </c>
      <c r="E125" s="99">
        <f t="shared" si="22"/>
        <v>-1.3288879633664985E-3</v>
      </c>
      <c r="F125" s="100">
        <v>19774.7</v>
      </c>
      <c r="G125" s="99">
        <f t="shared" si="20"/>
        <v>-9.9470535583346953E-3</v>
      </c>
      <c r="W125" s="126">
        <v>45450</v>
      </c>
      <c r="X125" s="97">
        <v>1497</v>
      </c>
      <c r="Y125" s="97">
        <f t="shared" si="17"/>
        <v>1.2238826154574278E-2</v>
      </c>
      <c r="AA125" s="126">
        <v>45258</v>
      </c>
      <c r="AB125" s="97">
        <f t="shared" si="23"/>
        <v>1249.55</v>
      </c>
      <c r="AC125" s="97">
        <f t="shared" si="24"/>
        <v>3.6949275071287424E-3</v>
      </c>
    </row>
    <row r="126" spans="1:29">
      <c r="A126" s="126">
        <v>45450</v>
      </c>
      <c r="B126" s="100">
        <v>1629.55</v>
      </c>
      <c r="C126" s="99">
        <f t="shared" si="21"/>
        <v>1.3874630580183567E-2</v>
      </c>
      <c r="D126" s="100">
        <v>23290.15</v>
      </c>
      <c r="E126" s="99">
        <f t="shared" si="22"/>
        <v>2.0539931818380985E-2</v>
      </c>
      <c r="F126" s="100">
        <v>19578</v>
      </c>
      <c r="G126" s="99">
        <f t="shared" si="20"/>
        <v>-1.7667790376953763E-2</v>
      </c>
      <c r="W126" s="126">
        <v>45449</v>
      </c>
      <c r="X126" s="97">
        <v>1478.9</v>
      </c>
      <c r="Y126" s="97">
        <f t="shared" si="17"/>
        <v>-5.7815126050420051E-3</v>
      </c>
      <c r="AA126" s="126">
        <v>45254</v>
      </c>
      <c r="AB126" s="97">
        <f t="shared" si="23"/>
        <v>1244.95</v>
      </c>
      <c r="AC126" s="97">
        <f t="shared" si="24"/>
        <v>1.4076576576576016E-3</v>
      </c>
    </row>
    <row r="127" spans="1:29">
      <c r="A127" s="126">
        <v>45449</v>
      </c>
      <c r="B127" s="100">
        <v>1607.25</v>
      </c>
      <c r="C127" s="99">
        <f t="shared" si="21"/>
        <v>-1.4259429622815123E-2</v>
      </c>
      <c r="D127" s="100">
        <v>22821.4</v>
      </c>
      <c r="E127" s="99">
        <f t="shared" si="22"/>
        <v>8.888014553267487E-3</v>
      </c>
      <c r="F127" s="100">
        <v>19232.099999999999</v>
      </c>
      <c r="G127" s="99">
        <f t="shared" si="20"/>
        <v>2.5556231508780947E-3</v>
      </c>
      <c r="W127" s="126">
        <v>45448</v>
      </c>
      <c r="X127" s="97">
        <v>1487.5</v>
      </c>
      <c r="Y127" s="97">
        <f t="shared" si="17"/>
        <v>1.5358361774743923E-2</v>
      </c>
      <c r="AA127" s="126">
        <v>45253</v>
      </c>
      <c r="AB127" s="97">
        <f t="shared" si="23"/>
        <v>1243.2</v>
      </c>
      <c r="AC127" s="97">
        <f t="shared" si="24"/>
        <v>3.7599632767182589E-2</v>
      </c>
    </row>
    <row r="128" spans="1:29">
      <c r="A128" s="126">
        <v>45448</v>
      </c>
      <c r="B128" s="100">
        <v>1630.5</v>
      </c>
      <c r="C128" s="99">
        <f t="shared" si="21"/>
        <v>4.201949193161858E-2</v>
      </c>
      <c r="D128" s="100">
        <v>22620.35</v>
      </c>
      <c r="E128" s="99">
        <f t="shared" si="22"/>
        <v>3.3624254609426751E-2</v>
      </c>
      <c r="F128" s="100">
        <v>19281.25</v>
      </c>
      <c r="G128" s="99">
        <f t="shared" si="20"/>
        <v>-3.5168881685575304E-2</v>
      </c>
      <c r="W128" s="126">
        <v>45447</v>
      </c>
      <c r="X128" s="97">
        <v>1465</v>
      </c>
      <c r="Y128" s="97">
        <f t="shared" si="17"/>
        <v>4.8010973936900569E-3</v>
      </c>
      <c r="AA128" s="126">
        <v>45252</v>
      </c>
      <c r="AB128" s="97">
        <f t="shared" si="23"/>
        <v>1198.1500000000001</v>
      </c>
      <c r="AC128" s="97">
        <f t="shared" si="24"/>
        <v>-1.6781552601345617E-2</v>
      </c>
    </row>
    <row r="129" spans="1:29">
      <c r="A129" s="126">
        <v>45447</v>
      </c>
      <c r="B129" s="100">
        <v>1564.75</v>
      </c>
      <c r="C129" s="99">
        <f t="shared" si="21"/>
        <v>-1.2121594747309006E-2</v>
      </c>
      <c r="D129" s="100">
        <v>21884.5</v>
      </c>
      <c r="E129" s="99">
        <f t="shared" si="22"/>
        <v>-5.9293583620975032E-2</v>
      </c>
      <c r="F129" s="100">
        <v>18603.150000000001</v>
      </c>
      <c r="G129" s="99">
        <f t="shared" si="20"/>
        <v>1.4029882036106889E-2</v>
      </c>
      <c r="W129" s="126">
        <v>45446</v>
      </c>
      <c r="X129" s="97">
        <v>1458</v>
      </c>
      <c r="Y129" s="97">
        <f t="shared" si="17"/>
        <v>6.2111801242235032E-3</v>
      </c>
      <c r="AA129" s="126">
        <v>45251</v>
      </c>
      <c r="AB129" s="97">
        <f t="shared" si="23"/>
        <v>1218.5999999999999</v>
      </c>
      <c r="AC129" s="97">
        <f t="shared" si="24"/>
        <v>-2.4149645941632381E-3</v>
      </c>
    </row>
    <row r="130" spans="1:29">
      <c r="A130" s="126">
        <v>45446</v>
      </c>
      <c r="B130" s="100">
        <v>1583.95</v>
      </c>
      <c r="C130" s="99">
        <f t="shared" si="21"/>
        <v>8.8464819436984143E-4</v>
      </c>
      <c r="D130" s="100">
        <v>23263.9</v>
      </c>
      <c r="E130" s="99">
        <f t="shared" si="22"/>
        <v>3.2542264554585643E-2</v>
      </c>
      <c r="F130" s="100">
        <v>18864.150000000001</v>
      </c>
      <c r="G130" s="99">
        <f t="shared" si="20"/>
        <v>-3.5967695337453254E-3</v>
      </c>
      <c r="W130" s="126">
        <v>45443</v>
      </c>
      <c r="X130" s="97">
        <v>1449</v>
      </c>
      <c r="Y130" s="97">
        <f t="shared" si="17"/>
        <v>-1.4285714285714235E-2</v>
      </c>
      <c r="AA130" s="126">
        <v>45250</v>
      </c>
      <c r="AB130" s="97">
        <f t="shared" si="23"/>
        <v>1221.55</v>
      </c>
      <c r="AC130" s="97"/>
    </row>
    <row r="131" spans="1:29">
      <c r="A131" s="126">
        <v>45443</v>
      </c>
      <c r="B131" s="100">
        <v>1582.55</v>
      </c>
      <c r="C131" s="99">
        <f t="shared" si="21"/>
        <v>1.9944282638975075E-3</v>
      </c>
      <c r="D131" s="100">
        <v>22530.7</v>
      </c>
      <c r="E131" s="99">
        <f t="shared" si="22"/>
        <v>1.8698321153114428E-3</v>
      </c>
      <c r="F131" s="100">
        <v>18796.3</v>
      </c>
      <c r="G131" s="99">
        <f t="shared" si="20"/>
        <v>9.294382405047763E-3</v>
      </c>
      <c r="W131" s="126">
        <v>45442</v>
      </c>
      <c r="X131" s="97">
        <v>1470</v>
      </c>
      <c r="Y131" s="97">
        <f t="shared" si="17"/>
        <v>-1.5701898289196214E-2</v>
      </c>
    </row>
    <row r="132" spans="1:29">
      <c r="A132" s="126">
        <v>45442</v>
      </c>
      <c r="B132" s="100">
        <v>1579.4</v>
      </c>
      <c r="C132" s="99">
        <f t="shared" si="21"/>
        <v>-1.3768772050329336E-2</v>
      </c>
      <c r="D132" s="100">
        <v>22488.65</v>
      </c>
      <c r="E132" s="99">
        <f t="shared" si="22"/>
        <v>-9.515650944518117E-3</v>
      </c>
      <c r="F132" s="100">
        <v>18971</v>
      </c>
      <c r="G132" s="99">
        <f t="shared" si="20"/>
        <v>1.8467661167044458E-2</v>
      </c>
      <c r="W132" s="126">
        <v>45441</v>
      </c>
      <c r="X132" s="97">
        <v>1493.45</v>
      </c>
      <c r="Y132" s="97">
        <f t="shared" si="17"/>
        <v>9.0878378378378422E-3</v>
      </c>
    </row>
    <row r="133" spans="1:29">
      <c r="A133" s="126">
        <v>45441</v>
      </c>
      <c r="B133" s="100">
        <v>1601.45</v>
      </c>
      <c r="C133" s="99">
        <f t="shared" si="21"/>
        <v>-1.2473104867629647E-3</v>
      </c>
      <c r="D133" s="100">
        <v>22704.7</v>
      </c>
      <c r="E133" s="99">
        <f t="shared" si="22"/>
        <v>-8.015064563977492E-3</v>
      </c>
      <c r="F133" s="100">
        <v>19321.349999999999</v>
      </c>
      <c r="G133" s="99">
        <f t="shared" si="20"/>
        <v>-5.4654566062929399E-3</v>
      </c>
      <c r="W133" s="126">
        <v>45440</v>
      </c>
      <c r="X133" s="97">
        <v>1480</v>
      </c>
      <c r="Y133" s="97">
        <f t="shared" si="17"/>
        <v>1.0822510822510178E-3</v>
      </c>
    </row>
    <row r="134" spans="1:29">
      <c r="A134" s="126">
        <v>45440</v>
      </c>
      <c r="B134" s="100">
        <v>1603.45</v>
      </c>
      <c r="C134" s="99">
        <f t="shared" si="21"/>
        <v>-7.8274859229007232E-3</v>
      </c>
      <c r="D134" s="100">
        <v>22888.15</v>
      </c>
      <c r="E134" s="99">
        <f t="shared" si="22"/>
        <v>-1.9317604529824894E-3</v>
      </c>
      <c r="F134" s="100">
        <v>19215.75</v>
      </c>
      <c r="G134" s="99">
        <f t="shared" si="20"/>
        <v>-5.4018188204987272E-3</v>
      </c>
      <c r="W134" s="126">
        <v>45439</v>
      </c>
      <c r="X134" s="97">
        <v>1478.4</v>
      </c>
      <c r="Y134" s="97">
        <f t="shared" si="17"/>
        <v>-5.5828344655949325E-3</v>
      </c>
    </row>
    <row r="135" spans="1:29">
      <c r="A135" s="126">
        <v>45439</v>
      </c>
      <c r="B135" s="100">
        <v>1616.1</v>
      </c>
      <c r="C135" s="99">
        <f t="shared" si="21"/>
        <v>1.0840276272183758E-3</v>
      </c>
      <c r="D135" s="100">
        <v>22932.45</v>
      </c>
      <c r="E135" s="99">
        <f t="shared" si="22"/>
        <v>-1.073741892486324E-3</v>
      </c>
      <c r="F135" s="100">
        <v>19111.95</v>
      </c>
      <c r="G135" s="99">
        <f t="shared" si="20"/>
        <v>3.9504079908114775E-4</v>
      </c>
      <c r="W135" s="126">
        <v>45436</v>
      </c>
      <c r="X135" s="97">
        <v>1486.7</v>
      </c>
      <c r="Y135" s="97">
        <f t="shared" si="17"/>
        <v>-5.378151260504449E-4</v>
      </c>
    </row>
    <row r="136" spans="1:29">
      <c r="A136" s="126">
        <v>45436</v>
      </c>
      <c r="B136" s="100">
        <v>1614.35</v>
      </c>
      <c r="C136" s="99">
        <f t="shared" si="21"/>
        <v>-1.1208771016445795E-2</v>
      </c>
      <c r="D136" s="100">
        <v>22957.1</v>
      </c>
      <c r="E136" s="99">
        <f t="shared" si="22"/>
        <v>-4.5934172629780168E-4</v>
      </c>
      <c r="F136" s="100">
        <v>19119.5</v>
      </c>
      <c r="G136" s="99">
        <f t="shared" si="20"/>
        <v>5.0655090352780263E-3</v>
      </c>
      <c r="W136" s="126">
        <v>45435</v>
      </c>
      <c r="X136" s="97">
        <v>1487.5</v>
      </c>
      <c r="Y136" s="97">
        <f t="shared" ref="Y136:Y199" si="25">X136/X137-1</f>
        <v>3.3726812816188279E-3</v>
      </c>
    </row>
    <row r="137" spans="1:29">
      <c r="A137" s="126">
        <v>45435</v>
      </c>
      <c r="B137" s="100">
        <v>1632.65</v>
      </c>
      <c r="C137" s="99">
        <f t="shared" si="21"/>
        <v>-4.8461359132765947E-2</v>
      </c>
      <c r="D137" s="100">
        <v>22967.65</v>
      </c>
      <c r="E137" s="99">
        <f t="shared" si="22"/>
        <v>1.6366637460283773E-2</v>
      </c>
      <c r="F137" s="100">
        <v>19216.349999999999</v>
      </c>
      <c r="G137" s="99">
        <f t="shared" ref="G137:G200" si="26">F138/F137-1</f>
        <v>5.2585428554332569E-3</v>
      </c>
      <c r="W137" s="126">
        <v>45434</v>
      </c>
      <c r="X137" s="97">
        <v>1482.5</v>
      </c>
      <c r="Y137" s="97">
        <f t="shared" si="25"/>
        <v>2.7373527373527384E-2</v>
      </c>
    </row>
    <row r="138" spans="1:29">
      <c r="A138" s="126">
        <v>45434</v>
      </c>
      <c r="B138" s="100">
        <v>1715.8</v>
      </c>
      <c r="C138" s="99">
        <f t="shared" ref="C138:C201" si="27">B138/B139-1</f>
        <v>1.8974374201977673E-2</v>
      </c>
      <c r="D138" s="100">
        <v>22597.8</v>
      </c>
      <c r="E138" s="99">
        <f t="shared" ref="E138:E201" si="28">D138/D139-1</f>
        <v>3.0516155807722711E-3</v>
      </c>
      <c r="F138" s="100">
        <v>19317.400000000001</v>
      </c>
      <c r="G138" s="99">
        <f t="shared" si="26"/>
        <v>-5.8082350626896817E-3</v>
      </c>
      <c r="W138" s="126">
        <v>45433</v>
      </c>
      <c r="X138" s="97">
        <v>1443</v>
      </c>
      <c r="Y138" s="97">
        <f t="shared" si="25"/>
        <v>2.8510334996436182E-2</v>
      </c>
    </row>
    <row r="139" spans="1:29">
      <c r="A139" s="126">
        <v>45433</v>
      </c>
      <c r="B139" s="100">
        <v>1683.85</v>
      </c>
      <c r="C139" s="99">
        <f t="shared" si="27"/>
        <v>1.4184183581280374E-2</v>
      </c>
      <c r="D139" s="100">
        <v>22529.05</v>
      </c>
      <c r="E139" s="99">
        <f t="shared" si="28"/>
        <v>1.2021153675227936E-3</v>
      </c>
      <c r="F139" s="100">
        <v>19205.2</v>
      </c>
      <c r="G139" s="99">
        <f t="shared" si="26"/>
        <v>-5.061129277487364E-3</v>
      </c>
      <c r="W139" s="126">
        <v>45430</v>
      </c>
      <c r="X139" s="97">
        <v>1403</v>
      </c>
      <c r="Y139" s="97">
        <f t="shared" si="25"/>
        <v>3.5765379113019691E-3</v>
      </c>
    </row>
    <row r="140" spans="1:29">
      <c r="A140" s="126">
        <v>45430</v>
      </c>
      <c r="B140" s="100">
        <v>1660.3</v>
      </c>
      <c r="C140" s="99">
        <f t="shared" si="27"/>
        <v>5.1763281368244485E-3</v>
      </c>
      <c r="D140" s="100">
        <v>22502</v>
      </c>
      <c r="E140" s="99">
        <f t="shared" si="28"/>
        <v>1.5979631533733496E-3</v>
      </c>
      <c r="F140" s="100">
        <v>19108</v>
      </c>
      <c r="G140" s="99">
        <f t="shared" si="26"/>
        <v>-6.6150303537786392E-3</v>
      </c>
      <c r="W140" s="126">
        <v>45429</v>
      </c>
      <c r="X140" s="97">
        <v>1398</v>
      </c>
      <c r="Y140" s="97">
        <f t="shared" si="25"/>
        <v>-1.5943406187308717E-2</v>
      </c>
    </row>
    <row r="141" spans="1:29">
      <c r="A141" s="126">
        <v>45429</v>
      </c>
      <c r="B141" s="100">
        <v>1651.75</v>
      </c>
      <c r="C141" s="99">
        <f t="shared" si="27"/>
        <v>-6.7350190925764553E-3</v>
      </c>
      <c r="D141" s="100">
        <v>22466.1</v>
      </c>
      <c r="E141" s="99">
        <f t="shared" si="28"/>
        <v>2.7785402955295968E-3</v>
      </c>
      <c r="F141" s="100">
        <v>18981.599999999999</v>
      </c>
      <c r="G141" s="99">
        <f t="shared" si="26"/>
        <v>7.6653179921626347E-4</v>
      </c>
      <c r="W141" s="126">
        <v>45428</v>
      </c>
      <c r="X141" s="97">
        <v>1420.65</v>
      </c>
      <c r="Y141" s="97">
        <f t="shared" si="25"/>
        <v>1.077908217716117E-2</v>
      </c>
    </row>
    <row r="142" spans="1:29">
      <c r="A142" s="126">
        <v>45428</v>
      </c>
      <c r="B142" s="100">
        <v>1662.95</v>
      </c>
      <c r="C142" s="99">
        <f t="shared" si="27"/>
        <v>1.4550668049539528E-2</v>
      </c>
      <c r="D142" s="100">
        <v>22403.85</v>
      </c>
      <c r="E142" s="99">
        <f t="shared" si="28"/>
        <v>9.1574307843724778E-3</v>
      </c>
      <c r="F142" s="100">
        <v>18996.150000000001</v>
      </c>
      <c r="G142" s="99">
        <f t="shared" si="26"/>
        <v>-5.7695901537944128E-3</v>
      </c>
      <c r="W142" s="126">
        <v>45427</v>
      </c>
      <c r="X142" s="97">
        <v>1405.5</v>
      </c>
      <c r="Y142" s="97">
        <f t="shared" si="25"/>
        <v>3.4825504343984681E-2</v>
      </c>
    </row>
    <row r="143" spans="1:29">
      <c r="A143" s="126">
        <v>45427</v>
      </c>
      <c r="B143" s="100">
        <v>1639.1</v>
      </c>
      <c r="C143" s="99">
        <f t="shared" si="27"/>
        <v>1.1910942796933277E-3</v>
      </c>
      <c r="D143" s="100">
        <v>22200.55</v>
      </c>
      <c r="E143" s="99">
        <f t="shared" si="28"/>
        <v>-7.7865320001702099E-4</v>
      </c>
      <c r="F143" s="100">
        <v>18886.55</v>
      </c>
      <c r="G143" s="99">
        <f t="shared" si="26"/>
        <v>-1.3607567289950495E-3</v>
      </c>
      <c r="W143" s="126">
        <v>45426</v>
      </c>
      <c r="X143" s="97">
        <v>1358.2</v>
      </c>
      <c r="Y143" s="97">
        <f t="shared" si="25"/>
        <v>-4.4194229415904229E-2</v>
      </c>
    </row>
    <row r="144" spans="1:29">
      <c r="A144" s="126">
        <v>45426</v>
      </c>
      <c r="B144" s="100">
        <v>1637.15</v>
      </c>
      <c r="C144" s="99">
        <f t="shared" si="27"/>
        <v>-3.0469027596825682E-2</v>
      </c>
      <c r="D144" s="100">
        <v>22217.85</v>
      </c>
      <c r="E144" s="99">
        <f t="shared" si="28"/>
        <v>5.1483777859713253E-3</v>
      </c>
      <c r="F144" s="100">
        <v>18860.849999999999</v>
      </c>
      <c r="G144" s="99">
        <f t="shared" si="26"/>
        <v>4.1435036066774789E-3</v>
      </c>
      <c r="W144" s="126">
        <v>45425</v>
      </c>
      <c r="X144" s="97">
        <v>1421</v>
      </c>
      <c r="Y144" s="97">
        <f t="shared" si="25"/>
        <v>6.0447761194029948E-2</v>
      </c>
    </row>
    <row r="145" spans="1:25">
      <c r="A145" s="126">
        <v>45425</v>
      </c>
      <c r="B145" s="100">
        <v>1688.6</v>
      </c>
      <c r="C145" s="99">
        <f t="shared" si="27"/>
        <v>4.9765316589474917E-2</v>
      </c>
      <c r="D145" s="100">
        <v>22104.05</v>
      </c>
      <c r="E145" s="99">
        <f t="shared" si="28"/>
        <v>2.2148971671078765E-3</v>
      </c>
      <c r="F145" s="100">
        <v>18939</v>
      </c>
      <c r="G145" s="99">
        <f t="shared" si="26"/>
        <v>-1.7400601932520132E-2</v>
      </c>
      <c r="W145" s="126">
        <v>45422</v>
      </c>
      <c r="X145" s="97">
        <v>1340</v>
      </c>
      <c r="Y145" s="97">
        <f t="shared" si="25"/>
        <v>-1.8925943551634461E-2</v>
      </c>
    </row>
    <row r="146" spans="1:25">
      <c r="A146" s="126">
        <v>45422</v>
      </c>
      <c r="B146" s="100">
        <v>1608.55</v>
      </c>
      <c r="C146" s="99">
        <f t="shared" si="27"/>
        <v>1.5530793269989518E-2</v>
      </c>
      <c r="D146" s="100">
        <v>22055.200000000001</v>
      </c>
      <c r="E146" s="99">
        <f t="shared" si="28"/>
        <v>4.4495047250370234E-3</v>
      </c>
      <c r="F146" s="100">
        <v>18609.45</v>
      </c>
      <c r="G146" s="99">
        <f t="shared" si="26"/>
        <v>-9.2641104385138284E-3</v>
      </c>
      <c r="W146" s="126">
        <v>45421</v>
      </c>
      <c r="X146" s="97">
        <v>1365.85</v>
      </c>
      <c r="Y146" s="97">
        <f t="shared" si="25"/>
        <v>-1.4467133270798849E-2</v>
      </c>
    </row>
    <row r="147" spans="1:25">
      <c r="A147" s="126">
        <v>45421</v>
      </c>
      <c r="B147" s="100">
        <v>1583.95</v>
      </c>
      <c r="C147" s="99">
        <f t="shared" si="27"/>
        <v>-1.9923893202982379E-2</v>
      </c>
      <c r="D147" s="100">
        <v>21957.5</v>
      </c>
      <c r="E147" s="99">
        <f t="shared" si="28"/>
        <v>-1.546911781190452E-2</v>
      </c>
      <c r="F147" s="100">
        <v>18437.05</v>
      </c>
      <c r="G147" s="99">
        <f t="shared" si="26"/>
        <v>2.2443937614748499E-2</v>
      </c>
      <c r="W147" s="126">
        <v>45420</v>
      </c>
      <c r="X147" s="97">
        <v>1385.9</v>
      </c>
      <c r="Y147" s="97">
        <f t="shared" si="25"/>
        <v>-2.9496402877696726E-3</v>
      </c>
    </row>
    <row r="148" spans="1:25">
      <c r="A148" s="126">
        <v>45420</v>
      </c>
      <c r="B148" s="100">
        <v>1616.15</v>
      </c>
      <c r="C148" s="99">
        <f t="shared" si="27"/>
        <v>3.4459207748667176E-3</v>
      </c>
      <c r="D148" s="100">
        <v>22302.5</v>
      </c>
      <c r="E148" s="99">
        <f t="shared" si="28"/>
        <v>0</v>
      </c>
      <c r="F148" s="100">
        <v>18850.849999999999</v>
      </c>
      <c r="G148" s="99">
        <f t="shared" si="26"/>
        <v>-2.4136842635735789E-4</v>
      </c>
      <c r="W148" s="126">
        <v>45419</v>
      </c>
      <c r="X148" s="97">
        <v>1390</v>
      </c>
      <c r="Y148" s="97">
        <f t="shared" si="25"/>
        <v>-2.3876404494381998E-2</v>
      </c>
    </row>
    <row r="149" spans="1:25">
      <c r="A149" s="126">
        <v>45419</v>
      </c>
      <c r="B149" s="100">
        <v>1610.6</v>
      </c>
      <c r="C149" s="99">
        <f t="shared" si="27"/>
        <v>-4.1109755008484017E-2</v>
      </c>
      <c r="D149" s="100">
        <v>22302.5</v>
      </c>
      <c r="E149" s="99">
        <f t="shared" si="28"/>
        <v>-6.2470201891929866E-3</v>
      </c>
      <c r="F149" s="100">
        <v>18846.3</v>
      </c>
      <c r="G149" s="99">
        <f t="shared" si="26"/>
        <v>1.8942710240206218E-2</v>
      </c>
      <c r="W149" s="126">
        <v>45418</v>
      </c>
      <c r="X149" s="97">
        <v>1424</v>
      </c>
      <c r="Y149" s="97">
        <f t="shared" si="25"/>
        <v>-8.4198708953131529E-4</v>
      </c>
    </row>
    <row r="150" spans="1:25">
      <c r="A150" s="126">
        <v>45418</v>
      </c>
      <c r="B150" s="100">
        <v>1679.65</v>
      </c>
      <c r="C150" s="99">
        <f t="shared" si="27"/>
        <v>1.5047590270433675E-2</v>
      </c>
      <c r="D150" s="100">
        <v>22442.7</v>
      </c>
      <c r="E150" s="99">
        <f t="shared" si="28"/>
        <v>-1.4749164102803025E-3</v>
      </c>
      <c r="F150" s="100">
        <v>19203.3</v>
      </c>
      <c r="G150" s="99">
        <f t="shared" si="26"/>
        <v>-3.6399993751072834E-3</v>
      </c>
      <c r="W150" s="126">
        <v>45415</v>
      </c>
      <c r="X150" s="97">
        <v>1425.2</v>
      </c>
      <c r="Y150" s="97">
        <f t="shared" si="25"/>
        <v>2.9556650246305161E-3</v>
      </c>
    </row>
    <row r="151" spans="1:25">
      <c r="A151" s="126">
        <v>45415</v>
      </c>
      <c r="B151" s="100">
        <v>1654.75</v>
      </c>
      <c r="C151" s="99">
        <f t="shared" si="27"/>
        <v>4.3091676023425673E-3</v>
      </c>
      <c r="D151" s="100">
        <v>22475.85</v>
      </c>
      <c r="E151" s="99">
        <f t="shared" si="28"/>
        <v>-7.6098762815588472E-3</v>
      </c>
      <c r="F151" s="100">
        <v>19133.400000000001</v>
      </c>
      <c r="G151" s="99">
        <f t="shared" si="26"/>
        <v>-4.6776840498818917E-4</v>
      </c>
      <c r="W151" s="126">
        <v>45414</v>
      </c>
      <c r="X151" s="97">
        <v>1421</v>
      </c>
      <c r="Y151" s="97">
        <f t="shared" si="25"/>
        <v>1.4601406590268207E-2</v>
      </c>
    </row>
    <row r="152" spans="1:25">
      <c r="A152" s="126">
        <v>45414</v>
      </c>
      <c r="B152" s="100">
        <v>1647.65</v>
      </c>
      <c r="C152" s="99">
        <f t="shared" si="27"/>
        <v>1.0632480709642511E-3</v>
      </c>
      <c r="D152" s="100">
        <v>22648.2</v>
      </c>
      <c r="E152" s="99">
        <f t="shared" si="28"/>
        <v>1.917730044658672E-3</v>
      </c>
      <c r="F152" s="100">
        <v>19124.45</v>
      </c>
      <c r="G152" s="99">
        <f t="shared" si="26"/>
        <v>-8.0446757945981107E-3</v>
      </c>
      <c r="W152" s="126">
        <v>45412</v>
      </c>
      <c r="X152" s="97">
        <v>1400.55</v>
      </c>
      <c r="Y152" s="97">
        <f t="shared" si="25"/>
        <v>-7.3709203019243219E-3</v>
      </c>
    </row>
    <row r="153" spans="1:25">
      <c r="A153" s="126">
        <v>45412</v>
      </c>
      <c r="B153" s="100">
        <v>1645.9</v>
      </c>
      <c r="C153" s="99">
        <f t="shared" si="27"/>
        <v>5.160462914898245E-3</v>
      </c>
      <c r="D153" s="100">
        <v>22604.85</v>
      </c>
      <c r="E153" s="99">
        <f t="shared" si="28"/>
        <v>-1.7024828426828176E-3</v>
      </c>
      <c r="F153" s="100">
        <v>18970.599999999999</v>
      </c>
      <c r="G153" s="99">
        <f t="shared" si="26"/>
        <v>6.6576702898171192E-3</v>
      </c>
      <c r="W153" s="126">
        <v>45411</v>
      </c>
      <c r="X153" s="97">
        <v>1410.95</v>
      </c>
      <c r="Y153" s="97">
        <f t="shared" si="25"/>
        <v>-1.450813871196055E-3</v>
      </c>
    </row>
    <row r="154" spans="1:25">
      <c r="A154" s="126">
        <v>45411</v>
      </c>
      <c r="B154" s="100">
        <v>1637.45</v>
      </c>
      <c r="C154" s="99">
        <f t="shared" si="27"/>
        <v>1.3304867106036733E-2</v>
      </c>
      <c r="D154" s="100">
        <v>22643.4</v>
      </c>
      <c r="E154" s="99">
        <f t="shared" si="28"/>
        <v>9.9665699522077933E-3</v>
      </c>
      <c r="F154" s="100">
        <v>19096.900000000001</v>
      </c>
      <c r="G154" s="99">
        <f t="shared" si="26"/>
        <v>-5.3542721593556886E-3</v>
      </c>
      <c r="W154" s="126">
        <v>45408</v>
      </c>
      <c r="X154" s="97">
        <v>1413</v>
      </c>
      <c r="Y154" s="97">
        <f t="shared" si="25"/>
        <v>9.2857142857143415E-3</v>
      </c>
    </row>
    <row r="155" spans="1:25">
      <c r="A155" s="126">
        <v>45408</v>
      </c>
      <c r="B155" s="100">
        <v>1615.95</v>
      </c>
      <c r="C155" s="99">
        <f t="shared" si="27"/>
        <v>1.3516056196688275E-2</v>
      </c>
      <c r="D155" s="100">
        <v>22419.95</v>
      </c>
      <c r="E155" s="99">
        <f t="shared" si="28"/>
        <v>-6.6636095585579369E-3</v>
      </c>
      <c r="F155" s="100">
        <v>18994.650000000001</v>
      </c>
      <c r="G155" s="99">
        <f t="shared" si="26"/>
        <v>-6.1333059572037385E-3</v>
      </c>
      <c r="W155" s="126">
        <v>45407</v>
      </c>
      <c r="X155" s="97">
        <v>1400</v>
      </c>
      <c r="Y155" s="97">
        <f t="shared" si="25"/>
        <v>3.5727045373357136E-4</v>
      </c>
    </row>
    <row r="156" spans="1:25">
      <c r="A156" s="126">
        <v>45407</v>
      </c>
      <c r="B156" s="100">
        <v>1594.4</v>
      </c>
      <c r="C156" s="99">
        <f t="shared" si="27"/>
        <v>9.1139240506330488E-3</v>
      </c>
      <c r="D156" s="100">
        <v>22570.35</v>
      </c>
      <c r="E156" s="99">
        <f t="shared" si="28"/>
        <v>7.496964610934409E-3</v>
      </c>
      <c r="F156" s="100">
        <v>18878.150000000001</v>
      </c>
      <c r="G156" s="99">
        <f t="shared" si="26"/>
        <v>-1.5464968760180442E-2</v>
      </c>
      <c r="W156" s="126">
        <v>45406</v>
      </c>
      <c r="X156" s="97">
        <v>1399.5</v>
      </c>
      <c r="Y156" s="97">
        <f t="shared" si="25"/>
        <v>3.7819799777530694E-2</v>
      </c>
    </row>
    <row r="157" spans="1:25">
      <c r="A157" s="126">
        <v>45406</v>
      </c>
      <c r="B157" s="100">
        <v>1580</v>
      </c>
      <c r="C157" s="99">
        <f t="shared" si="27"/>
        <v>-3.1644568209809876E-5</v>
      </c>
      <c r="D157" s="100">
        <v>22402.400000000001</v>
      </c>
      <c r="E157" s="99">
        <f t="shared" si="28"/>
        <v>1.5379113018598733E-3</v>
      </c>
      <c r="F157" s="100">
        <v>18586.2</v>
      </c>
      <c r="G157" s="99">
        <f t="shared" si="26"/>
        <v>-6.588221368542313E-3</v>
      </c>
      <c r="W157" s="126">
        <v>45405</v>
      </c>
      <c r="X157" s="97">
        <v>1348.5</v>
      </c>
      <c r="Y157" s="97">
        <f t="shared" si="25"/>
        <v>-7.7262693156733286E-3</v>
      </c>
    </row>
    <row r="158" spans="1:25">
      <c r="A158" s="126">
        <v>45405</v>
      </c>
      <c r="B158" s="100">
        <v>1580.05</v>
      </c>
      <c r="C158" s="99">
        <f t="shared" si="27"/>
        <v>-1.4716428148286775E-2</v>
      </c>
      <c r="D158" s="100">
        <v>22368</v>
      </c>
      <c r="E158" s="99">
        <f t="shared" si="28"/>
        <v>1.4147311115488836E-3</v>
      </c>
      <c r="F158" s="100">
        <v>18463.75</v>
      </c>
      <c r="G158" s="99">
        <f t="shared" si="26"/>
        <v>9.708212037099706E-3</v>
      </c>
      <c r="W158" s="126">
        <v>45404</v>
      </c>
      <c r="X158" s="97">
        <v>1359</v>
      </c>
      <c r="Y158" s="97">
        <f t="shared" si="25"/>
        <v>8.9086859688196629E-3</v>
      </c>
    </row>
    <row r="159" spans="1:25">
      <c r="A159" s="126">
        <v>45404</v>
      </c>
      <c r="B159" s="100">
        <v>1603.65</v>
      </c>
      <c r="C159" s="99">
        <f t="shared" si="27"/>
        <v>3.6250848114762091E-2</v>
      </c>
      <c r="D159" s="100">
        <v>22336.400000000001</v>
      </c>
      <c r="E159" s="99">
        <f t="shared" si="28"/>
        <v>8.5519483451483858E-3</v>
      </c>
      <c r="F159" s="100">
        <v>18643</v>
      </c>
      <c r="G159" s="99">
        <f t="shared" si="26"/>
        <v>-1.2787641474011791E-2</v>
      </c>
      <c r="W159" s="126">
        <v>45401</v>
      </c>
      <c r="X159" s="97">
        <v>1347</v>
      </c>
      <c r="Y159" s="97">
        <f t="shared" si="25"/>
        <v>-4.9126435932479451E-3</v>
      </c>
    </row>
    <row r="160" spans="1:25">
      <c r="A160" s="126">
        <v>45401</v>
      </c>
      <c r="B160" s="100">
        <v>1547.55</v>
      </c>
      <c r="C160" s="99">
        <f t="shared" si="27"/>
        <v>-2.9170979580314338E-2</v>
      </c>
      <c r="D160" s="100">
        <v>22147</v>
      </c>
      <c r="E160" s="99">
        <f t="shared" si="28"/>
        <v>6.8717508075386569E-3</v>
      </c>
      <c r="F160" s="100">
        <v>18404.599999999999</v>
      </c>
      <c r="G160" s="99">
        <f t="shared" si="26"/>
        <v>6.5825934820642473E-3</v>
      </c>
      <c r="W160" s="126">
        <v>45400</v>
      </c>
      <c r="X160" s="97">
        <v>1353.65</v>
      </c>
      <c r="Y160" s="97">
        <f t="shared" si="25"/>
        <v>-1.880979994201204E-2</v>
      </c>
    </row>
    <row r="161" spans="1:25">
      <c r="A161" s="126">
        <v>45400</v>
      </c>
      <c r="B161" s="100">
        <v>1594.05</v>
      </c>
      <c r="C161" s="99">
        <f t="shared" si="27"/>
        <v>-1.0797728753607072E-2</v>
      </c>
      <c r="D161" s="100">
        <v>21995.85</v>
      </c>
      <c r="E161" s="99">
        <f t="shared" si="28"/>
        <v>-6.8652106971768267E-3</v>
      </c>
      <c r="F161" s="100">
        <v>18525.75</v>
      </c>
      <c r="G161" s="99">
        <f t="shared" si="26"/>
        <v>9.1683197711291964E-3</v>
      </c>
      <c r="W161" s="126">
        <v>45398</v>
      </c>
      <c r="X161" s="97">
        <v>1379.6</v>
      </c>
      <c r="Y161" s="97">
        <f t="shared" si="25"/>
        <v>-2.2780690652685065E-3</v>
      </c>
    </row>
    <row r="162" spans="1:25">
      <c r="A162" s="126">
        <v>45398</v>
      </c>
      <c r="B162" s="100">
        <v>1611.45</v>
      </c>
      <c r="C162" s="99">
        <f t="shared" si="27"/>
        <v>1.460443726306826E-3</v>
      </c>
      <c r="D162" s="100">
        <v>22147.9</v>
      </c>
      <c r="E162" s="99">
        <f t="shared" si="28"/>
        <v>-5.5943427994162853E-3</v>
      </c>
      <c r="F162" s="100">
        <v>18695.599999999999</v>
      </c>
      <c r="G162" s="99">
        <f t="shared" si="26"/>
        <v>-4.1694302402702776E-3</v>
      </c>
      <c r="W162" s="126">
        <v>45397</v>
      </c>
      <c r="X162" s="97">
        <v>1382.75</v>
      </c>
      <c r="Y162" s="97">
        <f t="shared" si="25"/>
        <v>-1.2003858383051624E-2</v>
      </c>
    </row>
    <row r="163" spans="1:25">
      <c r="A163" s="126">
        <v>45397</v>
      </c>
      <c r="B163" s="100">
        <v>1609.1</v>
      </c>
      <c r="C163" s="99">
        <f t="shared" si="27"/>
        <v>-8.106025581753773E-3</v>
      </c>
      <c r="D163" s="100">
        <v>22272.5</v>
      </c>
      <c r="E163" s="99">
        <f t="shared" si="28"/>
        <v>-1.0963880032327733E-2</v>
      </c>
      <c r="F163" s="100">
        <v>18617.650000000001</v>
      </c>
      <c r="G163" s="99">
        <f t="shared" si="26"/>
        <v>9.184832672222365E-3</v>
      </c>
      <c r="W163" s="126">
        <v>45394</v>
      </c>
      <c r="X163" s="97">
        <v>1399.55</v>
      </c>
      <c r="Y163" s="97">
        <f t="shared" si="25"/>
        <v>-1.8548387096774199E-2</v>
      </c>
    </row>
    <row r="164" spans="1:25">
      <c r="A164" s="126">
        <v>45394</v>
      </c>
      <c r="B164" s="100">
        <v>1622.25</v>
      </c>
      <c r="C164" s="99">
        <f t="shared" si="27"/>
        <v>1.0999626075034241E-2</v>
      </c>
      <c r="D164" s="100">
        <v>22519.4</v>
      </c>
      <c r="E164" s="99">
        <f t="shared" si="28"/>
        <v>-1.0301576000492085E-2</v>
      </c>
      <c r="F164" s="100">
        <v>18788.650000000001</v>
      </c>
      <c r="G164" s="99">
        <f t="shared" si="26"/>
        <v>1.7475976187751652E-2</v>
      </c>
      <c r="W164" s="126">
        <v>45392</v>
      </c>
      <c r="X164" s="97">
        <v>1426</v>
      </c>
      <c r="Y164" s="97">
        <f t="shared" si="25"/>
        <v>-1.5873015873015928E-2</v>
      </c>
    </row>
    <row r="165" spans="1:25">
      <c r="A165" s="126">
        <v>45392</v>
      </c>
      <c r="B165" s="100">
        <v>1604.6</v>
      </c>
      <c r="C165" s="99">
        <f t="shared" si="27"/>
        <v>-6.5394077165026321E-4</v>
      </c>
      <c r="D165" s="100">
        <v>22753.8</v>
      </c>
      <c r="E165" s="99">
        <f t="shared" si="28"/>
        <v>4.904439610913025E-3</v>
      </c>
      <c r="F165" s="100">
        <v>19117</v>
      </c>
      <c r="G165" s="99">
        <f t="shared" si="26"/>
        <v>3.4158079196526803E-3</v>
      </c>
      <c r="W165" s="126">
        <v>45391</v>
      </c>
      <c r="X165" s="97">
        <v>1449</v>
      </c>
      <c r="Y165" s="97">
        <f t="shared" si="25"/>
        <v>-8.3493019436080562E-3</v>
      </c>
    </row>
    <row r="166" spans="1:25">
      <c r="A166" s="126">
        <v>45391</v>
      </c>
      <c r="B166" s="100">
        <v>1605.65</v>
      </c>
      <c r="C166" s="99">
        <f t="shared" si="27"/>
        <v>-3.9392059553349235E-3</v>
      </c>
      <c r="D166" s="100">
        <v>22642.75</v>
      </c>
      <c r="E166" s="99">
        <f t="shared" si="28"/>
        <v>-1.0389873953843276E-3</v>
      </c>
      <c r="F166" s="100">
        <v>19182.3</v>
      </c>
      <c r="G166" s="99">
        <f t="shared" si="26"/>
        <v>1.9054023761488903E-3</v>
      </c>
      <c r="W166" s="126">
        <v>45390</v>
      </c>
      <c r="X166" s="97">
        <v>1461.2</v>
      </c>
      <c r="Y166" s="97">
        <f t="shared" si="25"/>
        <v>9.3948604586904239E-3</v>
      </c>
    </row>
    <row r="167" spans="1:25">
      <c r="A167" s="126">
        <v>45390</v>
      </c>
      <c r="B167" s="100">
        <v>1612</v>
      </c>
      <c r="C167" s="99">
        <f t="shared" si="27"/>
        <v>7.9724871033297617E-3</v>
      </c>
      <c r="D167" s="100">
        <v>22666.3</v>
      </c>
      <c r="E167" s="99">
        <f t="shared" si="28"/>
        <v>6.7780951154186031E-3</v>
      </c>
      <c r="F167" s="100">
        <v>19218.849999999999</v>
      </c>
      <c r="G167" s="99">
        <f t="shared" si="26"/>
        <v>-3.0230737010799036E-3</v>
      </c>
      <c r="W167" s="126">
        <v>45387</v>
      </c>
      <c r="X167" s="97">
        <v>1447.6</v>
      </c>
      <c r="Y167" s="97">
        <f t="shared" si="25"/>
        <v>-7.1671067521690279E-3</v>
      </c>
    </row>
    <row r="168" spans="1:25">
      <c r="A168" s="126">
        <v>45387</v>
      </c>
      <c r="B168" s="100">
        <v>1599.25</v>
      </c>
      <c r="C168" s="99">
        <f t="shared" si="27"/>
        <v>7.5602457079855245E-3</v>
      </c>
      <c r="D168" s="100">
        <v>22513.7</v>
      </c>
      <c r="E168" s="99">
        <f t="shared" si="28"/>
        <v>-4.2194748752555356E-5</v>
      </c>
      <c r="F168" s="100">
        <v>19160.75</v>
      </c>
      <c r="G168" s="99">
        <f t="shared" si="26"/>
        <v>-1.8553553488250829E-3</v>
      </c>
      <c r="W168" s="126">
        <v>45386</v>
      </c>
      <c r="X168" s="97">
        <v>1458.05</v>
      </c>
      <c r="Y168" s="97">
        <f t="shared" si="25"/>
        <v>-9.3086461695260914E-3</v>
      </c>
    </row>
    <row r="169" spans="1:25">
      <c r="A169" s="126">
        <v>45386</v>
      </c>
      <c r="B169" s="100">
        <v>1587.25</v>
      </c>
      <c r="C169" s="99">
        <f t="shared" si="27"/>
        <v>-1.1305593621527388E-2</v>
      </c>
      <c r="D169" s="100">
        <v>22514.65</v>
      </c>
      <c r="E169" s="99">
        <f t="shared" si="28"/>
        <v>3.5659125504521327E-3</v>
      </c>
      <c r="F169" s="100">
        <v>19125.2</v>
      </c>
      <c r="G169" s="99">
        <f t="shared" si="26"/>
        <v>1.4561939221549025E-3</v>
      </c>
      <c r="W169" s="126">
        <v>45385</v>
      </c>
      <c r="X169" s="97">
        <v>1471.75</v>
      </c>
      <c r="Y169" s="97">
        <f t="shared" si="25"/>
        <v>-1.2248322147651036E-2</v>
      </c>
    </row>
    <row r="170" spans="1:25">
      <c r="A170" s="126">
        <v>45385</v>
      </c>
      <c r="B170" s="100">
        <v>1605.4</v>
      </c>
      <c r="C170" s="99">
        <f t="shared" si="27"/>
        <v>-2.7952046710976175E-3</v>
      </c>
      <c r="D170" s="100">
        <v>22434.65</v>
      </c>
      <c r="E170" s="99">
        <f t="shared" si="28"/>
        <v>-8.306128720498851E-4</v>
      </c>
      <c r="F170" s="100">
        <v>19153.05</v>
      </c>
      <c r="G170" s="99">
        <f t="shared" si="26"/>
        <v>1.6759732784075165E-3</v>
      </c>
      <c r="W170" s="126">
        <v>45384</v>
      </c>
      <c r="X170" s="97">
        <v>1490</v>
      </c>
      <c r="Y170" s="97">
        <f t="shared" si="25"/>
        <v>-4.676018704074858E-3</v>
      </c>
    </row>
    <row r="171" spans="1:25">
      <c r="A171" s="126">
        <v>45384</v>
      </c>
      <c r="B171" s="100">
        <v>1609.9</v>
      </c>
      <c r="C171" s="99">
        <f t="shared" si="27"/>
        <v>-8.5296381832178358E-3</v>
      </c>
      <c r="D171" s="100">
        <v>22453.3</v>
      </c>
      <c r="E171" s="99">
        <f t="shared" si="28"/>
        <v>-3.8732080847658779E-4</v>
      </c>
      <c r="F171" s="100">
        <v>19185.150000000001</v>
      </c>
      <c r="G171" s="99">
        <f t="shared" si="26"/>
        <v>1.1858129855644162E-3</v>
      </c>
      <c r="W171" s="126">
        <v>45383</v>
      </c>
      <c r="X171" s="97">
        <v>1497</v>
      </c>
      <c r="Y171" s="97">
        <f t="shared" si="25"/>
        <v>6.6844919786102075E-4</v>
      </c>
    </row>
    <row r="172" spans="1:25">
      <c r="A172" s="126">
        <v>45383</v>
      </c>
      <c r="B172" s="100">
        <v>1623.75</v>
      </c>
      <c r="C172" s="99">
        <f t="shared" si="27"/>
        <v>4.2986145472538873E-3</v>
      </c>
      <c r="D172" s="100">
        <v>22462</v>
      </c>
      <c r="E172" s="99">
        <f t="shared" si="28"/>
        <v>6.0509967796693598E-3</v>
      </c>
      <c r="F172" s="100">
        <v>19207.900000000001</v>
      </c>
      <c r="G172" s="99">
        <f t="shared" si="26"/>
        <v>-1.1024109871459187E-2</v>
      </c>
      <c r="W172" s="126">
        <v>45379</v>
      </c>
      <c r="X172" s="97">
        <v>1496</v>
      </c>
      <c r="Y172" s="97">
        <f t="shared" si="25"/>
        <v>1.8137271582672643E-2</v>
      </c>
    </row>
    <row r="173" spans="1:25">
      <c r="A173" s="126">
        <v>45379</v>
      </c>
      <c r="B173" s="100">
        <v>1616.8</v>
      </c>
      <c r="C173" s="99">
        <f t="shared" si="27"/>
        <v>1.0531579111847211E-2</v>
      </c>
      <c r="D173" s="100">
        <v>22326.9</v>
      </c>
      <c r="E173" s="99">
        <f t="shared" si="28"/>
        <v>9.1870012407537782E-3</v>
      </c>
      <c r="F173" s="100">
        <v>18996.150000000001</v>
      </c>
      <c r="G173" s="99">
        <f t="shared" si="26"/>
        <v>-1.1989271510279731E-2</v>
      </c>
      <c r="W173" s="126">
        <v>45378</v>
      </c>
      <c r="X173" s="97">
        <v>1469.35</v>
      </c>
      <c r="Y173" s="97">
        <f t="shared" si="25"/>
        <v>1.0209637898173085E-4</v>
      </c>
    </row>
    <row r="174" spans="1:25">
      <c r="A174" s="126">
        <v>45378</v>
      </c>
      <c r="B174" s="100">
        <v>1599.95</v>
      </c>
      <c r="C174" s="99">
        <f t="shared" si="27"/>
        <v>-9.2575391665118412E-3</v>
      </c>
      <c r="D174" s="100">
        <v>22123.65</v>
      </c>
      <c r="E174" s="99">
        <f t="shared" si="28"/>
        <v>5.4056633355601402E-3</v>
      </c>
      <c r="F174" s="100">
        <v>18768.400000000001</v>
      </c>
      <c r="G174" s="99">
        <f t="shared" si="26"/>
        <v>2.1871869738496752E-3</v>
      </c>
      <c r="W174" s="126">
        <v>45377</v>
      </c>
      <c r="X174" s="97">
        <v>1469.2</v>
      </c>
      <c r="Y174" s="97">
        <f t="shared" si="25"/>
        <v>-5.684894423389153E-3</v>
      </c>
    </row>
    <row r="175" spans="1:25">
      <c r="A175" s="126">
        <v>45377</v>
      </c>
      <c r="B175" s="100">
        <v>1614.9</v>
      </c>
      <c r="C175" s="99">
        <f t="shared" si="27"/>
        <v>4.1349292709467189E-3</v>
      </c>
      <c r="D175" s="100">
        <v>22004.7</v>
      </c>
      <c r="E175" s="99">
        <f t="shared" si="28"/>
        <v>-4.1657709844207247E-3</v>
      </c>
      <c r="F175" s="100">
        <v>18809.45</v>
      </c>
      <c r="G175" s="99">
        <f t="shared" si="26"/>
        <v>3.26963308336925E-4</v>
      </c>
      <c r="W175" s="126">
        <v>45373</v>
      </c>
      <c r="X175" s="97">
        <v>1477.6</v>
      </c>
      <c r="Y175" s="97">
        <f t="shared" si="25"/>
        <v>1.83321847002067E-2</v>
      </c>
    </row>
    <row r="176" spans="1:25">
      <c r="A176" s="126">
        <v>45373</v>
      </c>
      <c r="B176" s="100">
        <v>1608.25</v>
      </c>
      <c r="C176" s="99">
        <f t="shared" si="27"/>
        <v>-2.1096391896504585E-3</v>
      </c>
      <c r="D176" s="100">
        <v>22096.75</v>
      </c>
      <c r="E176" s="99">
        <f t="shared" si="28"/>
        <v>3.8524528721899376E-3</v>
      </c>
      <c r="F176" s="100">
        <v>18815.599999999999</v>
      </c>
      <c r="G176" s="99">
        <f t="shared" si="26"/>
        <v>-1.2383341482599564E-2</v>
      </c>
      <c r="W176" s="126">
        <v>45372</v>
      </c>
      <c r="X176" s="97">
        <v>1451</v>
      </c>
      <c r="Y176" s="97">
        <f t="shared" si="25"/>
        <v>2.3524847458822551E-2</v>
      </c>
    </row>
    <row r="177" spans="1:25">
      <c r="A177" s="126">
        <v>45372</v>
      </c>
      <c r="B177" s="100">
        <v>1611.65</v>
      </c>
      <c r="C177" s="99">
        <f t="shared" si="27"/>
        <v>3.1192014844199978E-2</v>
      </c>
      <c r="D177" s="100">
        <v>22011.95</v>
      </c>
      <c r="E177" s="99">
        <f t="shared" si="28"/>
        <v>7.9147034447391018E-3</v>
      </c>
      <c r="F177" s="100">
        <v>18582.599999999999</v>
      </c>
      <c r="G177" s="99">
        <f t="shared" si="26"/>
        <v>-1.1903608752273476E-2</v>
      </c>
      <c r="W177" s="126">
        <v>45371</v>
      </c>
      <c r="X177" s="97">
        <v>1417.65</v>
      </c>
      <c r="Y177" s="97">
        <f t="shared" si="25"/>
        <v>-1.2056169204501921E-2</v>
      </c>
    </row>
    <row r="178" spans="1:25">
      <c r="A178" s="126">
        <v>45371</v>
      </c>
      <c r="B178" s="100">
        <v>1562.9</v>
      </c>
      <c r="C178" s="99">
        <f t="shared" si="27"/>
        <v>-4.6490892879887946E-3</v>
      </c>
      <c r="D178" s="100">
        <v>21839.1</v>
      </c>
      <c r="E178" s="99">
        <f t="shared" si="28"/>
        <v>9.9232495089940365E-4</v>
      </c>
      <c r="F178" s="100">
        <v>18361.400000000001</v>
      </c>
      <c r="G178" s="99">
        <f t="shared" si="26"/>
        <v>2.4099469539360374E-3</v>
      </c>
      <c r="W178" s="126">
        <v>45370</v>
      </c>
      <c r="X178" s="97">
        <v>1434.95</v>
      </c>
      <c r="Y178" s="97">
        <f t="shared" si="25"/>
        <v>-3.2726659925850998E-2</v>
      </c>
    </row>
    <row r="179" spans="1:25">
      <c r="A179" s="126">
        <v>45370</v>
      </c>
      <c r="B179" s="100">
        <v>1570.2</v>
      </c>
      <c r="C179" s="99">
        <f t="shared" si="27"/>
        <v>-2.7378592666005952E-2</v>
      </c>
      <c r="D179" s="100">
        <v>21817.45</v>
      </c>
      <c r="E179" s="99">
        <f t="shared" si="28"/>
        <v>-1.0802196257656771E-2</v>
      </c>
      <c r="F179" s="100">
        <v>18405.650000000001</v>
      </c>
      <c r="G179" s="99">
        <f t="shared" si="26"/>
        <v>2.2205138096182298E-2</v>
      </c>
      <c r="W179" s="126">
        <v>45369</v>
      </c>
      <c r="X179" s="97">
        <v>1483.5</v>
      </c>
      <c r="Y179" s="97">
        <f t="shared" si="25"/>
        <v>6.0704168352909704E-4</v>
      </c>
    </row>
    <row r="180" spans="1:25">
      <c r="A180" s="126">
        <v>45369</v>
      </c>
      <c r="B180" s="100">
        <v>1614.4</v>
      </c>
      <c r="C180" s="99">
        <f t="shared" si="27"/>
        <v>-1.3685239491690981E-2</v>
      </c>
      <c r="D180" s="100">
        <v>22055.7</v>
      </c>
      <c r="E180" s="99">
        <f t="shared" si="28"/>
        <v>1.4688955131714199E-3</v>
      </c>
      <c r="F180" s="100">
        <v>18814.349999999999</v>
      </c>
      <c r="G180" s="99">
        <f t="shared" si="26"/>
        <v>-5.0971731683527866E-3</v>
      </c>
      <c r="W180" s="126">
        <v>45366</v>
      </c>
      <c r="X180" s="97">
        <v>1482.6</v>
      </c>
      <c r="Y180" s="97">
        <f t="shared" si="25"/>
        <v>-1.1600000000000055E-2</v>
      </c>
    </row>
    <row r="181" spans="1:25">
      <c r="A181" s="126">
        <v>45366</v>
      </c>
      <c r="B181" s="100">
        <v>1636.8</v>
      </c>
      <c r="C181" s="99">
        <f t="shared" si="27"/>
        <v>-7.8196035642844608E-3</v>
      </c>
      <c r="D181" s="100">
        <v>22023.35</v>
      </c>
      <c r="E181" s="99">
        <f t="shared" si="28"/>
        <v>-5.5674334493028832E-3</v>
      </c>
      <c r="F181" s="100">
        <v>18718.45</v>
      </c>
      <c r="G181" s="99">
        <f t="shared" si="26"/>
        <v>9.5440594707358883E-3</v>
      </c>
      <c r="W181" s="126">
        <v>45365</v>
      </c>
      <c r="X181" s="97">
        <v>1500</v>
      </c>
      <c r="Y181" s="97">
        <f t="shared" si="25"/>
        <v>2.2042039995911811E-2</v>
      </c>
    </row>
    <row r="182" spans="1:25">
      <c r="A182" s="126">
        <v>45365</v>
      </c>
      <c r="B182" s="100">
        <v>1649.7</v>
      </c>
      <c r="C182" s="99">
        <f t="shared" si="27"/>
        <v>2.8811973807296498E-2</v>
      </c>
      <c r="D182" s="100">
        <v>22146.65</v>
      </c>
      <c r="E182" s="99">
        <f t="shared" si="28"/>
        <v>6.7711624397095438E-3</v>
      </c>
      <c r="F182" s="100">
        <v>18897.099999999999</v>
      </c>
      <c r="G182" s="99">
        <f t="shared" si="26"/>
        <v>-1.3832810325393741E-2</v>
      </c>
      <c r="W182" s="126">
        <v>45364</v>
      </c>
      <c r="X182" s="97">
        <v>1467.65</v>
      </c>
      <c r="Y182" s="97">
        <f t="shared" si="25"/>
        <v>-2.1416915964099781E-3</v>
      </c>
    </row>
    <row r="183" spans="1:25">
      <c r="A183" s="126">
        <v>45364</v>
      </c>
      <c r="B183" s="100">
        <v>1603.5</v>
      </c>
      <c r="C183" s="99">
        <f t="shared" si="27"/>
        <v>-2.5849761550378103E-2</v>
      </c>
      <c r="D183" s="100">
        <v>21997.7</v>
      </c>
      <c r="E183" s="99">
        <f t="shared" si="28"/>
        <v>-1.5132724741109493E-2</v>
      </c>
      <c r="F183" s="100">
        <v>18635.7</v>
      </c>
      <c r="G183" s="99">
        <f t="shared" si="26"/>
        <v>1.7332324516921904E-2</v>
      </c>
      <c r="W183" s="126">
        <v>45363</v>
      </c>
      <c r="X183" s="97">
        <v>1470.8</v>
      </c>
      <c r="Y183" s="97">
        <f t="shared" si="25"/>
        <v>-2.2724252491694408E-2</v>
      </c>
    </row>
    <row r="184" spans="1:25">
      <c r="A184" s="126">
        <v>45363</v>
      </c>
      <c r="B184" s="100">
        <v>1646.05</v>
      </c>
      <c r="C184" s="99">
        <f t="shared" si="27"/>
        <v>-1.8250678436167456E-2</v>
      </c>
      <c r="D184" s="100">
        <v>22335.7</v>
      </c>
      <c r="E184" s="99">
        <f t="shared" si="28"/>
        <v>1.3657134285449679E-4</v>
      </c>
      <c r="F184" s="100">
        <v>18958.7</v>
      </c>
      <c r="G184" s="99">
        <f t="shared" si="26"/>
        <v>1.2835795703291852E-2</v>
      </c>
      <c r="W184" s="126">
        <v>45362</v>
      </c>
      <c r="X184" s="97">
        <v>1505</v>
      </c>
      <c r="Y184" s="97">
        <f t="shared" si="25"/>
        <v>1.4321819713563499E-2</v>
      </c>
    </row>
    <row r="185" spans="1:25">
      <c r="A185" s="126">
        <v>45362</v>
      </c>
      <c r="B185" s="100">
        <v>1676.65</v>
      </c>
      <c r="C185" s="99">
        <f t="shared" si="27"/>
        <v>4.1323551429854888E-3</v>
      </c>
      <c r="D185" s="100">
        <v>22332.65</v>
      </c>
      <c r="E185" s="99">
        <f t="shared" si="28"/>
        <v>-7.1531616841271628E-3</v>
      </c>
      <c r="F185" s="100">
        <v>19202.05</v>
      </c>
      <c r="G185" s="99">
        <f t="shared" si="26"/>
        <v>-4.1401829492171416E-4</v>
      </c>
      <c r="W185" s="126">
        <v>45358</v>
      </c>
      <c r="X185" s="97">
        <v>1483.75</v>
      </c>
      <c r="Y185" s="97">
        <f t="shared" si="25"/>
        <v>-2.8561827956988806E-3</v>
      </c>
    </row>
    <row r="186" spans="1:25">
      <c r="A186" s="126">
        <v>45358</v>
      </c>
      <c r="B186" s="100">
        <v>1669.75</v>
      </c>
      <c r="C186" s="99">
        <f t="shared" si="27"/>
        <v>2.6119851086825463E-3</v>
      </c>
      <c r="D186" s="100">
        <v>22493.55</v>
      </c>
      <c r="E186" s="99">
        <f t="shared" si="28"/>
        <v>8.6766737637411495E-4</v>
      </c>
      <c r="F186" s="100">
        <v>19194.099999999999</v>
      </c>
      <c r="G186" s="99">
        <f t="shared" si="26"/>
        <v>-2.8185744577760019E-3</v>
      </c>
      <c r="W186" s="126">
        <v>45357</v>
      </c>
      <c r="X186" s="97">
        <v>1488</v>
      </c>
      <c r="Y186" s="97">
        <f t="shared" si="25"/>
        <v>6.1532219893163376E-3</v>
      </c>
    </row>
    <row r="187" spans="1:25">
      <c r="A187" s="126">
        <v>45357</v>
      </c>
      <c r="B187" s="100">
        <v>1665.4</v>
      </c>
      <c r="C187" s="99">
        <f t="shared" si="27"/>
        <v>-7.9523454951599959E-3</v>
      </c>
      <c r="D187" s="100">
        <v>22474.05</v>
      </c>
      <c r="E187" s="99">
        <f t="shared" si="28"/>
        <v>5.2669717260906967E-3</v>
      </c>
      <c r="F187" s="100">
        <v>19140</v>
      </c>
      <c r="G187" s="99">
        <f t="shared" si="26"/>
        <v>-6.3479623824451714E-3</v>
      </c>
      <c r="W187" s="126">
        <v>45356</v>
      </c>
      <c r="X187" s="97">
        <v>1478.9</v>
      </c>
      <c r="Y187" s="97">
        <f t="shared" si="25"/>
        <v>4.6874999999999556E-3</v>
      </c>
    </row>
    <row r="188" spans="1:25">
      <c r="A188" s="126">
        <v>45356</v>
      </c>
      <c r="B188" s="100">
        <v>1678.75</v>
      </c>
      <c r="C188" s="99">
        <f t="shared" si="27"/>
        <v>5.3298200437166265E-3</v>
      </c>
      <c r="D188" s="100">
        <v>22356.3</v>
      </c>
      <c r="E188" s="99">
        <f t="shared" si="28"/>
        <v>-2.2003427714499812E-3</v>
      </c>
      <c r="F188" s="100">
        <v>19018.5</v>
      </c>
      <c r="G188" s="99">
        <f t="shared" si="26"/>
        <v>-3.0654362857217565E-3</v>
      </c>
      <c r="W188" s="126">
        <v>45355</v>
      </c>
      <c r="X188" s="97">
        <v>1472</v>
      </c>
      <c r="Y188" s="97">
        <f t="shared" si="25"/>
        <v>3.37411812821653E-3</v>
      </c>
    </row>
    <row r="189" spans="1:25">
      <c r="A189" s="126">
        <v>45355</v>
      </c>
      <c r="B189" s="100">
        <v>1669.85</v>
      </c>
      <c r="C189" s="99">
        <f t="shared" si="27"/>
        <v>2.1689916789035646E-2</v>
      </c>
      <c r="D189" s="100">
        <v>22405.599999999999</v>
      </c>
      <c r="E189" s="99">
        <f t="shared" si="28"/>
        <v>2.9925577751663823E-3</v>
      </c>
      <c r="F189" s="100">
        <v>18960.2</v>
      </c>
      <c r="G189" s="99">
        <f t="shared" si="26"/>
        <v>-2.8823535616713247E-3</v>
      </c>
      <c r="W189" s="126">
        <v>45352</v>
      </c>
      <c r="X189" s="97">
        <v>1467.05</v>
      </c>
      <c r="Y189" s="97">
        <f t="shared" si="25"/>
        <v>-5.2886734244159683E-3</v>
      </c>
    </row>
    <row r="190" spans="1:25">
      <c r="A190" s="126">
        <v>45352</v>
      </c>
      <c r="B190" s="100">
        <v>1634.4</v>
      </c>
      <c r="C190" s="99">
        <f t="shared" si="27"/>
        <v>6.0632175063863869E-3</v>
      </c>
      <c r="D190" s="100">
        <v>22338.75</v>
      </c>
      <c r="E190" s="99">
        <f t="shared" si="28"/>
        <v>1.6192204814673428E-2</v>
      </c>
      <c r="F190" s="100">
        <v>18905.55</v>
      </c>
      <c r="G190" s="99">
        <f t="shared" si="26"/>
        <v>-4.4034688226473051E-3</v>
      </c>
      <c r="W190" s="126">
        <v>45351</v>
      </c>
      <c r="X190" s="97">
        <v>1474.85</v>
      </c>
      <c r="Y190" s="97">
        <f t="shared" si="25"/>
        <v>1.1539897498555884E-3</v>
      </c>
    </row>
    <row r="191" spans="1:25">
      <c r="A191" s="126">
        <v>45351</v>
      </c>
      <c r="B191" s="100">
        <v>1624.55</v>
      </c>
      <c r="C191" s="99">
        <f t="shared" si="27"/>
        <v>2.1590944141143265E-3</v>
      </c>
      <c r="D191" s="100">
        <v>21982.799999999999</v>
      </c>
      <c r="E191" s="99">
        <f t="shared" si="28"/>
        <v>1.4418378991531977E-3</v>
      </c>
      <c r="F191" s="100">
        <v>18822.3</v>
      </c>
      <c r="G191" s="99">
        <f t="shared" si="26"/>
        <v>9.608283791035177E-3</v>
      </c>
      <c r="W191" s="126">
        <v>45350</v>
      </c>
      <c r="X191" s="97">
        <v>1473.15</v>
      </c>
      <c r="Y191" s="97">
        <f t="shared" si="25"/>
        <v>-1.1673543322934354E-2</v>
      </c>
    </row>
    <row r="192" spans="1:25">
      <c r="A192" s="126">
        <v>45350</v>
      </c>
      <c r="B192" s="100">
        <v>1621.05</v>
      </c>
      <c r="C192" s="99">
        <f t="shared" si="27"/>
        <v>2.9077860611872453E-3</v>
      </c>
      <c r="D192" s="100">
        <v>21951.15</v>
      </c>
      <c r="E192" s="99">
        <f t="shared" si="28"/>
        <v>-1.1135962808046407E-2</v>
      </c>
      <c r="F192" s="100">
        <v>19003.150000000001</v>
      </c>
      <c r="G192" s="99">
        <f t="shared" si="26"/>
        <v>-3.1889449906989942E-3</v>
      </c>
      <c r="W192" s="126">
        <v>45349</v>
      </c>
      <c r="X192" s="97">
        <v>1490.55</v>
      </c>
      <c r="Y192" s="97">
        <f t="shared" si="25"/>
        <v>1.6746248294679411E-2</v>
      </c>
    </row>
    <row r="193" spans="1:25">
      <c r="A193" s="126">
        <v>45349</v>
      </c>
      <c r="B193" s="100">
        <v>1616.35</v>
      </c>
      <c r="C193" s="99">
        <f t="shared" si="27"/>
        <v>-3.8518427215580298E-3</v>
      </c>
      <c r="D193" s="100">
        <v>22198.35</v>
      </c>
      <c r="E193" s="99">
        <f t="shared" si="28"/>
        <v>3.4490474436139618E-3</v>
      </c>
      <c r="F193" s="100">
        <v>18942.55</v>
      </c>
      <c r="G193" s="99">
        <f t="shared" si="26"/>
        <v>6.4220498296163608E-3</v>
      </c>
      <c r="W193" s="126">
        <v>45348</v>
      </c>
      <c r="X193" s="97">
        <v>1466</v>
      </c>
      <c r="Y193" s="97">
        <f t="shared" si="25"/>
        <v>7.1674801187748827E-4</v>
      </c>
    </row>
    <row r="194" spans="1:25">
      <c r="A194" s="126">
        <v>45348</v>
      </c>
      <c r="B194" s="100">
        <v>1622.6</v>
      </c>
      <c r="C194" s="99">
        <f t="shared" si="27"/>
        <v>1.1154732971895065E-2</v>
      </c>
      <c r="D194" s="100">
        <v>22122.05</v>
      </c>
      <c r="E194" s="99">
        <f t="shared" si="28"/>
        <v>-4.0809987079464261E-3</v>
      </c>
      <c r="F194" s="100">
        <v>19064.2</v>
      </c>
      <c r="G194" s="99">
        <f t="shared" si="26"/>
        <v>-5.6519549731958163E-3</v>
      </c>
      <c r="W194" s="126">
        <v>45345</v>
      </c>
      <c r="X194" s="97">
        <v>1464.95</v>
      </c>
      <c r="Y194" s="97">
        <f t="shared" si="25"/>
        <v>1.1740736903898652E-2</v>
      </c>
    </row>
    <row r="195" spans="1:25">
      <c r="A195" s="126">
        <v>45345</v>
      </c>
      <c r="B195" s="100">
        <v>1604.7</v>
      </c>
      <c r="C195" s="99">
        <f t="shared" si="27"/>
        <v>-6.3469457258739093E-3</v>
      </c>
      <c r="D195" s="100">
        <v>22212.7</v>
      </c>
      <c r="E195" s="99">
        <f t="shared" si="28"/>
        <v>-2.1379591267223219E-4</v>
      </c>
      <c r="F195" s="100">
        <v>18956.45</v>
      </c>
      <c r="G195" s="99">
        <f t="shared" si="26"/>
        <v>4.8505917510925922E-3</v>
      </c>
      <c r="W195" s="126">
        <v>45344</v>
      </c>
      <c r="X195" s="97">
        <v>1447.95</v>
      </c>
      <c r="Y195" s="97">
        <f t="shared" si="25"/>
        <v>0</v>
      </c>
    </row>
    <row r="196" spans="1:25">
      <c r="A196" s="126">
        <v>45344</v>
      </c>
      <c r="B196" s="100">
        <v>1614.95</v>
      </c>
      <c r="C196" s="99">
        <f t="shared" si="27"/>
        <v>1.3301960784313671E-2</v>
      </c>
      <c r="D196" s="100">
        <v>22217.45</v>
      </c>
      <c r="E196" s="99">
        <f t="shared" si="28"/>
        <v>7.3633929644232321E-3</v>
      </c>
      <c r="F196" s="100">
        <v>19048.400000000001</v>
      </c>
      <c r="G196" s="99">
        <f t="shared" si="26"/>
        <v>-4.1447050670923025E-3</v>
      </c>
      <c r="W196" s="126">
        <v>45343</v>
      </c>
      <c r="X196" s="97">
        <v>1447.95</v>
      </c>
      <c r="Y196" s="97">
        <f t="shared" si="25"/>
        <v>-1.4137931034482465E-3</v>
      </c>
    </row>
    <row r="197" spans="1:25">
      <c r="A197" s="126">
        <v>45343</v>
      </c>
      <c r="B197" s="100">
        <v>1593.75</v>
      </c>
      <c r="C197" s="99">
        <f t="shared" si="27"/>
        <v>-3.5014224528714388E-3</v>
      </c>
      <c r="D197" s="100">
        <v>22055.05</v>
      </c>
      <c r="E197" s="99">
        <f t="shared" si="28"/>
        <v>-6.3927701778848656E-3</v>
      </c>
      <c r="F197" s="100">
        <v>18969.45</v>
      </c>
      <c r="G197" s="99">
        <f t="shared" si="26"/>
        <v>-2.7939660875776484E-3</v>
      </c>
      <c r="W197" s="126">
        <v>45342</v>
      </c>
      <c r="X197" s="97">
        <v>1450</v>
      </c>
      <c r="Y197" s="97">
        <f t="shared" si="25"/>
        <v>-1.4510483569510901E-2</v>
      </c>
    </row>
    <row r="198" spans="1:25">
      <c r="A198" s="126">
        <v>45342</v>
      </c>
      <c r="B198" s="100">
        <v>1599.35</v>
      </c>
      <c r="C198" s="99">
        <f t="shared" si="27"/>
        <v>7.7502284112032083E-3</v>
      </c>
      <c r="D198" s="100">
        <v>22196.95</v>
      </c>
      <c r="E198" s="99">
        <f t="shared" si="28"/>
        <v>3.3766908881329716E-3</v>
      </c>
      <c r="F198" s="100">
        <v>18916.45</v>
      </c>
      <c r="G198" s="99">
        <f t="shared" si="26"/>
        <v>4.0467423855956586E-3</v>
      </c>
      <c r="W198" s="126">
        <v>45341</v>
      </c>
      <c r="X198" s="97">
        <v>1471.35</v>
      </c>
      <c r="Y198" s="97">
        <f t="shared" si="25"/>
        <v>2.1061762664815964E-2</v>
      </c>
    </row>
    <row r="199" spans="1:25">
      <c r="A199" s="126">
        <v>45341</v>
      </c>
      <c r="B199" s="100">
        <v>1587.05</v>
      </c>
      <c r="C199" s="99">
        <f t="shared" si="27"/>
        <v>-6.6116743278132883E-4</v>
      </c>
      <c r="D199" s="100">
        <v>22122.25</v>
      </c>
      <c r="E199" s="99">
        <f t="shared" si="28"/>
        <v>3.6999732313400813E-3</v>
      </c>
      <c r="F199" s="100">
        <v>18993</v>
      </c>
      <c r="G199" s="99">
        <f t="shared" si="26"/>
        <v>2.3534986574000882E-3</v>
      </c>
      <c r="W199" s="126">
        <v>45338</v>
      </c>
      <c r="X199" s="97">
        <v>1441</v>
      </c>
      <c r="Y199" s="97">
        <f t="shared" si="25"/>
        <v>1.1263553107126567E-2</v>
      </c>
    </row>
    <row r="200" spans="1:25">
      <c r="A200" s="126">
        <v>45338</v>
      </c>
      <c r="B200" s="100">
        <v>1588.1</v>
      </c>
      <c r="C200" s="99">
        <f t="shared" si="27"/>
        <v>-2.0084533983278474E-2</v>
      </c>
      <c r="D200" s="100">
        <v>22040.7</v>
      </c>
      <c r="E200" s="99">
        <f t="shared" si="28"/>
        <v>5.9308786782743539E-3</v>
      </c>
      <c r="F200" s="100">
        <v>19037.7</v>
      </c>
      <c r="G200" s="99">
        <f t="shared" si="26"/>
        <v>-8.7668153190775255E-3</v>
      </c>
      <c r="W200" s="126">
        <v>45337</v>
      </c>
      <c r="X200" s="97">
        <v>1424.95</v>
      </c>
      <c r="Y200" s="97">
        <f t="shared" ref="Y200:Y259" si="29">X200/X201-1</f>
        <v>1.0537777933892212E-3</v>
      </c>
    </row>
    <row r="201" spans="1:25">
      <c r="A201" s="126">
        <v>45337</v>
      </c>
      <c r="B201" s="100">
        <v>1620.65</v>
      </c>
      <c r="C201" s="99">
        <f t="shared" si="27"/>
        <v>9.6878699146472069E-3</v>
      </c>
      <c r="D201" s="100">
        <v>21910.75</v>
      </c>
      <c r="E201" s="99">
        <f t="shared" si="28"/>
        <v>3.2371720760713263E-3</v>
      </c>
      <c r="F201" s="100">
        <v>18870.8</v>
      </c>
      <c r="G201" s="99">
        <f t="shared" ref="G201:G264" si="30">F202/F201-1</f>
        <v>-1.6061852173728686E-2</v>
      </c>
      <c r="W201" s="126">
        <v>45336</v>
      </c>
      <c r="X201" s="97">
        <v>1423.45</v>
      </c>
      <c r="Y201" s="97">
        <f t="shared" si="29"/>
        <v>-2.0472061657032747E-2</v>
      </c>
    </row>
    <row r="202" spans="1:25">
      <c r="A202" s="126">
        <v>45336</v>
      </c>
      <c r="B202" s="100">
        <v>1605.1</v>
      </c>
      <c r="C202" s="99">
        <f t="shared" ref="C202:C265" si="31">B202/B203-1</f>
        <v>-4.1259500542888405E-3</v>
      </c>
      <c r="D202" s="100">
        <v>21840.05</v>
      </c>
      <c r="E202" s="99">
        <f t="shared" ref="E202:E265" si="32">D202/D203-1</f>
        <v>4.4519563542708696E-3</v>
      </c>
      <c r="F202" s="100">
        <v>18567.7</v>
      </c>
      <c r="G202" s="99">
        <f t="shared" si="30"/>
        <v>8.9671849502082068E-4</v>
      </c>
      <c r="W202" s="126">
        <v>45335</v>
      </c>
      <c r="X202" s="97">
        <v>1453.2</v>
      </c>
      <c r="Y202" s="97">
        <f t="shared" si="29"/>
        <v>1.6223776223776243E-2</v>
      </c>
    </row>
    <row r="203" spans="1:25">
      <c r="A203" s="126">
        <v>45335</v>
      </c>
      <c r="B203" s="100">
        <v>1611.75</v>
      </c>
      <c r="C203" s="99">
        <f t="shared" si="31"/>
        <v>1.8648018648017572E-3</v>
      </c>
      <c r="D203" s="100">
        <v>21743.25</v>
      </c>
      <c r="E203" s="99">
        <f t="shared" si="32"/>
        <v>5.8845163663112654E-3</v>
      </c>
      <c r="F203" s="100">
        <v>18584.349999999999</v>
      </c>
      <c r="G203" s="99">
        <f t="shared" si="30"/>
        <v>9.1259581314386828E-3</v>
      </c>
      <c r="W203" s="126">
        <v>45334</v>
      </c>
      <c r="X203" s="97">
        <v>1430</v>
      </c>
      <c r="Y203" s="97">
        <f t="shared" si="29"/>
        <v>-8.3217753120665705E-3</v>
      </c>
    </row>
    <row r="204" spans="1:25">
      <c r="A204" s="126">
        <v>45334</v>
      </c>
      <c r="B204" s="100">
        <v>1608.75</v>
      </c>
      <c r="C204" s="99">
        <f t="shared" si="31"/>
        <v>8.9686098654708779E-3</v>
      </c>
      <c r="D204" s="100">
        <v>21616.05</v>
      </c>
      <c r="E204" s="99">
        <f t="shared" si="32"/>
        <v>-7.6414552966831417E-3</v>
      </c>
      <c r="F204" s="100">
        <v>18753.95</v>
      </c>
      <c r="G204" s="99">
        <f t="shared" si="30"/>
        <v>-4.5003852521736665E-3</v>
      </c>
      <c r="W204" s="126">
        <v>45331</v>
      </c>
      <c r="X204" s="97">
        <v>1442</v>
      </c>
      <c r="Y204" s="97">
        <f t="shared" si="29"/>
        <v>1.2427157200028072E-2</v>
      </c>
    </row>
    <row r="205" spans="1:25">
      <c r="A205" s="126">
        <v>45331</v>
      </c>
      <c r="B205" s="100">
        <v>1594.45</v>
      </c>
      <c r="C205" s="99">
        <f t="shared" si="31"/>
        <v>-1.7045804820911115E-2</v>
      </c>
      <c r="D205" s="100">
        <v>21782.5</v>
      </c>
      <c r="E205" s="99">
        <f t="shared" si="32"/>
        <v>2.9721958103781088E-3</v>
      </c>
      <c r="F205" s="100">
        <v>18669.55</v>
      </c>
      <c r="G205" s="99">
        <f t="shared" si="30"/>
        <v>-2.8093874785413142E-3</v>
      </c>
      <c r="W205" s="126">
        <v>45330</v>
      </c>
      <c r="X205" s="97">
        <v>1424.3</v>
      </c>
      <c r="Y205" s="97">
        <f t="shared" si="29"/>
        <v>-9.5271210013908592E-3</v>
      </c>
    </row>
    <row r="206" spans="1:25">
      <c r="A206" s="126">
        <v>45330</v>
      </c>
      <c r="B206" s="100">
        <v>1622.1</v>
      </c>
      <c r="C206" s="99">
        <f t="shared" si="31"/>
        <v>9.7734063745018585E-3</v>
      </c>
      <c r="D206" s="100">
        <v>21717.95</v>
      </c>
      <c r="E206" s="99">
        <f t="shared" si="32"/>
        <v>-9.6919814869701471E-3</v>
      </c>
      <c r="F206" s="100">
        <v>18617.099999999999</v>
      </c>
      <c r="G206" s="99">
        <f t="shared" si="30"/>
        <v>-5.199520870597385E-3</v>
      </c>
      <c r="W206" s="126">
        <v>45329</v>
      </c>
      <c r="X206" s="97">
        <v>1438</v>
      </c>
      <c r="Y206" s="97">
        <f t="shared" si="29"/>
        <v>9.8314606741574107E-3</v>
      </c>
    </row>
    <row r="207" spans="1:25">
      <c r="A207" s="126">
        <v>45329</v>
      </c>
      <c r="B207" s="100">
        <v>1606.4</v>
      </c>
      <c r="C207" s="99">
        <f t="shared" si="31"/>
        <v>7.5895377281567367E-3</v>
      </c>
      <c r="D207" s="100">
        <v>21930.5</v>
      </c>
      <c r="E207" s="99">
        <f t="shared" si="32"/>
        <v>5.0160971116319786E-5</v>
      </c>
      <c r="F207" s="100">
        <v>18520.3</v>
      </c>
      <c r="G207" s="99">
        <f t="shared" si="30"/>
        <v>2.4054685939212117E-3</v>
      </c>
      <c r="W207" s="126">
        <v>45328</v>
      </c>
      <c r="X207" s="97">
        <v>1424</v>
      </c>
      <c r="Y207" s="97">
        <f t="shared" si="29"/>
        <v>-5.8642837196314357E-3</v>
      </c>
    </row>
    <row r="208" spans="1:25">
      <c r="A208" s="126">
        <v>45328</v>
      </c>
      <c r="B208" s="100">
        <v>1594.3</v>
      </c>
      <c r="C208" s="99">
        <f t="shared" si="31"/>
        <v>8.9548460589183865E-3</v>
      </c>
      <c r="D208" s="100">
        <v>21929.4</v>
      </c>
      <c r="E208" s="99">
        <f t="shared" si="32"/>
        <v>7.2433480160023489E-3</v>
      </c>
      <c r="F208" s="100">
        <v>18564.849999999999</v>
      </c>
      <c r="G208" s="99">
        <f t="shared" si="30"/>
        <v>-4.1368500149475684E-3</v>
      </c>
      <c r="W208" s="126">
        <v>45327</v>
      </c>
      <c r="X208" s="97">
        <v>1432.4</v>
      </c>
      <c r="Y208" s="97">
        <f t="shared" si="29"/>
        <v>2.9762760603882166E-2</v>
      </c>
    </row>
    <row r="209" spans="1:25">
      <c r="A209" s="126">
        <v>45327</v>
      </c>
      <c r="B209" s="100">
        <v>1580.15</v>
      </c>
      <c r="C209" s="99">
        <f t="shared" si="31"/>
        <v>4.4496710421764174E-3</v>
      </c>
      <c r="D209" s="100">
        <v>21771.7</v>
      </c>
      <c r="E209" s="99">
        <f t="shared" si="32"/>
        <v>-3.756783717248191E-3</v>
      </c>
      <c r="F209" s="100">
        <v>18488.05</v>
      </c>
      <c r="G209" s="99">
        <f t="shared" si="30"/>
        <v>-1.0552762460075527E-2</v>
      </c>
      <c r="W209" s="126">
        <v>45324</v>
      </c>
      <c r="X209" s="97">
        <v>1391</v>
      </c>
      <c r="Y209" s="97">
        <f t="shared" si="29"/>
        <v>5.1304284991688931E-3</v>
      </c>
    </row>
    <row r="210" spans="1:25">
      <c r="A210" s="126">
        <v>45324</v>
      </c>
      <c r="B210" s="100">
        <v>1573.15</v>
      </c>
      <c r="C210" s="99">
        <f t="shared" si="31"/>
        <v>4.6847446348361466E-2</v>
      </c>
      <c r="D210" s="100">
        <v>21853.8</v>
      </c>
      <c r="E210" s="99">
        <f t="shared" si="32"/>
        <v>7.2059159025599229E-3</v>
      </c>
      <c r="F210" s="100">
        <v>18292.95</v>
      </c>
      <c r="G210" s="99">
        <f t="shared" si="30"/>
        <v>-1.7539543922658885E-2</v>
      </c>
      <c r="W210" s="126">
        <v>45323</v>
      </c>
      <c r="X210" s="97">
        <v>1383.9</v>
      </c>
      <c r="Y210" s="97">
        <f t="shared" si="29"/>
        <v>2.3594674556213002E-2</v>
      </c>
    </row>
    <row r="211" spans="1:25">
      <c r="A211" s="126">
        <v>45323</v>
      </c>
      <c r="B211" s="100">
        <v>1502.75</v>
      </c>
      <c r="C211" s="99">
        <f t="shared" si="31"/>
        <v>-7.2339301050406979E-3</v>
      </c>
      <c r="D211" s="100">
        <v>21697.45</v>
      </c>
      <c r="E211" s="99">
        <f t="shared" si="32"/>
        <v>-1.3003033273956133E-3</v>
      </c>
      <c r="F211" s="100">
        <v>17972.099999999999</v>
      </c>
      <c r="G211" s="99">
        <f t="shared" si="30"/>
        <v>-7.394795265995513E-3</v>
      </c>
      <c r="W211" s="126">
        <v>45322</v>
      </c>
      <c r="X211" s="97">
        <v>1352</v>
      </c>
      <c r="Y211" s="97">
        <f t="shared" si="29"/>
        <v>2.5796661608497695E-2</v>
      </c>
    </row>
    <row r="212" spans="1:25">
      <c r="A212" s="126">
        <v>45322</v>
      </c>
      <c r="B212" s="100">
        <v>1513.7</v>
      </c>
      <c r="C212" s="99">
        <f t="shared" si="31"/>
        <v>5.5468827847344748E-3</v>
      </c>
      <c r="D212" s="100">
        <v>21725.7</v>
      </c>
      <c r="E212" s="99">
        <f t="shared" si="32"/>
        <v>9.4600433972522602E-3</v>
      </c>
      <c r="F212" s="100">
        <v>17839.2</v>
      </c>
      <c r="G212" s="99">
        <f t="shared" si="30"/>
        <v>5.5748015606080781E-3</v>
      </c>
      <c r="W212" s="126">
        <v>45321</v>
      </c>
      <c r="X212" s="97">
        <v>1318</v>
      </c>
      <c r="Y212" s="97">
        <f t="shared" si="29"/>
        <v>-1.7554321493794434E-2</v>
      </c>
    </row>
    <row r="213" spans="1:25">
      <c r="A213" s="126">
        <v>45321</v>
      </c>
      <c r="B213" s="100">
        <v>1505.35</v>
      </c>
      <c r="C213" s="99">
        <f t="shared" si="31"/>
        <v>2.5338010421278367E-2</v>
      </c>
      <c r="D213" s="100">
        <v>21522.1</v>
      </c>
      <c r="E213" s="99">
        <f t="shared" si="32"/>
        <v>-9.9136979243338308E-3</v>
      </c>
      <c r="F213" s="100">
        <v>17938.650000000001</v>
      </c>
      <c r="G213" s="99">
        <f t="shared" si="30"/>
        <v>-2.611679251225707E-2</v>
      </c>
      <c r="W213" s="126">
        <v>45320</v>
      </c>
      <c r="X213" s="97">
        <v>1341.55</v>
      </c>
      <c r="Y213" s="97">
        <f t="shared" si="29"/>
        <v>-2.4185336048879846E-2</v>
      </c>
    </row>
    <row r="214" spans="1:25">
      <c r="A214" s="126">
        <v>45320</v>
      </c>
      <c r="B214" s="100">
        <v>1468.15</v>
      </c>
      <c r="C214" s="99">
        <f t="shared" si="31"/>
        <v>-1.0213712667700325E-2</v>
      </c>
      <c r="D214" s="100">
        <v>21737.599999999999</v>
      </c>
      <c r="E214" s="99">
        <f t="shared" si="32"/>
        <v>1.8030591122392581E-2</v>
      </c>
      <c r="F214" s="100">
        <v>17470.150000000001</v>
      </c>
      <c r="G214" s="99">
        <f t="shared" si="30"/>
        <v>8.7835536615310517E-3</v>
      </c>
      <c r="W214" s="126">
        <v>45316</v>
      </c>
      <c r="X214" s="97">
        <v>1374.8</v>
      </c>
      <c r="Y214" s="97">
        <f t="shared" si="29"/>
        <v>-2.7447651386530825E-2</v>
      </c>
    </row>
    <row r="215" spans="1:25">
      <c r="A215" s="126">
        <v>45316</v>
      </c>
      <c r="B215" s="100">
        <v>1483.3</v>
      </c>
      <c r="C215" s="99">
        <f t="shared" si="31"/>
        <v>2.0116227089852501E-2</v>
      </c>
      <c r="D215" s="100">
        <v>21352.6</v>
      </c>
      <c r="E215" s="99">
        <f t="shared" si="32"/>
        <v>-4.7240717909756702E-3</v>
      </c>
      <c r="F215" s="100">
        <v>17623.599999999999</v>
      </c>
      <c r="G215" s="99">
        <f t="shared" si="30"/>
        <v>-5.1663678249619371E-3</v>
      </c>
      <c r="W215" s="126">
        <v>45315</v>
      </c>
      <c r="X215" s="97">
        <v>1413.6</v>
      </c>
      <c r="Y215" s="97">
        <f t="shared" si="29"/>
        <v>4.0129265954045312E-3</v>
      </c>
    </row>
    <row r="216" spans="1:25">
      <c r="A216" s="126">
        <v>45315</v>
      </c>
      <c r="B216" s="100">
        <v>1454.05</v>
      </c>
      <c r="C216" s="99">
        <f t="shared" si="31"/>
        <v>3.3466740270493567E-3</v>
      </c>
      <c r="D216" s="100">
        <v>21453.95</v>
      </c>
      <c r="E216" s="99">
        <f t="shared" si="32"/>
        <v>1.0130045011959243E-2</v>
      </c>
      <c r="F216" s="100">
        <v>17532.55</v>
      </c>
      <c r="G216" s="99">
        <f t="shared" si="30"/>
        <v>1.3184049097250572E-2</v>
      </c>
      <c r="W216" s="126">
        <v>45314</v>
      </c>
      <c r="X216" s="97">
        <v>1407.95</v>
      </c>
      <c r="Y216" s="97">
        <f t="shared" si="29"/>
        <v>7.2315308453922311E-2</v>
      </c>
    </row>
    <row r="217" spans="1:25">
      <c r="A217" s="126">
        <v>45314</v>
      </c>
      <c r="B217" s="100">
        <v>1449.2</v>
      </c>
      <c r="C217" s="99">
        <f t="shared" si="31"/>
        <v>6.9133229112385841E-3</v>
      </c>
      <c r="D217" s="100">
        <v>21238.799999999999</v>
      </c>
      <c r="E217" s="99">
        <f t="shared" si="32"/>
        <v>-1.5436820293160514E-2</v>
      </c>
      <c r="F217" s="100">
        <v>17763.7</v>
      </c>
      <c r="G217" s="99">
        <f t="shared" si="30"/>
        <v>-1.3702100350715285E-2</v>
      </c>
      <c r="W217" s="126">
        <v>45311</v>
      </c>
      <c r="X217" s="97">
        <v>1313</v>
      </c>
      <c r="Y217" s="97">
        <f t="shared" si="29"/>
        <v>-1.0550113036925435E-2</v>
      </c>
    </row>
    <row r="218" spans="1:25">
      <c r="A218" s="126">
        <v>45311</v>
      </c>
      <c r="B218" s="100">
        <v>1439.25</v>
      </c>
      <c r="C218" s="99">
        <f t="shared" si="31"/>
        <v>2.005740812927459E-2</v>
      </c>
      <c r="D218" s="100">
        <v>21571.8</v>
      </c>
      <c r="E218" s="99">
        <f t="shared" si="32"/>
        <v>-2.3401657540329523E-3</v>
      </c>
      <c r="F218" s="100">
        <v>17520.3</v>
      </c>
      <c r="G218" s="99">
        <f t="shared" si="30"/>
        <v>-1.62896754051014E-2</v>
      </c>
      <c r="W218" s="126">
        <v>45310</v>
      </c>
      <c r="X218" s="97">
        <v>1327</v>
      </c>
      <c r="Y218" s="97">
        <f t="shared" si="29"/>
        <v>5.3030303030303649E-3</v>
      </c>
    </row>
    <row r="219" spans="1:25">
      <c r="A219" s="126">
        <v>45310</v>
      </c>
      <c r="B219" s="100">
        <v>1410.95</v>
      </c>
      <c r="C219" s="99">
        <f t="shared" si="31"/>
        <v>-1.3494144380353013E-2</v>
      </c>
      <c r="D219" s="100">
        <v>21622.400000000001</v>
      </c>
      <c r="E219" s="99">
        <f t="shared" si="32"/>
        <v>7.4619389858938678E-3</v>
      </c>
      <c r="F219" s="100">
        <v>17234.900000000001</v>
      </c>
      <c r="G219" s="99">
        <f t="shared" si="30"/>
        <v>8.8831382833667316E-3</v>
      </c>
      <c r="W219" s="126">
        <v>45309</v>
      </c>
      <c r="X219" s="97">
        <v>1320</v>
      </c>
      <c r="Y219" s="97">
        <f t="shared" si="29"/>
        <v>2.1671826625387025E-2</v>
      </c>
    </row>
    <row r="220" spans="1:25">
      <c r="A220" s="126">
        <v>45309</v>
      </c>
      <c r="B220" s="100">
        <v>1430.25</v>
      </c>
      <c r="C220" s="99">
        <f t="shared" si="31"/>
        <v>3.2265983937149745E-3</v>
      </c>
      <c r="D220" s="100">
        <v>21462.25</v>
      </c>
      <c r="E220" s="99">
        <f t="shared" si="32"/>
        <v>-5.0853075405793424E-3</v>
      </c>
      <c r="F220" s="100">
        <v>17388</v>
      </c>
      <c r="G220" s="99">
        <f t="shared" si="30"/>
        <v>-3.2637451115712368E-3</v>
      </c>
      <c r="W220" s="126">
        <v>45308</v>
      </c>
      <c r="X220" s="97">
        <v>1292</v>
      </c>
      <c r="Y220" s="97">
        <f t="shared" si="29"/>
        <v>-7.2611318145145987E-3</v>
      </c>
    </row>
    <row r="221" spans="1:25">
      <c r="A221" s="126">
        <v>45308</v>
      </c>
      <c r="B221" s="100">
        <v>1425.65</v>
      </c>
      <c r="C221" s="99">
        <f t="shared" si="31"/>
        <v>1.8466923846263805E-2</v>
      </c>
      <c r="D221" s="100">
        <v>21571.95</v>
      </c>
      <c r="E221" s="99">
        <f t="shared" si="32"/>
        <v>-2.0894323334377241E-2</v>
      </c>
      <c r="F221" s="100">
        <v>17331.25</v>
      </c>
      <c r="G221" s="99">
        <f t="shared" si="30"/>
        <v>-1.0227190768121175E-2</v>
      </c>
      <c r="W221" s="126">
        <v>45307</v>
      </c>
      <c r="X221" s="97">
        <v>1301.45</v>
      </c>
      <c r="Y221" s="97">
        <f t="shared" si="29"/>
        <v>-1.0153635533921457E-2</v>
      </c>
    </row>
    <row r="222" spans="1:25">
      <c r="A222" s="126">
        <v>45307</v>
      </c>
      <c r="B222" s="100">
        <v>1399.8</v>
      </c>
      <c r="C222" s="99">
        <f t="shared" si="31"/>
        <v>8.7558101826827883E-3</v>
      </c>
      <c r="D222" s="100">
        <v>22032.3</v>
      </c>
      <c r="E222" s="99">
        <f t="shared" si="32"/>
        <v>-2.9483039898269281E-3</v>
      </c>
      <c r="F222" s="100">
        <v>17154</v>
      </c>
      <c r="G222" s="99">
        <f t="shared" si="30"/>
        <v>9.6857875714120301E-3</v>
      </c>
      <c r="W222" s="126">
        <v>45306</v>
      </c>
      <c r="X222" s="97">
        <v>1314.8</v>
      </c>
      <c r="Y222" s="97">
        <f t="shared" si="29"/>
        <v>3.8940215316483062E-3</v>
      </c>
    </row>
    <row r="223" spans="1:25">
      <c r="A223" s="126">
        <v>45306</v>
      </c>
      <c r="B223" s="100">
        <v>1387.65</v>
      </c>
      <c r="C223" s="99">
        <f t="shared" si="31"/>
        <v>-1.7940552016985079E-2</v>
      </c>
      <c r="D223" s="100">
        <v>22097.45</v>
      </c>
      <c r="E223" s="99">
        <f t="shared" si="32"/>
        <v>9.2671463903117868E-3</v>
      </c>
      <c r="F223" s="100">
        <v>17320.150000000001</v>
      </c>
      <c r="G223" s="99">
        <f t="shared" si="30"/>
        <v>1.1564564972012414E-2</v>
      </c>
      <c r="W223" s="126">
        <v>45303</v>
      </c>
      <c r="X223" s="97">
        <v>1309.7</v>
      </c>
      <c r="Y223" s="97">
        <f t="shared" si="29"/>
        <v>-1.2888151944528081E-2</v>
      </c>
    </row>
    <row r="224" spans="1:25">
      <c r="A224" s="126">
        <v>45303</v>
      </c>
      <c r="B224" s="100">
        <v>1413</v>
      </c>
      <c r="C224" s="99">
        <f t="shared" si="31"/>
        <v>1.0910391700947875E-2</v>
      </c>
      <c r="D224" s="100">
        <v>21894.55</v>
      </c>
      <c r="E224" s="99">
        <f t="shared" si="32"/>
        <v>1.1426420045086649E-2</v>
      </c>
      <c r="F224" s="100">
        <v>17520.45</v>
      </c>
      <c r="G224" s="99">
        <f t="shared" si="30"/>
        <v>-9.8741756062201702E-3</v>
      </c>
      <c r="W224" s="126">
        <v>45302</v>
      </c>
      <c r="X224" s="97">
        <v>1326.8</v>
      </c>
      <c r="Y224" s="97">
        <f t="shared" si="29"/>
        <v>-1.4299691427711592E-3</v>
      </c>
    </row>
    <row r="225" spans="1:25">
      <c r="A225" s="126">
        <v>45302</v>
      </c>
      <c r="B225" s="100">
        <v>1397.75</v>
      </c>
      <c r="C225" s="99">
        <f t="shared" si="31"/>
        <v>-1.9279517298012028E-3</v>
      </c>
      <c r="D225" s="100">
        <v>21647.200000000001</v>
      </c>
      <c r="E225" s="99">
        <f t="shared" si="32"/>
        <v>1.3183031357111297E-3</v>
      </c>
      <c r="F225" s="100">
        <v>17347.45</v>
      </c>
      <c r="G225" s="99">
        <f t="shared" si="30"/>
        <v>1.9080614153663689E-3</v>
      </c>
      <c r="W225" s="126">
        <v>45301</v>
      </c>
      <c r="X225" s="97">
        <v>1328.7</v>
      </c>
      <c r="Y225" s="97">
        <f t="shared" si="29"/>
        <v>2.8803716608594598E-2</v>
      </c>
    </row>
    <row r="226" spans="1:25">
      <c r="A226" s="126">
        <v>45301</v>
      </c>
      <c r="B226" s="100">
        <v>1400.45</v>
      </c>
      <c r="C226" s="99">
        <f t="shared" si="31"/>
        <v>-3.4157623198718401E-3</v>
      </c>
      <c r="D226" s="100">
        <v>21618.7</v>
      </c>
      <c r="E226" s="99">
        <f t="shared" si="32"/>
        <v>3.4277333098164942E-3</v>
      </c>
      <c r="F226" s="100">
        <v>17380.55</v>
      </c>
      <c r="G226" s="99">
        <f t="shared" si="30"/>
        <v>1.2283846023286582E-3</v>
      </c>
      <c r="W226" s="126">
        <v>45300</v>
      </c>
      <c r="X226" s="97">
        <v>1291.5</v>
      </c>
      <c r="Y226" s="97">
        <f t="shared" si="29"/>
        <v>1.6129032258064502E-2</v>
      </c>
    </row>
    <row r="227" spans="1:25">
      <c r="A227" s="126">
        <v>45300</v>
      </c>
      <c r="B227" s="100">
        <v>1405.25</v>
      </c>
      <c r="C227" s="99">
        <f t="shared" si="31"/>
        <v>6.4097973214924941E-3</v>
      </c>
      <c r="D227" s="100">
        <v>21544.85</v>
      </c>
      <c r="E227" s="99">
        <f t="shared" si="32"/>
        <v>1.4805001626922998E-3</v>
      </c>
      <c r="F227" s="100">
        <v>17401.900000000001</v>
      </c>
      <c r="G227" s="99">
        <f t="shared" si="30"/>
        <v>-3.195053413707849E-3</v>
      </c>
      <c r="W227" s="126">
        <v>45299</v>
      </c>
      <c r="X227" s="97">
        <v>1271</v>
      </c>
      <c r="Y227" s="97">
        <f t="shared" si="29"/>
        <v>-1.2547100182573989E-2</v>
      </c>
    </row>
    <row r="228" spans="1:25">
      <c r="A228" s="126">
        <v>45299</v>
      </c>
      <c r="B228" s="100">
        <v>1396.3</v>
      </c>
      <c r="C228" s="99">
        <f t="shared" si="31"/>
        <v>1.0091510833001749E-2</v>
      </c>
      <c r="D228" s="100">
        <v>21513</v>
      </c>
      <c r="E228" s="99">
        <f t="shared" si="32"/>
        <v>-9.1106730290915205E-3</v>
      </c>
      <c r="F228" s="100">
        <v>17346.3</v>
      </c>
      <c r="G228" s="99">
        <f t="shared" si="30"/>
        <v>-8.6675544640643087E-3</v>
      </c>
      <c r="W228" s="126">
        <v>45296</v>
      </c>
      <c r="X228" s="97">
        <v>1287.1500000000001</v>
      </c>
      <c r="Y228" s="97">
        <f t="shared" si="29"/>
        <v>-9.5036552520199047E-3</v>
      </c>
    </row>
    <row r="229" spans="1:25">
      <c r="A229" s="126">
        <v>45296</v>
      </c>
      <c r="B229" s="100">
        <v>1382.35</v>
      </c>
      <c r="C229" s="99">
        <f t="shared" si="31"/>
        <v>-5.1099355860233509E-3</v>
      </c>
      <c r="D229" s="100">
        <v>21710.799999999999</v>
      </c>
      <c r="E229" s="99">
        <f t="shared" si="32"/>
        <v>2.4101280784538659E-3</v>
      </c>
      <c r="F229" s="100">
        <v>17195.95</v>
      </c>
      <c r="G229" s="99">
        <f t="shared" si="30"/>
        <v>9.4586225244897015E-3</v>
      </c>
      <c r="W229" s="126">
        <v>45295</v>
      </c>
      <c r="X229" s="97">
        <v>1299.5</v>
      </c>
      <c r="Y229" s="97">
        <f t="shared" si="29"/>
        <v>-1.5750451384887176E-3</v>
      </c>
    </row>
    <row r="230" spans="1:25">
      <c r="A230" s="126">
        <v>45295</v>
      </c>
      <c r="B230" s="100">
        <v>1389.45</v>
      </c>
      <c r="C230" s="99">
        <f t="shared" si="31"/>
        <v>-6.8263045032165293E-3</v>
      </c>
      <c r="D230" s="100">
        <v>21658.6</v>
      </c>
      <c r="E230" s="99">
        <f t="shared" si="32"/>
        <v>6.5644700671783074E-3</v>
      </c>
      <c r="F230" s="100">
        <v>17358.599999999999</v>
      </c>
      <c r="G230" s="99">
        <f t="shared" si="30"/>
        <v>3.1454149528189479E-3</v>
      </c>
      <c r="W230" s="126">
        <v>45294</v>
      </c>
      <c r="X230" s="97">
        <v>1301.55</v>
      </c>
      <c r="Y230" s="97">
        <f t="shared" si="29"/>
        <v>1.4576918579724873E-2</v>
      </c>
    </row>
    <row r="231" spans="1:25">
      <c r="A231" s="126">
        <v>45294</v>
      </c>
      <c r="B231" s="100">
        <v>1399</v>
      </c>
      <c r="C231" s="99">
        <f t="shared" si="31"/>
        <v>-5.2616609783845414E-3</v>
      </c>
      <c r="D231" s="100">
        <v>21517.35</v>
      </c>
      <c r="E231" s="99">
        <f t="shared" si="32"/>
        <v>-6.8518125340398806E-3</v>
      </c>
      <c r="F231" s="100">
        <v>17413.2</v>
      </c>
      <c r="G231" s="99">
        <f t="shared" si="30"/>
        <v>-1.9180851308203684E-3</v>
      </c>
      <c r="W231" s="126">
        <v>45293</v>
      </c>
      <c r="X231" s="97">
        <v>1282.8499999999999</v>
      </c>
      <c r="Y231" s="97">
        <f t="shared" si="29"/>
        <v>2.6279999999999859E-2</v>
      </c>
    </row>
    <row r="232" spans="1:25">
      <c r="A232" s="126">
        <v>45293</v>
      </c>
      <c r="B232" s="100">
        <v>1406.4</v>
      </c>
      <c r="C232" s="99">
        <f t="shared" si="31"/>
        <v>8.6420195790153365E-3</v>
      </c>
      <c r="D232" s="100">
        <v>21665.8</v>
      </c>
      <c r="E232" s="99">
        <f t="shared" si="32"/>
        <v>-3.5001540803702991E-3</v>
      </c>
      <c r="F232" s="100">
        <v>17379.8</v>
      </c>
      <c r="G232" s="99">
        <f t="shared" si="30"/>
        <v>-6.0702654806153999E-3</v>
      </c>
      <c r="W232" s="126">
        <v>45292</v>
      </c>
      <c r="X232" s="97">
        <v>1250</v>
      </c>
      <c r="Y232" s="97">
        <f t="shared" si="29"/>
        <v>0</v>
      </c>
    </row>
    <row r="233" spans="1:25">
      <c r="A233" s="126">
        <v>45292</v>
      </c>
      <c r="B233" s="100">
        <v>1394.35</v>
      </c>
      <c r="C233" s="99">
        <f t="shared" si="31"/>
        <v>6.2078683779563493E-2</v>
      </c>
      <c r="D233" s="100">
        <v>21741.9</v>
      </c>
      <c r="E233" s="99">
        <f t="shared" si="32"/>
        <v>4.8317181589774272E-4</v>
      </c>
      <c r="F233" s="100">
        <v>17274.3</v>
      </c>
      <c r="G233" s="99">
        <f t="shared" si="30"/>
        <v>-2.4055967535587475E-2</v>
      </c>
      <c r="W233" s="126">
        <v>45289</v>
      </c>
      <c r="X233" s="97">
        <v>1250</v>
      </c>
      <c r="Y233" s="97">
        <f t="shared" si="29"/>
        <v>-9.5087163232963068E-3</v>
      </c>
    </row>
    <row r="234" spans="1:25">
      <c r="A234" s="126">
        <v>45289</v>
      </c>
      <c r="B234" s="100">
        <v>1312.85</v>
      </c>
      <c r="C234" s="99">
        <f t="shared" si="31"/>
        <v>-7.6344533051136976E-3</v>
      </c>
      <c r="D234" s="100">
        <v>21731.4</v>
      </c>
      <c r="E234" s="99">
        <f t="shared" si="32"/>
        <v>-2.1718468044464867E-3</v>
      </c>
      <c r="F234" s="100">
        <v>16858.75</v>
      </c>
      <c r="G234" s="99">
        <f t="shared" si="30"/>
        <v>-1.5985764069104125E-3</v>
      </c>
      <c r="W234" s="126">
        <v>45288</v>
      </c>
      <c r="X234" s="97">
        <v>1262</v>
      </c>
      <c r="Y234" s="97">
        <f t="shared" si="29"/>
        <v>1.8111411399298172E-2</v>
      </c>
    </row>
    <row r="235" spans="1:25">
      <c r="A235" s="126">
        <v>45288</v>
      </c>
      <c r="B235" s="100">
        <v>1322.95</v>
      </c>
      <c r="C235" s="99">
        <f t="shared" si="31"/>
        <v>-1.2687040561214946E-2</v>
      </c>
      <c r="D235" s="100">
        <v>21778.7</v>
      </c>
      <c r="E235" s="99">
        <f t="shared" si="32"/>
        <v>5.7239173853311787E-3</v>
      </c>
      <c r="F235" s="100">
        <v>16831.8</v>
      </c>
      <c r="G235" s="99">
        <f t="shared" si="30"/>
        <v>1.7258997849307622E-3</v>
      </c>
      <c r="W235" s="126">
        <v>45287</v>
      </c>
      <c r="X235" s="97">
        <v>1239.55</v>
      </c>
      <c r="Y235" s="97">
        <f t="shared" si="29"/>
        <v>-5.9344801315209805E-3</v>
      </c>
    </row>
    <row r="236" spans="1:25">
      <c r="A236" s="126">
        <v>45287</v>
      </c>
      <c r="B236" s="100">
        <v>1339.95</v>
      </c>
      <c r="C236" s="99">
        <f t="shared" si="31"/>
        <v>4.0333850931677073E-2</v>
      </c>
      <c r="D236" s="100">
        <v>21654.75</v>
      </c>
      <c r="E236" s="99">
        <f t="shared" si="32"/>
        <v>9.9527315211029865E-3</v>
      </c>
      <c r="F236" s="100">
        <v>16860.849999999999</v>
      </c>
      <c r="G236" s="99">
        <f t="shared" si="30"/>
        <v>-1.215241224493413E-2</v>
      </c>
      <c r="W236" s="126">
        <v>45286</v>
      </c>
      <c r="X236" s="97">
        <v>1246.95</v>
      </c>
      <c r="Y236" s="97">
        <f t="shared" si="29"/>
        <v>5.6048387096774288E-3</v>
      </c>
    </row>
    <row r="237" spans="1:25">
      <c r="A237" s="126">
        <v>45286</v>
      </c>
      <c r="B237" s="100">
        <v>1288</v>
      </c>
      <c r="C237" s="99">
        <f t="shared" si="31"/>
        <v>4.1710521186604232E-3</v>
      </c>
      <c r="D237" s="100">
        <v>21441.35</v>
      </c>
      <c r="E237" s="99">
        <f t="shared" si="32"/>
        <v>4.306912606443225E-3</v>
      </c>
      <c r="F237" s="100">
        <v>16655.95</v>
      </c>
      <c r="G237" s="99">
        <f t="shared" si="30"/>
        <v>-5.6046037602179855E-3</v>
      </c>
      <c r="W237" s="126">
        <v>45282</v>
      </c>
      <c r="X237" s="97">
        <v>1240</v>
      </c>
      <c r="Y237" s="97">
        <f t="shared" si="29"/>
        <v>8.9503661513425925E-3</v>
      </c>
    </row>
    <row r="238" spans="1:25">
      <c r="A238" s="126">
        <v>45282</v>
      </c>
      <c r="B238" s="100">
        <v>1282.6500000000001</v>
      </c>
      <c r="C238" s="99">
        <f t="shared" si="31"/>
        <v>1.3872421152478109E-2</v>
      </c>
      <c r="D238" s="100">
        <v>21349.4</v>
      </c>
      <c r="E238" s="99">
        <f t="shared" si="32"/>
        <v>4.4389450977533329E-3</v>
      </c>
      <c r="F238" s="100">
        <v>16562.599999999999</v>
      </c>
      <c r="G238" s="99">
        <f t="shared" si="30"/>
        <v>-1.0158429232125399E-2</v>
      </c>
      <c r="W238" s="126">
        <v>45281</v>
      </c>
      <c r="X238" s="97">
        <v>1229</v>
      </c>
      <c r="Y238" s="97">
        <f t="shared" si="29"/>
        <v>-7.2697899838448654E-3</v>
      </c>
    </row>
    <row r="239" spans="1:25">
      <c r="A239" s="126">
        <v>45281</v>
      </c>
      <c r="B239" s="100">
        <v>1265.0999999999999</v>
      </c>
      <c r="C239" s="99">
        <f t="shared" si="31"/>
        <v>6.604073838319513E-3</v>
      </c>
      <c r="D239" s="100">
        <v>21255.05</v>
      </c>
      <c r="E239" s="99">
        <f t="shared" si="32"/>
        <v>4.9597756989903097E-3</v>
      </c>
      <c r="F239" s="100">
        <v>16394.349999999999</v>
      </c>
      <c r="G239" s="99">
        <f t="shared" si="30"/>
        <v>-9.5276726433191072E-3</v>
      </c>
      <c r="W239" s="126">
        <v>45280</v>
      </c>
      <c r="X239" s="97">
        <v>1238</v>
      </c>
      <c r="Y239" s="97">
        <f t="shared" si="29"/>
        <v>-1.612903225806428E-3</v>
      </c>
    </row>
    <row r="240" spans="1:25">
      <c r="A240" s="126">
        <v>45280</v>
      </c>
      <c r="B240" s="100">
        <v>1256.8</v>
      </c>
      <c r="C240" s="99">
        <f t="shared" si="31"/>
        <v>2.3786249592701258E-2</v>
      </c>
      <c r="D240" s="100">
        <v>21150.15</v>
      </c>
      <c r="E240" s="99">
        <f t="shared" si="32"/>
        <v>-1.4121502253753415E-2</v>
      </c>
      <c r="F240" s="100">
        <v>16238.15</v>
      </c>
      <c r="G240" s="99">
        <f t="shared" si="30"/>
        <v>-7.1990959561279988E-3</v>
      </c>
      <c r="W240" s="126">
        <v>45279</v>
      </c>
      <c r="X240" s="97">
        <v>1240</v>
      </c>
      <c r="Y240" s="97">
        <f t="shared" si="29"/>
        <v>2.0576131687242816E-2</v>
      </c>
    </row>
    <row r="241" spans="1:25">
      <c r="A241" s="126">
        <v>45279</v>
      </c>
      <c r="B241" s="100">
        <v>1227.5999999999999</v>
      </c>
      <c r="C241" s="99">
        <f t="shared" si="31"/>
        <v>-3.3538025507794167E-2</v>
      </c>
      <c r="D241" s="100">
        <v>21453.1</v>
      </c>
      <c r="E241" s="99">
        <f t="shared" si="32"/>
        <v>1.6084113611267714E-3</v>
      </c>
      <c r="F241" s="100">
        <v>16121.25</v>
      </c>
      <c r="G241" s="99">
        <f t="shared" si="30"/>
        <v>1.6748080949057886E-2</v>
      </c>
      <c r="W241" s="126">
        <v>45278</v>
      </c>
      <c r="X241" s="97">
        <v>1215</v>
      </c>
      <c r="Y241" s="97">
        <f t="shared" si="29"/>
        <v>8.1732564411067798E-3</v>
      </c>
    </row>
    <row r="242" spans="1:25">
      <c r="A242" s="126">
        <v>45278</v>
      </c>
      <c r="B242" s="100">
        <v>1270.2</v>
      </c>
      <c r="C242" s="99">
        <f t="shared" si="31"/>
        <v>9.8986285032796051E-3</v>
      </c>
      <c r="D242" s="100">
        <v>21418.65</v>
      </c>
      <c r="E242" s="99">
        <f t="shared" si="32"/>
        <v>-1.7710127163373945E-3</v>
      </c>
      <c r="F242" s="100">
        <v>16391.25</v>
      </c>
      <c r="G242" s="99">
        <f t="shared" si="30"/>
        <v>-3.6055822466255494E-3</v>
      </c>
      <c r="W242" s="126">
        <v>45275</v>
      </c>
      <c r="X242" s="97">
        <v>1205.1500000000001</v>
      </c>
      <c r="Y242" s="97">
        <f t="shared" si="29"/>
        <v>1.2448132780096266E-4</v>
      </c>
    </row>
    <row r="243" spans="1:25">
      <c r="A243" s="126">
        <v>45275</v>
      </c>
      <c r="B243" s="100">
        <v>1257.75</v>
      </c>
      <c r="C243" s="99">
        <f t="shared" si="31"/>
        <v>9.3491694085547916E-3</v>
      </c>
      <c r="D243" s="100">
        <v>21456.65</v>
      </c>
      <c r="E243" s="99">
        <f t="shared" si="32"/>
        <v>1.2932723401643864E-2</v>
      </c>
      <c r="F243" s="100">
        <v>16332.15</v>
      </c>
      <c r="G243" s="99">
        <f t="shared" si="30"/>
        <v>-9.3282268409241587E-3</v>
      </c>
      <c r="W243" s="126">
        <v>45274</v>
      </c>
      <c r="X243" s="97">
        <v>1205</v>
      </c>
      <c r="Y243" s="97">
        <f t="shared" si="29"/>
        <v>-6.5952184666117075E-3</v>
      </c>
    </row>
    <row r="244" spans="1:25">
      <c r="A244" s="126">
        <v>45274</v>
      </c>
      <c r="B244" s="100">
        <v>1246.0999999999999</v>
      </c>
      <c r="C244" s="99">
        <f t="shared" si="31"/>
        <v>-8.1585545429219142E-3</v>
      </c>
      <c r="D244" s="100">
        <v>21182.7</v>
      </c>
      <c r="E244" s="99">
        <f t="shared" si="32"/>
        <v>1.2250105727946048E-2</v>
      </c>
      <c r="F244" s="100">
        <v>16179.8</v>
      </c>
      <c r="G244" s="99">
        <f t="shared" si="30"/>
        <v>-1.489511613246064E-3</v>
      </c>
      <c r="W244" s="126">
        <v>45273</v>
      </c>
      <c r="X244" s="97">
        <v>1213</v>
      </c>
      <c r="Y244" s="97">
        <f t="shared" si="29"/>
        <v>1.2520868113522488E-2</v>
      </c>
    </row>
    <row r="245" spans="1:25">
      <c r="A245" s="126">
        <v>45273</v>
      </c>
      <c r="B245" s="100">
        <v>1256.3499999999999</v>
      </c>
      <c r="C245" s="99">
        <f t="shared" si="31"/>
        <v>3.5545970125407944E-3</v>
      </c>
      <c r="D245" s="100">
        <v>20926.349999999999</v>
      </c>
      <c r="E245" s="99">
        <f t="shared" si="32"/>
        <v>9.5425324302600423E-4</v>
      </c>
      <c r="F245" s="100">
        <v>16155.7</v>
      </c>
      <c r="G245" s="99">
        <f t="shared" si="30"/>
        <v>-8.2323885687407561E-4</v>
      </c>
      <c r="W245" s="126">
        <v>45272</v>
      </c>
      <c r="X245" s="97">
        <v>1198</v>
      </c>
      <c r="Y245" s="97">
        <f t="shared" si="29"/>
        <v>-4.983388704318914E-3</v>
      </c>
    </row>
    <row r="246" spans="1:25">
      <c r="A246" s="126">
        <v>45272</v>
      </c>
      <c r="B246" s="100">
        <v>1251.9000000000001</v>
      </c>
      <c r="C246" s="99">
        <f t="shared" si="31"/>
        <v>9.4746603233479831E-3</v>
      </c>
      <c r="D246" s="100">
        <v>20906.400000000001</v>
      </c>
      <c r="E246" s="99">
        <f t="shared" si="32"/>
        <v>-4.3196441413336784E-3</v>
      </c>
      <c r="F246" s="100">
        <v>16142.4</v>
      </c>
      <c r="G246" s="99">
        <f t="shared" si="30"/>
        <v>-1.1082614728912699E-2</v>
      </c>
      <c r="W246" s="126">
        <v>45271</v>
      </c>
      <c r="X246" s="97">
        <v>1204</v>
      </c>
      <c r="Y246" s="97">
        <f t="shared" si="29"/>
        <v>-1.2305168170631653E-2</v>
      </c>
    </row>
    <row r="247" spans="1:25">
      <c r="A247" s="126">
        <v>45271</v>
      </c>
      <c r="B247" s="100">
        <v>1240.1500000000001</v>
      </c>
      <c r="C247" s="99">
        <f t="shared" si="31"/>
        <v>8.539015166917352E-3</v>
      </c>
      <c r="D247" s="100">
        <v>20997.1</v>
      </c>
      <c r="E247" s="99">
        <f t="shared" si="32"/>
        <v>1.3209724646388032E-3</v>
      </c>
      <c r="F247" s="100">
        <v>15963.5</v>
      </c>
      <c r="G247" s="99">
        <f t="shared" si="30"/>
        <v>4.7859178751525899E-3</v>
      </c>
      <c r="W247" s="126">
        <v>45268</v>
      </c>
      <c r="X247" s="97">
        <v>1219</v>
      </c>
      <c r="Y247" s="97">
        <f t="shared" si="29"/>
        <v>-4.0442828546918275E-3</v>
      </c>
    </row>
    <row r="248" spans="1:25">
      <c r="A248" s="126">
        <v>45268</v>
      </c>
      <c r="B248" s="100">
        <v>1229.6500000000001</v>
      </c>
      <c r="C248" s="99">
        <f t="shared" si="31"/>
        <v>-7.8266833420743698E-3</v>
      </c>
      <c r="D248" s="100">
        <v>20969.400000000001</v>
      </c>
      <c r="E248" s="99">
        <f t="shared" si="32"/>
        <v>3.2653705657343934E-3</v>
      </c>
      <c r="F248" s="100">
        <v>16039.9</v>
      </c>
      <c r="G248" s="99">
        <f t="shared" si="30"/>
        <v>7.683963116976944E-3</v>
      </c>
      <c r="W248" s="126">
        <v>45267</v>
      </c>
      <c r="X248" s="97">
        <v>1223.95</v>
      </c>
      <c r="Y248" s="97">
        <f t="shared" si="29"/>
        <v>1.4043082021541142E-2</v>
      </c>
    </row>
    <row r="249" spans="1:25">
      <c r="A249" s="126">
        <v>45267</v>
      </c>
      <c r="B249" s="100">
        <v>1239.3499999999999</v>
      </c>
      <c r="C249" s="99">
        <f t="shared" si="31"/>
        <v>-7.726180944755856E-3</v>
      </c>
      <c r="D249" s="100">
        <v>20901.150000000001</v>
      </c>
      <c r="E249" s="99">
        <f t="shared" si="32"/>
        <v>-1.7456549668778409E-3</v>
      </c>
      <c r="F249" s="100">
        <v>16163.15</v>
      </c>
      <c r="G249" s="99">
        <f t="shared" si="30"/>
        <v>8.1079492549411825E-3</v>
      </c>
      <c r="W249" s="126">
        <v>45266</v>
      </c>
      <c r="X249" s="97">
        <v>1207</v>
      </c>
      <c r="Y249" s="97">
        <f t="shared" si="29"/>
        <v>-1.1870650839132191E-2</v>
      </c>
    </row>
    <row r="250" spans="1:25">
      <c r="A250" s="126">
        <v>45266</v>
      </c>
      <c r="B250" s="100">
        <v>1249</v>
      </c>
      <c r="C250" s="99">
        <f t="shared" si="31"/>
        <v>4.4229995979090386E-3</v>
      </c>
      <c r="D250" s="100">
        <v>20937.7</v>
      </c>
      <c r="E250" s="99">
        <f t="shared" si="32"/>
        <v>3.9606619004464161E-3</v>
      </c>
      <c r="F250" s="100">
        <v>16294.2</v>
      </c>
      <c r="G250" s="99">
        <f t="shared" si="30"/>
        <v>-7.6499613359355401E-3</v>
      </c>
      <c r="W250" s="126">
        <v>45265</v>
      </c>
      <c r="X250" s="97">
        <v>1221.5</v>
      </c>
      <c r="Y250" s="97">
        <f t="shared" si="29"/>
        <v>2.4620434961017956E-3</v>
      </c>
    </row>
    <row r="251" spans="1:25">
      <c r="A251" s="126">
        <v>45265</v>
      </c>
      <c r="B251" s="100">
        <v>1243.5</v>
      </c>
      <c r="C251" s="99">
        <f t="shared" si="31"/>
        <v>-1.1683357176919484E-2</v>
      </c>
      <c r="D251" s="100">
        <v>20855.099999999999</v>
      </c>
      <c r="E251" s="99">
        <f t="shared" si="32"/>
        <v>8.1356227159348204E-3</v>
      </c>
      <c r="F251" s="100">
        <v>16169.55</v>
      </c>
      <c r="G251" s="99">
        <f t="shared" si="30"/>
        <v>3.7168628687873628E-3</v>
      </c>
      <c r="W251" s="126">
        <v>45264</v>
      </c>
      <c r="X251" s="97">
        <v>1218.5</v>
      </c>
      <c r="Y251" s="97">
        <f t="shared" si="29"/>
        <v>1.1287243754668275E-2</v>
      </c>
    </row>
    <row r="252" spans="1:25">
      <c r="A252" s="126">
        <v>45264</v>
      </c>
      <c r="B252" s="100">
        <v>1258.2</v>
      </c>
      <c r="C252" s="99">
        <f t="shared" si="31"/>
        <v>-1.8642655983498457E-3</v>
      </c>
      <c r="D252" s="100">
        <v>20686.8</v>
      </c>
      <c r="E252" s="99">
        <f t="shared" si="32"/>
        <v>2.0668150129021567E-2</v>
      </c>
      <c r="F252" s="100">
        <v>16229.65</v>
      </c>
      <c r="G252" s="99">
        <f t="shared" si="30"/>
        <v>-7.7019529071797876E-5</v>
      </c>
      <c r="W252" s="126">
        <v>45261</v>
      </c>
      <c r="X252" s="97">
        <v>1204.9000000000001</v>
      </c>
      <c r="Y252" s="97">
        <f t="shared" si="29"/>
        <v>-7.0869386073341145E-3</v>
      </c>
    </row>
    <row r="253" spans="1:25">
      <c r="A253" s="126">
        <v>45261</v>
      </c>
      <c r="B253" s="100">
        <v>1260.55</v>
      </c>
      <c r="C253" s="99">
        <f t="shared" si="31"/>
        <v>-2.7840974819727915E-2</v>
      </c>
      <c r="D253" s="100">
        <v>20267.900000000001</v>
      </c>
      <c r="E253" s="99">
        <f t="shared" si="32"/>
        <v>6.6929417403636116E-3</v>
      </c>
      <c r="F253" s="100">
        <v>16228.4</v>
      </c>
      <c r="G253" s="99">
        <f t="shared" si="30"/>
        <v>1.7654235784181349E-3</v>
      </c>
      <c r="W253" s="126">
        <v>45260</v>
      </c>
      <c r="X253" s="97">
        <v>1213.5</v>
      </c>
      <c r="Y253" s="97">
        <f t="shared" si="29"/>
        <v>1.0323869786029505E-2</v>
      </c>
    </row>
    <row r="254" spans="1:25">
      <c r="A254" s="126">
        <v>45260</v>
      </c>
      <c r="B254" s="100">
        <v>1296.6500000000001</v>
      </c>
      <c r="C254" s="99">
        <f t="shared" si="31"/>
        <v>1.229604184557731E-2</v>
      </c>
      <c r="D254" s="100">
        <v>20133.150000000001</v>
      </c>
      <c r="E254" s="99">
        <f t="shared" si="32"/>
        <v>1.8187156036346686E-3</v>
      </c>
      <c r="F254" s="100">
        <v>16257.05</v>
      </c>
      <c r="G254" s="99">
        <f t="shared" si="30"/>
        <v>-1.1164387142809096E-3</v>
      </c>
      <c r="W254" s="126">
        <v>45259</v>
      </c>
      <c r="X254" s="97">
        <v>1201.0999999999999</v>
      </c>
      <c r="Y254" s="97">
        <f t="shared" si="29"/>
        <v>8.0570709190095346E-3</v>
      </c>
    </row>
    <row r="255" spans="1:25">
      <c r="A255" s="126">
        <v>45259</v>
      </c>
      <c r="B255" s="100">
        <v>1280.9000000000001</v>
      </c>
      <c r="C255" s="99">
        <f t="shared" si="31"/>
        <v>2.5089032051538673E-2</v>
      </c>
      <c r="D255" s="100">
        <v>20096.599999999999</v>
      </c>
      <c r="E255" s="99">
        <f t="shared" si="32"/>
        <v>1.04023690653956E-2</v>
      </c>
      <c r="F255" s="100">
        <v>16238.9</v>
      </c>
      <c r="G255" s="99">
        <f t="shared" si="30"/>
        <v>-1.5321234812702755E-2</v>
      </c>
      <c r="W255" s="126">
        <v>45258</v>
      </c>
      <c r="X255" s="97">
        <v>1191.5</v>
      </c>
      <c r="Y255" s="97">
        <f t="shared" si="29"/>
        <v>-3.9707419017763756E-3</v>
      </c>
    </row>
    <row r="256" spans="1:25">
      <c r="A256" s="126">
        <v>45258</v>
      </c>
      <c r="B256" s="100">
        <v>1249.55</v>
      </c>
      <c r="C256" s="99">
        <f t="shared" si="31"/>
        <v>3.6949275071287424E-3</v>
      </c>
      <c r="D256" s="100">
        <v>19889.7</v>
      </c>
      <c r="E256" s="99">
        <f t="shared" si="32"/>
        <v>4.7992644495749026E-3</v>
      </c>
      <c r="F256" s="100">
        <v>15990.1</v>
      </c>
      <c r="G256" s="99">
        <f t="shared" si="30"/>
        <v>-5.6159748844598623E-3</v>
      </c>
      <c r="W256" s="126">
        <v>45254</v>
      </c>
      <c r="X256" s="97">
        <v>1196.25</v>
      </c>
      <c r="Y256" s="97">
        <f t="shared" si="29"/>
        <v>1.8605245231607448E-2</v>
      </c>
    </row>
    <row r="257" spans="1:25">
      <c r="A257" s="126">
        <v>45254</v>
      </c>
      <c r="B257" s="100">
        <v>1244.95</v>
      </c>
      <c r="C257" s="99">
        <f t="shared" si="31"/>
        <v>1.4076576576576016E-3</v>
      </c>
      <c r="D257" s="100">
        <v>19794.7</v>
      </c>
      <c r="E257" s="99">
        <f t="shared" si="32"/>
        <v>-3.6864963135030404E-4</v>
      </c>
      <c r="F257" s="100">
        <v>15900.3</v>
      </c>
      <c r="G257" s="99">
        <f t="shared" si="30"/>
        <v>3.4087407155840577E-3</v>
      </c>
      <c r="W257" s="126">
        <v>45253</v>
      </c>
      <c r="X257" s="97">
        <v>1174.4000000000001</v>
      </c>
      <c r="Y257" s="97">
        <f t="shared" si="29"/>
        <v>-7.7382355251787271E-2</v>
      </c>
    </row>
    <row r="258" spans="1:25">
      <c r="A258" s="126">
        <v>45253</v>
      </c>
      <c r="B258" s="100">
        <v>1243.2</v>
      </c>
      <c r="C258" s="99">
        <f t="shared" si="31"/>
        <v>3.7599632767182589E-2</v>
      </c>
      <c r="D258" s="100">
        <v>19802</v>
      </c>
      <c r="E258" s="99">
        <f t="shared" si="32"/>
        <v>-4.971771944567438E-4</v>
      </c>
      <c r="F258" s="100">
        <v>15954.5</v>
      </c>
      <c r="G258" s="99">
        <f t="shared" si="30"/>
        <v>-8.5900529631137701E-3</v>
      </c>
      <c r="W258" s="126">
        <v>45252</v>
      </c>
      <c r="X258" s="97">
        <v>1272.9000000000001</v>
      </c>
      <c r="Y258" s="97">
        <f t="shared" si="29"/>
        <v>1.5071770334928347E-2</v>
      </c>
    </row>
    <row r="259" spans="1:25">
      <c r="A259" s="126">
        <v>45252</v>
      </c>
      <c r="B259" s="100">
        <v>1198.1500000000001</v>
      </c>
      <c r="C259" s="99">
        <f t="shared" si="31"/>
        <v>-1.6781552601345617E-2</v>
      </c>
      <c r="D259" s="100">
        <v>19811.849999999999</v>
      </c>
      <c r="E259" s="99">
        <f t="shared" si="32"/>
        <v>1.4380743451578581E-3</v>
      </c>
      <c r="F259" s="100">
        <v>15817.45</v>
      </c>
      <c r="G259" s="99">
        <f t="shared" si="30"/>
        <v>1.5953899016592388E-2</v>
      </c>
      <c r="W259" s="126">
        <v>45251</v>
      </c>
      <c r="X259" s="97">
        <v>1254</v>
      </c>
      <c r="Y259" s="97">
        <f t="shared" si="29"/>
        <v>4.2042042042043093E-3</v>
      </c>
    </row>
    <row r="260" spans="1:25">
      <c r="A260" s="126">
        <v>45251</v>
      </c>
      <c r="B260" s="100">
        <v>1218.5999999999999</v>
      </c>
      <c r="C260" s="99">
        <f t="shared" si="31"/>
        <v>-2.4149645941632381E-3</v>
      </c>
      <c r="D260" s="100">
        <v>19783.400000000001</v>
      </c>
      <c r="E260" s="99">
        <f t="shared" si="32"/>
        <v>4.5394536407028507E-3</v>
      </c>
      <c r="F260" s="100">
        <v>16069.8</v>
      </c>
      <c r="G260" s="99">
        <f t="shared" si="30"/>
        <v>-6.2788584798815217E-3</v>
      </c>
      <c r="W260" s="126">
        <v>45250</v>
      </c>
      <c r="X260" s="97">
        <v>1248.75</v>
      </c>
      <c r="Y260" s="97"/>
    </row>
    <row r="261" spans="1:25">
      <c r="A261" s="126">
        <v>45250</v>
      </c>
      <c r="B261" s="100">
        <v>1221.55</v>
      </c>
      <c r="C261" s="99">
        <f t="shared" si="31"/>
        <v>1.9232373800583957E-2</v>
      </c>
      <c r="D261" s="100">
        <v>19694</v>
      </c>
      <c r="E261" s="99">
        <f t="shared" si="32"/>
        <v>-1.915689394784037E-3</v>
      </c>
      <c r="F261" s="100">
        <v>15968.9</v>
      </c>
      <c r="G261" s="99">
        <f t="shared" si="30"/>
        <v>-1.0154112055307474E-2</v>
      </c>
    </row>
    <row r="262" spans="1:25">
      <c r="A262" s="126">
        <v>45247</v>
      </c>
      <c r="B262" s="100">
        <v>1198.5</v>
      </c>
      <c r="C262" s="99">
        <f t="shared" si="31"/>
        <v>1.8390035944162442E-3</v>
      </c>
      <c r="D262" s="100">
        <v>19731.8</v>
      </c>
      <c r="E262" s="99">
        <f t="shared" si="32"/>
        <v>-1.6898387064133713E-3</v>
      </c>
      <c r="F262" s="100">
        <v>15806.75</v>
      </c>
      <c r="G262" s="99">
        <f t="shared" si="30"/>
        <v>-1.4234425166459452E-4</v>
      </c>
    </row>
    <row r="263" spans="1:25">
      <c r="A263" s="126">
        <v>45246</v>
      </c>
      <c r="B263" s="100">
        <v>1196.3</v>
      </c>
      <c r="C263" s="99">
        <f t="shared" si="31"/>
        <v>1.9262981574539317E-3</v>
      </c>
      <c r="D263" s="100">
        <v>19765.2</v>
      </c>
      <c r="E263" s="99">
        <f t="shared" si="32"/>
        <v>4.5615220998758144E-3</v>
      </c>
      <c r="F263" s="100">
        <v>15804.5</v>
      </c>
      <c r="G263" s="99">
        <f t="shared" si="30"/>
        <v>-9.7060963649593379E-3</v>
      </c>
    </row>
    <row r="264" spans="1:25">
      <c r="A264" s="126">
        <v>45245</v>
      </c>
      <c r="B264" s="100">
        <v>1194</v>
      </c>
      <c r="C264" s="99">
        <f t="shared" si="31"/>
        <v>2.0294808801538222E-2</v>
      </c>
      <c r="D264" s="100">
        <v>19675.45</v>
      </c>
      <c r="E264" s="99">
        <f t="shared" si="32"/>
        <v>6.5404448627965905E-3</v>
      </c>
      <c r="F264" s="100">
        <v>15651.1</v>
      </c>
      <c r="G264" s="99">
        <f t="shared" si="30"/>
        <v>-8.6160078205366197E-3</v>
      </c>
    </row>
    <row r="265" spans="1:25">
      <c r="A265" s="126">
        <v>45244</v>
      </c>
      <c r="B265" s="100">
        <v>1170.25</v>
      </c>
      <c r="C265" s="99">
        <f t="shared" si="31"/>
        <v>-2.5569997869167027E-3</v>
      </c>
      <c r="D265" s="100">
        <v>19547.599999999999</v>
      </c>
      <c r="E265" s="99">
        <f t="shared" si="32"/>
        <v>5.3513890210377113E-3</v>
      </c>
      <c r="F265" s="100">
        <v>15516.25</v>
      </c>
      <c r="G265" s="99">
        <f t="shared" ref="G265:G328" si="33">F266/F265-1</f>
        <v>-1.230967534036953E-3</v>
      </c>
    </row>
    <row r="266" spans="1:25">
      <c r="A266" s="126">
        <v>45243</v>
      </c>
      <c r="B266" s="100">
        <v>1173.25</v>
      </c>
      <c r="C266" s="99">
        <f t="shared" ref="C266:C329" si="34">B266/B267-1</f>
        <v>-4.877014418999126E-3</v>
      </c>
      <c r="D266" s="100">
        <v>19443.55</v>
      </c>
      <c r="E266" s="99">
        <f t="shared" ref="E266:E329" si="35">D266/D267-1</f>
        <v>-4.1996256187405434E-3</v>
      </c>
      <c r="F266" s="100">
        <v>15497.15</v>
      </c>
      <c r="G266" s="99">
        <f t="shared" si="33"/>
        <v>1.2486166811316313E-3</v>
      </c>
    </row>
    <row r="267" spans="1:25">
      <c r="A267" s="126">
        <v>45242</v>
      </c>
      <c r="B267" s="100">
        <v>1179</v>
      </c>
      <c r="C267" s="99">
        <f t="shared" si="34"/>
        <v>-9.7445240011873047E-4</v>
      </c>
      <c r="D267" s="100">
        <v>19525.55</v>
      </c>
      <c r="E267" s="99">
        <f t="shared" si="35"/>
        <v>5.1582082176124811E-3</v>
      </c>
      <c r="F267" s="100">
        <v>15516.5</v>
      </c>
      <c r="G267" s="99">
        <f t="shared" si="33"/>
        <v>-1.588631456836298E-3</v>
      </c>
    </row>
    <row r="268" spans="1:25">
      <c r="A268" s="126">
        <v>45240</v>
      </c>
      <c r="B268" s="100">
        <v>1180.1500000000001</v>
      </c>
      <c r="C268" s="99">
        <f t="shared" si="34"/>
        <v>-2.0256527333858965E-2</v>
      </c>
      <c r="D268" s="100">
        <v>19425.349999999999</v>
      </c>
      <c r="E268" s="99">
        <f t="shared" si="35"/>
        <v>1.549344428804833E-3</v>
      </c>
      <c r="F268" s="100">
        <v>15491.85</v>
      </c>
      <c r="G268" s="99">
        <f t="shared" si="33"/>
        <v>3.4857037732738405E-4</v>
      </c>
    </row>
    <row r="269" spans="1:25">
      <c r="A269" s="126">
        <v>45239</v>
      </c>
      <c r="B269" s="100">
        <v>1204.55</v>
      </c>
      <c r="C269" s="99">
        <f t="shared" si="34"/>
        <v>-5.4083064982247686E-3</v>
      </c>
      <c r="D269" s="100">
        <v>19395.3</v>
      </c>
      <c r="E269" s="99">
        <f t="shared" si="35"/>
        <v>-2.4789775503382128E-3</v>
      </c>
      <c r="F269" s="100">
        <v>15497.25</v>
      </c>
      <c r="G269" s="99">
        <f t="shared" si="33"/>
        <v>-1.4550968720256852E-2</v>
      </c>
    </row>
    <row r="270" spans="1:25">
      <c r="A270" s="126">
        <v>45238</v>
      </c>
      <c r="B270" s="100">
        <v>1211.0999999999999</v>
      </c>
      <c r="C270" s="99">
        <f t="shared" si="34"/>
        <v>1.7987727998655112E-2</v>
      </c>
      <c r="D270" s="100">
        <v>19443.5</v>
      </c>
      <c r="E270" s="99">
        <f t="shared" si="35"/>
        <v>1.8962523252279428E-3</v>
      </c>
      <c r="F270" s="100">
        <v>15271.75</v>
      </c>
      <c r="G270" s="99">
        <f t="shared" si="33"/>
        <v>-1.3060061878959583E-2</v>
      </c>
    </row>
    <row r="271" spans="1:25">
      <c r="A271" s="126">
        <v>45237</v>
      </c>
      <c r="B271" s="100">
        <v>1189.7</v>
      </c>
      <c r="C271" s="99">
        <f t="shared" si="34"/>
        <v>-8.0046693904777255E-3</v>
      </c>
      <c r="D271" s="100">
        <v>19406.7</v>
      </c>
      <c r="E271" s="99">
        <f t="shared" si="35"/>
        <v>-2.6015171223614519E-4</v>
      </c>
      <c r="F271" s="100">
        <v>15072.3</v>
      </c>
      <c r="G271" s="99">
        <f t="shared" si="33"/>
        <v>-1.2602588855051944E-2</v>
      </c>
    </row>
    <row r="272" spans="1:25">
      <c r="A272" s="126">
        <v>45236</v>
      </c>
      <c r="B272" s="100">
        <v>1199.3</v>
      </c>
      <c r="C272" s="99">
        <f t="shared" si="34"/>
        <v>1.0745438456027934E-2</v>
      </c>
      <c r="D272" s="100">
        <v>19411.75</v>
      </c>
      <c r="E272" s="99">
        <f t="shared" si="35"/>
        <v>9.4198828949696445E-3</v>
      </c>
      <c r="F272" s="100">
        <v>14882.35</v>
      </c>
      <c r="G272" s="99">
        <f t="shared" si="33"/>
        <v>-3.2185777111813918E-3</v>
      </c>
    </row>
    <row r="273" spans="1:7">
      <c r="A273" s="126">
        <v>45233</v>
      </c>
      <c r="B273" s="100">
        <v>1186.55</v>
      </c>
      <c r="C273" s="99">
        <f t="shared" si="34"/>
        <v>1.4839206294902318E-2</v>
      </c>
      <c r="D273" s="100">
        <v>19230.599999999999</v>
      </c>
      <c r="E273" s="99">
        <f t="shared" si="35"/>
        <v>5.0880012543608188E-3</v>
      </c>
      <c r="F273" s="100">
        <v>14834.45</v>
      </c>
      <c r="G273" s="99">
        <f t="shared" si="33"/>
        <v>-6.6871370357513005E-3</v>
      </c>
    </row>
    <row r="274" spans="1:7">
      <c r="A274" s="126">
        <v>45232</v>
      </c>
      <c r="B274" s="100">
        <v>1169.2</v>
      </c>
      <c r="C274" s="99">
        <f t="shared" si="34"/>
        <v>3.217832708011481E-2</v>
      </c>
      <c r="D274" s="100">
        <v>19133.25</v>
      </c>
      <c r="E274" s="99">
        <f t="shared" si="35"/>
        <v>7.5885439843277336E-3</v>
      </c>
      <c r="F274" s="100">
        <v>14735.25</v>
      </c>
      <c r="G274" s="99">
        <f t="shared" si="33"/>
        <v>-3.5018068916373712E-3</v>
      </c>
    </row>
    <row r="275" spans="1:7">
      <c r="A275" s="126">
        <v>45231</v>
      </c>
      <c r="B275" s="100">
        <v>1132.75</v>
      </c>
      <c r="C275" s="99">
        <f t="shared" si="34"/>
        <v>4.0774719673801751E-3</v>
      </c>
      <c r="D275" s="100">
        <v>18989.150000000001</v>
      </c>
      <c r="E275" s="99">
        <f t="shared" si="35"/>
        <v>-4.740665422755086E-3</v>
      </c>
      <c r="F275" s="100">
        <v>14683.65</v>
      </c>
      <c r="G275" s="99">
        <f t="shared" si="33"/>
        <v>6.2620669928799E-3</v>
      </c>
    </row>
    <row r="276" spans="1:7">
      <c r="A276" s="126">
        <v>45230</v>
      </c>
      <c r="B276" s="100">
        <v>1128.1500000000001</v>
      </c>
      <c r="C276" s="99">
        <f t="shared" si="34"/>
        <v>-1.0698469768053553E-2</v>
      </c>
      <c r="D276" s="100">
        <v>19079.599999999999</v>
      </c>
      <c r="E276" s="99">
        <f t="shared" si="35"/>
        <v>-3.2025662325179116E-3</v>
      </c>
      <c r="F276" s="100">
        <v>14775.6</v>
      </c>
      <c r="G276" s="99">
        <f t="shared" si="33"/>
        <v>-2.5108963426189179E-3</v>
      </c>
    </row>
    <row r="277" spans="1:7">
      <c r="A277" s="126">
        <v>45229</v>
      </c>
      <c r="B277" s="100">
        <v>1140.3499999999999</v>
      </c>
      <c r="C277" s="99">
        <f t="shared" si="34"/>
        <v>7.6878893650862423E-3</v>
      </c>
      <c r="D277" s="100">
        <v>19140.900000000001</v>
      </c>
      <c r="E277" s="99">
        <f t="shared" si="35"/>
        <v>4.9167202614550654E-3</v>
      </c>
      <c r="F277" s="100">
        <v>14738.5</v>
      </c>
      <c r="G277" s="99">
        <f t="shared" si="33"/>
        <v>-6.1030634053669264E-3</v>
      </c>
    </row>
    <row r="278" spans="1:7">
      <c r="A278" s="126">
        <v>45226</v>
      </c>
      <c r="B278" s="100">
        <v>1131.6500000000001</v>
      </c>
      <c r="C278" s="99">
        <f t="shared" si="34"/>
        <v>-8.7158374211631084E-3</v>
      </c>
      <c r="D278" s="100">
        <v>19047.25</v>
      </c>
      <c r="E278" s="99">
        <f t="shared" si="35"/>
        <v>1.0075700327460302E-2</v>
      </c>
      <c r="F278" s="100">
        <v>14648.55</v>
      </c>
      <c r="G278" s="99">
        <f t="shared" si="33"/>
        <v>1.0349147185216401E-2</v>
      </c>
    </row>
    <row r="279" spans="1:7">
      <c r="A279" s="126">
        <v>45225</v>
      </c>
      <c r="B279" s="100">
        <v>1141.5999999999999</v>
      </c>
      <c r="C279" s="99">
        <f t="shared" si="34"/>
        <v>-1.8361458424412946E-3</v>
      </c>
      <c r="D279" s="100">
        <v>18857.25</v>
      </c>
      <c r="E279" s="99">
        <f t="shared" si="35"/>
        <v>-1.3853044767455636E-2</v>
      </c>
      <c r="F279" s="100">
        <v>14800.15</v>
      </c>
      <c r="G279" s="99">
        <f t="shared" si="33"/>
        <v>7.5337074286410122E-3</v>
      </c>
    </row>
    <row r="280" spans="1:7">
      <c r="A280" s="126">
        <v>45224</v>
      </c>
      <c r="B280" s="100">
        <v>1143.7</v>
      </c>
      <c r="C280" s="99">
        <f t="shared" si="34"/>
        <v>-2.0804794520547953E-2</v>
      </c>
      <c r="D280" s="100">
        <v>19122.150000000001</v>
      </c>
      <c r="E280" s="99">
        <f t="shared" si="35"/>
        <v>-8.2772569917148875E-3</v>
      </c>
      <c r="F280" s="100">
        <v>14911.65</v>
      </c>
      <c r="G280" s="99">
        <f t="shared" si="33"/>
        <v>1.3110554499334404E-2</v>
      </c>
    </row>
    <row r="281" spans="1:7">
      <c r="A281" s="126">
        <v>45222</v>
      </c>
      <c r="B281" s="100">
        <v>1168</v>
      </c>
      <c r="C281" s="99">
        <f t="shared" si="34"/>
        <v>-9.8758106217946562E-3</v>
      </c>
      <c r="D281" s="100">
        <v>19281.75</v>
      </c>
      <c r="E281" s="99">
        <f t="shared" si="35"/>
        <v>-1.3350287704072983E-2</v>
      </c>
      <c r="F281" s="100">
        <v>15107.15</v>
      </c>
      <c r="G281" s="99">
        <f t="shared" si="33"/>
        <v>1.1004722929208954E-2</v>
      </c>
    </row>
    <row r="282" spans="1:7">
      <c r="A282" s="126">
        <v>45219</v>
      </c>
      <c r="B282" s="100">
        <v>1179.6500000000001</v>
      </c>
      <c r="C282" s="99">
        <f t="shared" si="34"/>
        <v>-1.6958333333333298E-2</v>
      </c>
      <c r="D282" s="100">
        <v>19542.650000000001</v>
      </c>
      <c r="E282" s="99">
        <f t="shared" si="35"/>
        <v>-4.1809556324428065E-3</v>
      </c>
      <c r="F282" s="100">
        <v>15273.4</v>
      </c>
      <c r="G282" s="99">
        <f t="shared" si="33"/>
        <v>3.7909044482564713E-3</v>
      </c>
    </row>
    <row r="283" spans="1:7">
      <c r="A283" s="126">
        <v>45218</v>
      </c>
      <c r="B283" s="100">
        <v>1200</v>
      </c>
      <c r="C283" s="99">
        <f t="shared" si="34"/>
        <v>7.5143780697703999E-3</v>
      </c>
      <c r="D283" s="100">
        <v>19624.7</v>
      </c>
      <c r="E283" s="99">
        <f t="shared" si="35"/>
        <v>-2.358790306591807E-3</v>
      </c>
      <c r="F283" s="100">
        <v>15331.3</v>
      </c>
      <c r="G283" s="99">
        <f t="shared" si="33"/>
        <v>-7.7847279747965681E-3</v>
      </c>
    </row>
    <row r="284" spans="1:7">
      <c r="A284" s="126">
        <v>45217</v>
      </c>
      <c r="B284" s="100">
        <v>1191.05</v>
      </c>
      <c r="C284" s="99">
        <f t="shared" si="34"/>
        <v>-5.5107919676032902E-3</v>
      </c>
      <c r="D284" s="100">
        <v>19671.099999999999</v>
      </c>
      <c r="E284" s="99">
        <f t="shared" si="35"/>
        <v>-7.0867930242536348E-3</v>
      </c>
      <c r="F284" s="100">
        <v>15211.95</v>
      </c>
      <c r="G284" s="99">
        <f t="shared" si="33"/>
        <v>-3.102823766841234E-3</v>
      </c>
    </row>
    <row r="285" spans="1:7">
      <c r="A285" s="126">
        <v>45216</v>
      </c>
      <c r="B285" s="100">
        <v>1197.6500000000001</v>
      </c>
      <c r="C285" s="99">
        <f t="shared" si="34"/>
        <v>-5.4243511641483E-4</v>
      </c>
      <c r="D285" s="100">
        <v>19811.5</v>
      </c>
      <c r="E285" s="99">
        <f t="shared" si="35"/>
        <v>4.0417094276989918E-3</v>
      </c>
      <c r="F285" s="100">
        <v>15164.75</v>
      </c>
      <c r="G285" s="99">
        <f t="shared" si="33"/>
        <v>4.6357506717882302E-3</v>
      </c>
    </row>
    <row r="286" spans="1:7">
      <c r="A286" s="126">
        <v>45215</v>
      </c>
      <c r="B286" s="100">
        <v>1198.3</v>
      </c>
      <c r="C286" s="99">
        <f t="shared" si="34"/>
        <v>8.7549457025000166E-3</v>
      </c>
      <c r="D286" s="100">
        <v>19731.75</v>
      </c>
      <c r="E286" s="99">
        <f t="shared" si="35"/>
        <v>-9.7716323942265149E-4</v>
      </c>
      <c r="F286" s="100">
        <v>15235.05</v>
      </c>
      <c r="G286" s="99">
        <f t="shared" si="33"/>
        <v>-3.2064220334031557E-3</v>
      </c>
    </row>
    <row r="287" spans="1:7">
      <c r="A287" s="126">
        <v>45212</v>
      </c>
      <c r="B287" s="100">
        <v>1187.9000000000001</v>
      </c>
      <c r="C287" s="99">
        <f t="shared" si="34"/>
        <v>1.2831990450612007E-2</v>
      </c>
      <c r="D287" s="100">
        <v>19751.05</v>
      </c>
      <c r="E287" s="99">
        <f t="shared" si="35"/>
        <v>-2.1698494493280762E-3</v>
      </c>
      <c r="F287" s="100">
        <v>15186.2</v>
      </c>
      <c r="G287" s="99">
        <f t="shared" si="33"/>
        <v>-6.3215287563711531E-4</v>
      </c>
    </row>
    <row r="288" spans="1:7">
      <c r="A288" s="126">
        <v>45211</v>
      </c>
      <c r="B288" s="100">
        <v>1172.8499999999999</v>
      </c>
      <c r="C288" s="99">
        <f t="shared" si="34"/>
        <v>1.1208345906798201E-2</v>
      </c>
      <c r="D288" s="100">
        <v>19794</v>
      </c>
      <c r="E288" s="99">
        <f t="shared" si="35"/>
        <v>-8.7576061197236488E-4</v>
      </c>
      <c r="F288" s="100">
        <v>15176.6</v>
      </c>
      <c r="G288" s="99">
        <f t="shared" si="33"/>
        <v>-4.6057746794406773E-3</v>
      </c>
    </row>
    <row r="289" spans="1:7">
      <c r="A289" s="126">
        <v>45210</v>
      </c>
      <c r="B289" s="100">
        <v>1159.8499999999999</v>
      </c>
      <c r="C289" s="99">
        <f t="shared" si="34"/>
        <v>3.8080401575142364E-3</v>
      </c>
      <c r="D289" s="100">
        <v>19811.349999999999</v>
      </c>
      <c r="E289" s="99">
        <f t="shared" si="35"/>
        <v>6.1706920062876147E-3</v>
      </c>
      <c r="F289" s="100">
        <v>15106.7</v>
      </c>
      <c r="G289" s="99">
        <f t="shared" si="33"/>
        <v>-1.8865801266987337E-4</v>
      </c>
    </row>
    <row r="290" spans="1:7">
      <c r="A290" s="126">
        <v>45209</v>
      </c>
      <c r="B290" s="100">
        <v>1155.45</v>
      </c>
      <c r="C290" s="99">
        <f t="shared" si="34"/>
        <v>5.2198877724130011E-3</v>
      </c>
      <c r="D290" s="100">
        <v>19689.849999999999</v>
      </c>
      <c r="E290" s="99">
        <f t="shared" si="35"/>
        <v>9.096802794127834E-3</v>
      </c>
      <c r="F290" s="100">
        <v>15103.85</v>
      </c>
      <c r="G290" s="99">
        <f t="shared" si="33"/>
        <v>1.6287238022094641E-3</v>
      </c>
    </row>
    <row r="291" spans="1:7">
      <c r="A291" s="126">
        <v>45208</v>
      </c>
      <c r="B291" s="100">
        <v>1149.45</v>
      </c>
      <c r="C291" s="99">
        <f t="shared" si="34"/>
        <v>-4.8482749664515712E-3</v>
      </c>
      <c r="D291" s="100">
        <v>19512.349999999999</v>
      </c>
      <c r="E291" s="99">
        <f t="shared" si="35"/>
        <v>-7.1819268832524763E-3</v>
      </c>
      <c r="F291" s="100">
        <v>15128.45</v>
      </c>
      <c r="G291" s="99">
        <f t="shared" si="33"/>
        <v>-7.0760719042599618E-3</v>
      </c>
    </row>
    <row r="292" spans="1:7">
      <c r="A292" s="126">
        <v>45205</v>
      </c>
      <c r="B292" s="100">
        <v>1155.05</v>
      </c>
      <c r="C292" s="99">
        <f t="shared" si="34"/>
        <v>5.090497737556543E-3</v>
      </c>
      <c r="D292" s="100">
        <v>19653.5</v>
      </c>
      <c r="E292" s="99">
        <f t="shared" si="35"/>
        <v>5.5127073660514725E-3</v>
      </c>
      <c r="F292" s="100">
        <v>15021.4</v>
      </c>
      <c r="G292" s="99">
        <f t="shared" si="33"/>
        <v>3.0456548657249449E-3</v>
      </c>
    </row>
    <row r="293" spans="1:7">
      <c r="A293" s="126">
        <v>45204</v>
      </c>
      <c r="B293" s="100">
        <v>1149.2</v>
      </c>
      <c r="C293" s="99">
        <f t="shared" si="34"/>
        <v>-1.9973947025618832E-3</v>
      </c>
      <c r="D293" s="100">
        <v>19545.75</v>
      </c>
      <c r="E293" s="99">
        <f t="shared" si="35"/>
        <v>5.6415638939910639E-3</v>
      </c>
      <c r="F293" s="100">
        <v>15067.15</v>
      </c>
      <c r="G293" s="99">
        <f t="shared" si="33"/>
        <v>1.4213039625941226E-2</v>
      </c>
    </row>
    <row r="294" spans="1:7">
      <c r="A294" s="126">
        <v>45203</v>
      </c>
      <c r="B294" s="100">
        <v>1151.5</v>
      </c>
      <c r="C294" s="99">
        <f t="shared" si="34"/>
        <v>-1.9332311360926613E-2</v>
      </c>
      <c r="D294" s="100">
        <v>19436.099999999999</v>
      </c>
      <c r="E294" s="99">
        <f t="shared" si="35"/>
        <v>-4.7442872687705195E-3</v>
      </c>
      <c r="F294" s="100">
        <v>15281.3</v>
      </c>
      <c r="G294" s="99">
        <f t="shared" si="33"/>
        <v>9.2564114309647838E-3</v>
      </c>
    </row>
    <row r="295" spans="1:7">
      <c r="A295" s="126">
        <v>45202</v>
      </c>
      <c r="B295" s="100">
        <v>1174.2</v>
      </c>
      <c r="C295" s="99">
        <f t="shared" si="34"/>
        <v>2.5186766275346884E-3</v>
      </c>
      <c r="D295" s="100">
        <v>19528.75</v>
      </c>
      <c r="E295" s="99">
        <f t="shared" si="35"/>
        <v>-5.5783850944327584E-3</v>
      </c>
      <c r="F295" s="100">
        <v>15422.75</v>
      </c>
      <c r="G295" s="99">
        <f t="shared" si="33"/>
        <v>-2.5909776142387098E-2</v>
      </c>
    </row>
    <row r="296" spans="1:7">
      <c r="A296" s="126">
        <v>45198</v>
      </c>
      <c r="B296" s="100">
        <v>1171.25</v>
      </c>
      <c r="C296" s="99">
        <f t="shared" si="34"/>
        <v>3.3714310930673896E-2</v>
      </c>
      <c r="D296" s="100">
        <v>19638.3</v>
      </c>
      <c r="E296" s="99">
        <f t="shared" si="35"/>
        <v>5.8775171523621772E-3</v>
      </c>
      <c r="F296" s="100">
        <v>15023.15</v>
      </c>
      <c r="G296" s="99">
        <f t="shared" si="33"/>
        <v>9.0959618988029067E-3</v>
      </c>
    </row>
    <row r="297" spans="1:7">
      <c r="A297" s="126">
        <v>45197</v>
      </c>
      <c r="B297" s="100">
        <v>1133.05</v>
      </c>
      <c r="C297" s="99">
        <f t="shared" si="34"/>
        <v>6.1818342385300262E-4</v>
      </c>
      <c r="D297" s="100">
        <v>19523.55</v>
      </c>
      <c r="E297" s="99">
        <f t="shared" si="35"/>
        <v>-9.7837085276508695E-3</v>
      </c>
      <c r="F297" s="100">
        <v>15159.8</v>
      </c>
      <c r="G297" s="99">
        <f t="shared" si="33"/>
        <v>-1.1751474293856146E-2</v>
      </c>
    </row>
    <row r="298" spans="1:7">
      <c r="A298" s="126">
        <v>45196</v>
      </c>
      <c r="B298" s="100">
        <v>1132.3499999999999</v>
      </c>
      <c r="C298" s="99">
        <f t="shared" si="34"/>
        <v>1.9629913106118613E-2</v>
      </c>
      <c r="D298" s="100">
        <v>19716.45</v>
      </c>
      <c r="E298" s="99">
        <f t="shared" si="35"/>
        <v>2.6316190941126916E-3</v>
      </c>
      <c r="F298" s="100">
        <v>14981.65</v>
      </c>
      <c r="G298" s="99">
        <f t="shared" si="33"/>
        <v>2.3862525155773362E-3</v>
      </c>
    </row>
    <row r="299" spans="1:7">
      <c r="A299" s="126">
        <v>45195</v>
      </c>
      <c r="B299" s="100">
        <v>1110.55</v>
      </c>
      <c r="C299" s="99">
        <f t="shared" si="34"/>
        <v>0</v>
      </c>
      <c r="D299" s="100">
        <v>19664.7</v>
      </c>
      <c r="E299" s="99">
        <f t="shared" si="35"/>
        <v>-5.0064677464023433E-4</v>
      </c>
      <c r="F299" s="100">
        <v>15017.4</v>
      </c>
      <c r="G299" s="99">
        <f t="shared" si="33"/>
        <v>3.4426731657943854E-3</v>
      </c>
    </row>
    <row r="300" spans="1:7">
      <c r="A300" s="126">
        <v>45194</v>
      </c>
      <c r="B300" s="100">
        <v>1110.55</v>
      </c>
      <c r="C300" s="99">
        <f t="shared" si="34"/>
        <v>1.1936762494874298E-2</v>
      </c>
      <c r="D300" s="100">
        <v>19674.55</v>
      </c>
      <c r="E300" s="99">
        <f t="shared" si="35"/>
        <v>1.5248357624786379E-5</v>
      </c>
      <c r="F300" s="100">
        <v>15069.1</v>
      </c>
      <c r="G300" s="99">
        <f t="shared" si="33"/>
        <v>1.5767365005209255E-2</v>
      </c>
    </row>
    <row r="301" spans="1:7">
      <c r="A301" s="126">
        <v>45191</v>
      </c>
      <c r="B301" s="100">
        <v>1097.45</v>
      </c>
      <c r="C301" s="99">
        <f t="shared" si="34"/>
        <v>-2.6479198083917299E-2</v>
      </c>
      <c r="D301" s="100">
        <v>19674.25</v>
      </c>
      <c r="E301" s="99">
        <f t="shared" si="35"/>
        <v>-3.4494373770092013E-3</v>
      </c>
      <c r="F301" s="100">
        <v>15306.7</v>
      </c>
      <c r="G301" s="99">
        <f t="shared" si="33"/>
        <v>1.0028288265922836E-2</v>
      </c>
    </row>
    <row r="302" spans="1:7">
      <c r="A302" s="126">
        <v>45190</v>
      </c>
      <c r="B302" s="100">
        <v>1127.3</v>
      </c>
      <c r="C302" s="99">
        <f t="shared" si="34"/>
        <v>-1.9355399939106621E-2</v>
      </c>
      <c r="D302" s="100">
        <v>19742.349999999999</v>
      </c>
      <c r="E302" s="99">
        <f t="shared" si="35"/>
        <v>-7.9919000673320806E-3</v>
      </c>
      <c r="F302" s="100">
        <v>15460.2</v>
      </c>
      <c r="G302" s="99">
        <f t="shared" si="33"/>
        <v>2.7975058537406117E-3</v>
      </c>
    </row>
    <row r="303" spans="1:7">
      <c r="A303" s="126">
        <v>45189</v>
      </c>
      <c r="B303" s="100">
        <v>1149.55</v>
      </c>
      <c r="C303" s="99">
        <f t="shared" si="34"/>
        <v>8.7753937957966155E-3</v>
      </c>
      <c r="D303" s="100">
        <v>19901.400000000001</v>
      </c>
      <c r="E303" s="99">
        <f t="shared" si="35"/>
        <v>-1.1518230990448575E-2</v>
      </c>
      <c r="F303" s="100">
        <v>15503.45</v>
      </c>
      <c r="G303" s="99">
        <f t="shared" si="33"/>
        <v>5.1665919521137749E-3</v>
      </c>
    </row>
    <row r="304" spans="1:7">
      <c r="A304" s="126">
        <v>45187</v>
      </c>
      <c r="B304" s="100">
        <v>1139.55</v>
      </c>
      <c r="C304" s="99">
        <f t="shared" si="34"/>
        <v>-9.6897540627445267E-3</v>
      </c>
      <c r="D304" s="100">
        <v>20133.3</v>
      </c>
      <c r="E304" s="99">
        <f t="shared" si="35"/>
        <v>-2.9243748251194246E-3</v>
      </c>
      <c r="F304" s="100">
        <v>15583.55</v>
      </c>
      <c r="G304" s="99">
        <f t="shared" si="33"/>
        <v>-6.0480442517911737E-3</v>
      </c>
    </row>
    <row r="305" spans="1:7">
      <c r="A305" s="126">
        <v>45184</v>
      </c>
      <c r="B305" s="100">
        <v>1150.7</v>
      </c>
      <c r="C305" s="99">
        <f t="shared" si="34"/>
        <v>-4.2833037684419928E-3</v>
      </c>
      <c r="D305" s="100">
        <v>20192.349999999999</v>
      </c>
      <c r="E305" s="99">
        <f t="shared" si="35"/>
        <v>4.4396137909079592E-3</v>
      </c>
      <c r="F305" s="100">
        <v>15489.3</v>
      </c>
      <c r="G305" s="99">
        <f t="shared" si="33"/>
        <v>-2.605024113420118E-3</v>
      </c>
    </row>
    <row r="306" spans="1:7">
      <c r="A306" s="126">
        <v>45183</v>
      </c>
      <c r="B306" s="100">
        <v>1155.6500000000001</v>
      </c>
      <c r="C306" s="99">
        <f t="shared" si="34"/>
        <v>8.8607594936709333E-3</v>
      </c>
      <c r="D306" s="100">
        <v>20103.099999999999</v>
      </c>
      <c r="E306" s="99">
        <f t="shared" si="35"/>
        <v>1.6492277030393243E-3</v>
      </c>
      <c r="F306" s="100">
        <v>15448.95</v>
      </c>
      <c r="G306" s="99">
        <f t="shared" si="33"/>
        <v>-7.7869369762993967E-3</v>
      </c>
    </row>
    <row r="307" spans="1:7">
      <c r="A307" s="126">
        <v>45182</v>
      </c>
      <c r="B307" s="100">
        <v>1145.5</v>
      </c>
      <c r="C307" s="99">
        <f t="shared" si="34"/>
        <v>6.1926303307127117E-3</v>
      </c>
      <c r="D307" s="100">
        <v>20070</v>
      </c>
      <c r="E307" s="99">
        <f t="shared" si="35"/>
        <v>3.8413060440549707E-3</v>
      </c>
      <c r="F307" s="100">
        <v>15328.65</v>
      </c>
      <c r="G307" s="99">
        <f t="shared" si="33"/>
        <v>-1.2199378288367813E-3</v>
      </c>
    </row>
    <row r="308" spans="1:7">
      <c r="A308" s="126">
        <v>45181</v>
      </c>
      <c r="B308" s="100">
        <v>1138.45</v>
      </c>
      <c r="C308" s="99">
        <f t="shared" si="34"/>
        <v>1.0608078118064856E-2</v>
      </c>
      <c r="D308" s="100">
        <v>19993.2</v>
      </c>
      <c r="E308" s="99">
        <f t="shared" si="35"/>
        <v>-1.5752874899654934E-4</v>
      </c>
      <c r="F308" s="100">
        <v>15309.95</v>
      </c>
      <c r="G308" s="99">
        <f t="shared" si="33"/>
        <v>-3.8798297838987805E-3</v>
      </c>
    </row>
    <row r="309" spans="1:7">
      <c r="A309" s="126">
        <v>45180</v>
      </c>
      <c r="B309" s="100">
        <v>1126.5</v>
      </c>
      <c r="C309" s="99">
        <f t="shared" si="34"/>
        <v>-1.8607123870281184E-3</v>
      </c>
      <c r="D309" s="100">
        <v>19996.349999999999</v>
      </c>
      <c r="E309" s="99">
        <f t="shared" si="35"/>
        <v>8.9001233605532359E-3</v>
      </c>
      <c r="F309" s="100">
        <v>15250.55</v>
      </c>
      <c r="G309" s="99">
        <f t="shared" si="33"/>
        <v>3.6457701525518527E-3</v>
      </c>
    </row>
    <row r="310" spans="1:7">
      <c r="A310" s="126">
        <v>45177</v>
      </c>
      <c r="B310" s="100">
        <v>1128.5999999999999</v>
      </c>
      <c r="C310" s="99">
        <f t="shared" si="34"/>
        <v>-6.6889632107024477E-3</v>
      </c>
      <c r="D310" s="100">
        <v>19819.95</v>
      </c>
      <c r="E310" s="99">
        <f t="shared" si="35"/>
        <v>4.7092697590365162E-3</v>
      </c>
      <c r="F310" s="100">
        <v>15306.15</v>
      </c>
      <c r="G310" s="99">
        <f t="shared" si="33"/>
        <v>3.211127553303772E-3</v>
      </c>
    </row>
    <row r="311" spans="1:7">
      <c r="A311" s="126">
        <v>45176</v>
      </c>
      <c r="B311" s="100">
        <v>1136.2</v>
      </c>
      <c r="C311" s="99">
        <f t="shared" si="34"/>
        <v>-2.5020850708923348E-3</v>
      </c>
      <c r="D311" s="100">
        <v>19727.05</v>
      </c>
      <c r="E311" s="99">
        <f t="shared" si="35"/>
        <v>5.91503259641879E-3</v>
      </c>
      <c r="F311" s="100">
        <v>15355.3</v>
      </c>
      <c r="G311" s="99">
        <f t="shared" si="33"/>
        <v>-8.9252570773609152E-3</v>
      </c>
    </row>
    <row r="312" spans="1:7">
      <c r="A312" s="126">
        <v>45175</v>
      </c>
      <c r="B312" s="100">
        <v>1139.05</v>
      </c>
      <c r="C312" s="99">
        <f t="shared" si="34"/>
        <v>1.769041769041757E-2</v>
      </c>
      <c r="D312" s="100">
        <v>19611.05</v>
      </c>
      <c r="E312" s="99">
        <f t="shared" si="35"/>
        <v>1.8467527292602703E-3</v>
      </c>
      <c r="F312" s="100">
        <v>15218.25</v>
      </c>
      <c r="G312" s="99">
        <f t="shared" si="33"/>
        <v>-1.0884957205986256E-2</v>
      </c>
    </row>
    <row r="313" spans="1:7">
      <c r="A313" s="126">
        <v>45174</v>
      </c>
      <c r="B313" s="100">
        <v>1119.25</v>
      </c>
      <c r="C313" s="99">
        <f t="shared" si="34"/>
        <v>1.9910698013486439E-2</v>
      </c>
      <c r="D313" s="100">
        <v>19574.900000000001</v>
      </c>
      <c r="E313" s="99">
        <f t="shared" si="35"/>
        <v>2.3606161156857208E-3</v>
      </c>
      <c r="F313" s="100">
        <v>15052.6</v>
      </c>
      <c r="G313" s="99">
        <f t="shared" si="33"/>
        <v>-2.7104951968431878E-3</v>
      </c>
    </row>
    <row r="314" spans="1:7">
      <c r="A314" s="126">
        <v>45173</v>
      </c>
      <c r="B314" s="100">
        <v>1097.4000000000001</v>
      </c>
      <c r="C314" s="99">
        <f t="shared" si="34"/>
        <v>3.2454175618230607E-3</v>
      </c>
      <c r="D314" s="100">
        <v>19528.8</v>
      </c>
      <c r="E314" s="99">
        <f t="shared" si="35"/>
        <v>4.8108338950261231E-3</v>
      </c>
      <c r="F314" s="100">
        <v>15011.8</v>
      </c>
      <c r="G314" s="99">
        <f t="shared" si="33"/>
        <v>5.6022595558160582E-3</v>
      </c>
    </row>
    <row r="315" spans="1:7">
      <c r="A315" s="126">
        <v>45170</v>
      </c>
      <c r="B315" s="100">
        <v>1093.8499999999999</v>
      </c>
      <c r="C315" s="99">
        <f t="shared" si="34"/>
        <v>-3.6434849933961733E-3</v>
      </c>
      <c r="D315" s="100">
        <v>19435.3</v>
      </c>
      <c r="E315" s="99">
        <f t="shared" si="35"/>
        <v>9.4267105714196386E-3</v>
      </c>
      <c r="F315" s="100">
        <v>15095.9</v>
      </c>
      <c r="G315" s="99">
        <f t="shared" si="33"/>
        <v>1.9607973025788095E-3</v>
      </c>
    </row>
    <row r="316" spans="1:7">
      <c r="A316" s="126">
        <v>45169</v>
      </c>
      <c r="B316" s="100">
        <v>1097.8499999999999</v>
      </c>
      <c r="C316" s="99">
        <f t="shared" si="34"/>
        <v>-2.6798691860465684E-3</v>
      </c>
      <c r="D316" s="100">
        <v>19253.8</v>
      </c>
      <c r="E316" s="99">
        <f t="shared" si="35"/>
        <v>-4.840431167931758E-3</v>
      </c>
      <c r="F316" s="100">
        <v>15125.5</v>
      </c>
      <c r="G316" s="99">
        <f t="shared" si="33"/>
        <v>-2.9089947439753239E-4</v>
      </c>
    </row>
    <row r="317" spans="1:7">
      <c r="A317" s="126">
        <v>45168</v>
      </c>
      <c r="B317" s="100">
        <v>1100.8</v>
      </c>
      <c r="C317" s="99">
        <f t="shared" si="34"/>
        <v>2.824086726792352E-3</v>
      </c>
      <c r="D317" s="100">
        <v>19347.45</v>
      </c>
      <c r="E317" s="99">
        <f t="shared" si="35"/>
        <v>2.4815627641494586E-4</v>
      </c>
      <c r="F317" s="100">
        <v>15121.1</v>
      </c>
      <c r="G317" s="99">
        <f t="shared" si="33"/>
        <v>2.6916031241113192E-3</v>
      </c>
    </row>
    <row r="318" spans="1:7">
      <c r="A318" s="126">
        <v>45167</v>
      </c>
      <c r="B318" s="100">
        <v>1097.7</v>
      </c>
      <c r="C318" s="99">
        <f t="shared" si="34"/>
        <v>-9.2960288808663361E-3</v>
      </c>
      <c r="D318" s="100">
        <v>19342.650000000001</v>
      </c>
      <c r="E318" s="99">
        <f t="shared" si="35"/>
        <v>1.8957787843707496E-3</v>
      </c>
      <c r="F318" s="100">
        <v>15161.8</v>
      </c>
      <c r="G318" s="99">
        <f t="shared" si="33"/>
        <v>-9.0094843620149856E-3</v>
      </c>
    </row>
    <row r="319" spans="1:7">
      <c r="A319" s="126">
        <v>45166</v>
      </c>
      <c r="B319" s="100">
        <v>1108</v>
      </c>
      <c r="C319" s="99">
        <f t="shared" si="34"/>
        <v>2.8210838901262081E-2</v>
      </c>
      <c r="D319" s="100">
        <v>19306.05</v>
      </c>
      <c r="E319" s="99">
        <f t="shared" si="35"/>
        <v>2.0891943236200916E-3</v>
      </c>
      <c r="F319" s="100">
        <v>15025.2</v>
      </c>
      <c r="G319" s="99">
        <f t="shared" si="33"/>
        <v>1.1177887815137177E-2</v>
      </c>
    </row>
    <row r="320" spans="1:7">
      <c r="A320" s="126">
        <v>45163</v>
      </c>
      <c r="B320" s="100">
        <v>1077.5999999999999</v>
      </c>
      <c r="C320" s="99">
        <f t="shared" si="34"/>
        <v>-1.0922441486920675E-2</v>
      </c>
      <c r="D320" s="100">
        <v>19265.8</v>
      </c>
      <c r="E320" s="99">
        <f t="shared" si="35"/>
        <v>-6.2362341192674364E-3</v>
      </c>
      <c r="F320" s="100">
        <v>15193.15</v>
      </c>
      <c r="G320" s="99">
        <f t="shared" si="33"/>
        <v>5.8809397656180984E-3</v>
      </c>
    </row>
    <row r="321" spans="1:7">
      <c r="A321" s="126">
        <v>45162</v>
      </c>
      <c r="B321" s="100">
        <v>1089.5</v>
      </c>
      <c r="C321" s="99">
        <f t="shared" si="34"/>
        <v>-4.2043688876701735E-3</v>
      </c>
      <c r="D321" s="100">
        <v>19386.7</v>
      </c>
      <c r="E321" s="99">
        <f t="shared" si="35"/>
        <v>-2.9469245011314316E-3</v>
      </c>
      <c r="F321" s="100">
        <v>15282.5</v>
      </c>
      <c r="G321" s="99">
        <f t="shared" si="33"/>
        <v>1.3152298380501026E-3</v>
      </c>
    </row>
    <row r="322" spans="1:7">
      <c r="A322" s="126">
        <v>45161</v>
      </c>
      <c r="B322" s="100">
        <v>1094.0999999999999</v>
      </c>
      <c r="C322" s="99">
        <f t="shared" si="34"/>
        <v>2.7495188342039345E-3</v>
      </c>
      <c r="D322" s="100">
        <v>19444</v>
      </c>
      <c r="E322" s="99">
        <f t="shared" si="35"/>
        <v>2.4514795233148146E-3</v>
      </c>
      <c r="F322" s="100">
        <v>15302.6</v>
      </c>
      <c r="G322" s="99">
        <f t="shared" si="33"/>
        <v>2.0094624442905662E-3</v>
      </c>
    </row>
    <row r="323" spans="1:7">
      <c r="A323" s="126">
        <v>45160</v>
      </c>
      <c r="B323" s="100">
        <v>1091.0999999999999</v>
      </c>
      <c r="C323" s="99">
        <f t="shared" si="34"/>
        <v>4.3724398214204374E-3</v>
      </c>
      <c r="D323" s="100">
        <v>19396.45</v>
      </c>
      <c r="E323" s="99">
        <f t="shared" si="35"/>
        <v>1.4695569672484865E-4</v>
      </c>
      <c r="F323" s="100">
        <v>15333.35</v>
      </c>
      <c r="G323" s="99">
        <f t="shared" si="33"/>
        <v>-4.0336912677269021E-3</v>
      </c>
    </row>
    <row r="324" spans="1:7">
      <c r="A324" s="126">
        <v>45159</v>
      </c>
      <c r="B324" s="100">
        <v>1086.3499999999999</v>
      </c>
      <c r="C324" s="99">
        <f t="shared" si="34"/>
        <v>1.7562757587111344E-2</v>
      </c>
      <c r="D324" s="100">
        <v>19393.599999999999</v>
      </c>
      <c r="E324" s="99">
        <f t="shared" si="35"/>
        <v>4.3215614586109563E-3</v>
      </c>
      <c r="F324" s="100">
        <v>15271.5</v>
      </c>
      <c r="G324" s="99">
        <f t="shared" si="33"/>
        <v>5.6936122843205261E-3</v>
      </c>
    </row>
    <row r="325" spans="1:7">
      <c r="A325" s="126">
        <v>45156</v>
      </c>
      <c r="B325" s="100">
        <v>1067.5999999999999</v>
      </c>
      <c r="C325" s="99">
        <f t="shared" si="34"/>
        <v>-2.2433843054665337E-2</v>
      </c>
      <c r="D325" s="100">
        <v>19310.150000000001</v>
      </c>
      <c r="E325" s="99">
        <f t="shared" si="35"/>
        <v>-2.8453027975366973E-3</v>
      </c>
      <c r="F325" s="100">
        <v>15358.45</v>
      </c>
      <c r="G325" s="99">
        <f t="shared" si="33"/>
        <v>2.6272182414239786E-3</v>
      </c>
    </row>
    <row r="326" spans="1:7">
      <c r="A326" s="126">
        <v>45155</v>
      </c>
      <c r="B326" s="100">
        <v>1092.0999999999999</v>
      </c>
      <c r="C326" s="99">
        <f t="shared" si="34"/>
        <v>-1.8645819292806731E-2</v>
      </c>
      <c r="D326" s="100">
        <v>19365.25</v>
      </c>
      <c r="E326" s="99">
        <f t="shared" si="35"/>
        <v>-5.1245825841254034E-3</v>
      </c>
      <c r="F326" s="100">
        <v>15398.8</v>
      </c>
      <c r="G326" s="99">
        <f t="shared" si="33"/>
        <v>-6.0654076941060175E-3</v>
      </c>
    </row>
    <row r="327" spans="1:7">
      <c r="A327" s="126">
        <v>45154</v>
      </c>
      <c r="B327" s="100">
        <v>1112.8499999999999</v>
      </c>
      <c r="C327" s="99">
        <f t="shared" si="34"/>
        <v>2.8512014787430706E-2</v>
      </c>
      <c r="D327" s="100">
        <v>19465</v>
      </c>
      <c r="E327" s="99">
        <f t="shared" si="35"/>
        <v>1.5667972759854099E-3</v>
      </c>
      <c r="F327" s="100">
        <v>15305.4</v>
      </c>
      <c r="G327" s="99">
        <f t="shared" si="33"/>
        <v>3.2733545023324595E-3</v>
      </c>
    </row>
    <row r="328" spans="1:7">
      <c r="A328" s="126">
        <v>45152</v>
      </c>
      <c r="B328" s="100">
        <v>1082</v>
      </c>
      <c r="C328" s="99">
        <f t="shared" si="34"/>
        <v>4.7358157674806112E-3</v>
      </c>
      <c r="D328" s="100">
        <v>19434.55</v>
      </c>
      <c r="E328" s="99">
        <f t="shared" si="35"/>
        <v>3.2169567074835648E-4</v>
      </c>
      <c r="F328" s="100">
        <v>15355.5</v>
      </c>
      <c r="G328" s="99">
        <f t="shared" si="33"/>
        <v>1.466575494122635E-2</v>
      </c>
    </row>
    <row r="329" spans="1:7">
      <c r="A329" s="126">
        <v>45149</v>
      </c>
      <c r="B329" s="100">
        <v>1076.9000000000001</v>
      </c>
      <c r="C329" s="99">
        <f t="shared" si="34"/>
        <v>-7.7855069793152376E-3</v>
      </c>
      <c r="D329" s="100">
        <v>19428.3</v>
      </c>
      <c r="E329" s="99">
        <f t="shared" si="35"/>
        <v>-5.8741960077981492E-3</v>
      </c>
      <c r="F329" s="100">
        <v>15580.7</v>
      </c>
      <c r="G329" s="99">
        <f t="shared" ref="G329:G392" si="36">F330/F329-1</f>
        <v>7.4547356665617404E-3</v>
      </c>
    </row>
    <row r="330" spans="1:7">
      <c r="A330" s="126">
        <v>45148</v>
      </c>
      <c r="B330" s="100">
        <v>1085.3499999999999</v>
      </c>
      <c r="C330" s="99">
        <f t="shared" ref="C330:C393" si="37">B330/B331-1</f>
        <v>-1.2824594115239507E-2</v>
      </c>
      <c r="D330" s="100">
        <v>19543.099999999999</v>
      </c>
      <c r="E330" s="99">
        <f t="shared" ref="E330:E393" si="38">D330/D331-1</f>
        <v>-4.5562089489139534E-3</v>
      </c>
      <c r="F330" s="100">
        <v>15696.85</v>
      </c>
      <c r="G330" s="99">
        <f t="shared" si="36"/>
        <v>-7.5397293087466899E-3</v>
      </c>
    </row>
    <row r="331" spans="1:7">
      <c r="A331" s="126">
        <v>45147</v>
      </c>
      <c r="B331" s="100">
        <v>1099.45</v>
      </c>
      <c r="C331" s="99">
        <f t="shared" si="37"/>
        <v>1.4533542493309959E-2</v>
      </c>
      <c r="D331" s="100">
        <v>19632.55</v>
      </c>
      <c r="E331" s="99">
        <f t="shared" si="38"/>
        <v>3.152647943242215E-3</v>
      </c>
      <c r="F331" s="100">
        <v>15578.5</v>
      </c>
      <c r="G331" s="99">
        <f t="shared" si="36"/>
        <v>-6.3709599768911884E-3</v>
      </c>
    </row>
    <row r="332" spans="1:7">
      <c r="A332" s="126">
        <v>45146</v>
      </c>
      <c r="B332" s="100">
        <v>1083.7</v>
      </c>
      <c r="C332" s="99">
        <f t="shared" si="37"/>
        <v>2.3585996392729847E-3</v>
      </c>
      <c r="D332" s="100">
        <v>19570.849999999999</v>
      </c>
      <c r="E332" s="99">
        <f t="shared" si="38"/>
        <v>-1.3496757206350463E-3</v>
      </c>
      <c r="F332" s="100">
        <v>15479.25</v>
      </c>
      <c r="G332" s="99">
        <f t="shared" si="36"/>
        <v>-1.539157258911128E-2</v>
      </c>
    </row>
    <row r="333" spans="1:7">
      <c r="A333" s="126">
        <v>45145</v>
      </c>
      <c r="B333" s="100">
        <v>1081.1500000000001</v>
      </c>
      <c r="C333" s="99">
        <f t="shared" si="37"/>
        <v>1.6118421052631726E-2</v>
      </c>
      <c r="D333" s="100">
        <v>19597.3</v>
      </c>
      <c r="E333" s="99">
        <f t="shared" si="38"/>
        <v>4.1143618383971958E-3</v>
      </c>
      <c r="F333" s="100">
        <v>15241</v>
      </c>
      <c r="G333" s="99">
        <f t="shared" si="36"/>
        <v>-9.3038514533166916E-3</v>
      </c>
    </row>
    <row r="334" spans="1:7">
      <c r="A334" s="126">
        <v>45142</v>
      </c>
      <c r="B334" s="100">
        <v>1064</v>
      </c>
      <c r="C334" s="99">
        <f t="shared" si="37"/>
        <v>2.7671801806152585E-2</v>
      </c>
      <c r="D334" s="100">
        <v>19517</v>
      </c>
      <c r="E334" s="99">
        <f t="shared" si="38"/>
        <v>6.983409565233023E-3</v>
      </c>
      <c r="F334" s="100">
        <v>15099.2</v>
      </c>
      <c r="G334" s="99">
        <f t="shared" si="36"/>
        <v>-1.0318427466355917E-2</v>
      </c>
    </row>
    <row r="335" spans="1:7">
      <c r="A335" s="126">
        <v>45141</v>
      </c>
      <c r="B335" s="100">
        <v>1035.3499999999999</v>
      </c>
      <c r="C335" s="99">
        <f t="shared" si="37"/>
        <v>4.0971244721496047E-2</v>
      </c>
      <c r="D335" s="100">
        <v>19381.650000000001</v>
      </c>
      <c r="E335" s="99">
        <f t="shared" si="38"/>
        <v>-7.4206657089961325E-3</v>
      </c>
      <c r="F335" s="100">
        <v>14943.4</v>
      </c>
      <c r="G335" s="99">
        <f t="shared" si="36"/>
        <v>3.8746202336816804E-3</v>
      </c>
    </row>
    <row r="336" spans="1:7">
      <c r="A336" s="126">
        <v>45140</v>
      </c>
      <c r="B336" s="100">
        <v>994.6</v>
      </c>
      <c r="C336" s="99">
        <f t="shared" si="37"/>
        <v>6.4764217769681665E-3</v>
      </c>
      <c r="D336" s="100">
        <v>19526.55</v>
      </c>
      <c r="E336" s="99">
        <f t="shared" si="38"/>
        <v>-1.0489749690248296E-2</v>
      </c>
      <c r="F336" s="100">
        <v>15001.3</v>
      </c>
      <c r="G336" s="99">
        <f t="shared" si="36"/>
        <v>-6.0994713791473476E-4</v>
      </c>
    </row>
    <row r="337" spans="1:7">
      <c r="A337" s="126">
        <v>45139</v>
      </c>
      <c r="B337" s="100">
        <v>988.2</v>
      </c>
      <c r="C337" s="99">
        <f t="shared" si="37"/>
        <v>2.7906032776903178E-3</v>
      </c>
      <c r="D337" s="100">
        <v>19733.55</v>
      </c>
      <c r="E337" s="99">
        <f t="shared" si="38"/>
        <v>-1.0251192175683155E-3</v>
      </c>
      <c r="F337" s="100">
        <v>14992.15</v>
      </c>
      <c r="G337" s="99">
        <f t="shared" si="36"/>
        <v>-1.9743665851795766E-3</v>
      </c>
    </row>
    <row r="338" spans="1:7">
      <c r="A338" s="126">
        <v>45138</v>
      </c>
      <c r="B338" s="100">
        <v>985.45</v>
      </c>
      <c r="C338" s="99">
        <f t="shared" si="37"/>
        <v>1.1755646817248611E-2</v>
      </c>
      <c r="D338" s="100">
        <v>19753.8</v>
      </c>
      <c r="E338" s="99">
        <f t="shared" si="38"/>
        <v>5.4845630546598301E-3</v>
      </c>
      <c r="F338" s="100">
        <v>14962.55</v>
      </c>
      <c r="G338" s="99">
        <f t="shared" si="36"/>
        <v>-2.8471082803398495E-3</v>
      </c>
    </row>
    <row r="339" spans="1:7">
      <c r="A339" s="126">
        <v>45135</v>
      </c>
      <c r="B339" s="100">
        <v>974</v>
      </c>
      <c r="C339" s="99">
        <f t="shared" si="37"/>
        <v>-5.8181075839542906E-3</v>
      </c>
      <c r="D339" s="100">
        <v>19646.05</v>
      </c>
      <c r="E339" s="99">
        <f t="shared" si="38"/>
        <v>-7.044796769059003E-4</v>
      </c>
      <c r="F339" s="100">
        <v>14919.95</v>
      </c>
      <c r="G339" s="99">
        <f t="shared" si="36"/>
        <v>-2.9597954416737293E-2</v>
      </c>
    </row>
    <row r="340" spans="1:7">
      <c r="A340" s="126">
        <v>45134</v>
      </c>
      <c r="B340" s="100">
        <v>979.7</v>
      </c>
      <c r="C340" s="99">
        <f t="shared" si="37"/>
        <v>4.0684087529211821E-2</v>
      </c>
      <c r="D340" s="100">
        <v>19659.900000000001</v>
      </c>
      <c r="E340" s="99">
        <f t="shared" si="38"/>
        <v>-5.9863587871554769E-3</v>
      </c>
      <c r="F340" s="100">
        <v>14478.35</v>
      </c>
      <c r="G340" s="99">
        <f t="shared" si="36"/>
        <v>-6.5684280321998134E-3</v>
      </c>
    </row>
    <row r="341" spans="1:7">
      <c r="A341" s="126">
        <v>45133</v>
      </c>
      <c r="B341" s="100">
        <v>941.4</v>
      </c>
      <c r="C341" s="99">
        <f t="shared" si="37"/>
        <v>4.0529010238907759E-3</v>
      </c>
      <c r="D341" s="100">
        <v>19778.3</v>
      </c>
      <c r="E341" s="99">
        <f t="shared" si="38"/>
        <v>4.9642795443227694E-3</v>
      </c>
      <c r="F341" s="100">
        <v>14383.25</v>
      </c>
      <c r="G341" s="99">
        <f t="shared" si="36"/>
        <v>-3.5596961743695754E-3</v>
      </c>
    </row>
    <row r="342" spans="1:7">
      <c r="A342" s="126">
        <v>45132</v>
      </c>
      <c r="B342" s="100">
        <v>937.6</v>
      </c>
      <c r="C342" s="99">
        <f t="shared" si="37"/>
        <v>8.5397096498729397E-4</v>
      </c>
      <c r="D342" s="100">
        <v>19680.599999999999</v>
      </c>
      <c r="E342" s="99">
        <f t="shared" si="38"/>
        <v>4.1937033450500927E-4</v>
      </c>
      <c r="F342" s="100">
        <v>14332.05</v>
      </c>
      <c r="G342" s="99">
        <f t="shared" si="36"/>
        <v>-4.0503626487486954E-3</v>
      </c>
    </row>
    <row r="343" spans="1:7">
      <c r="A343" s="126">
        <v>45131</v>
      </c>
      <c r="B343" s="100">
        <v>936.8</v>
      </c>
      <c r="C343" s="99">
        <f t="shared" si="37"/>
        <v>1.0675776662738556E-4</v>
      </c>
      <c r="D343" s="100">
        <v>19672.349999999999</v>
      </c>
      <c r="E343" s="99">
        <f t="shared" si="38"/>
        <v>-3.679412509496105E-3</v>
      </c>
      <c r="F343" s="100">
        <v>14274</v>
      </c>
      <c r="G343" s="99">
        <f t="shared" si="36"/>
        <v>1.7549390500208872E-3</v>
      </c>
    </row>
    <row r="344" spans="1:7">
      <c r="A344" s="126">
        <v>45128</v>
      </c>
      <c r="B344" s="100">
        <v>936.7</v>
      </c>
      <c r="C344" s="99">
        <f t="shared" si="37"/>
        <v>-9.9355247859633788E-3</v>
      </c>
      <c r="D344" s="100">
        <v>19745</v>
      </c>
      <c r="E344" s="99">
        <f t="shared" si="38"/>
        <v>-1.1719717805812602E-2</v>
      </c>
      <c r="F344" s="100">
        <v>14299.05</v>
      </c>
      <c r="G344" s="99">
        <f t="shared" si="36"/>
        <v>-1.4438022106363579E-2</v>
      </c>
    </row>
    <row r="345" spans="1:7">
      <c r="A345" s="126">
        <v>45127</v>
      </c>
      <c r="B345" s="100">
        <v>946.1</v>
      </c>
      <c r="C345" s="99">
        <f t="shared" si="37"/>
        <v>1.4312516751541215E-2</v>
      </c>
      <c r="D345" s="100">
        <v>19979.150000000001</v>
      </c>
      <c r="E345" s="99">
        <f t="shared" si="38"/>
        <v>7.3614125844860823E-3</v>
      </c>
      <c r="F345" s="100">
        <v>14092.6</v>
      </c>
      <c r="G345" s="99">
        <f t="shared" si="36"/>
        <v>-5.3538736641925988E-3</v>
      </c>
    </row>
    <row r="346" spans="1:7">
      <c r="A346" s="126">
        <v>45126</v>
      </c>
      <c r="B346" s="100">
        <v>932.75</v>
      </c>
      <c r="C346" s="99">
        <f t="shared" si="37"/>
        <v>-1.2848653568178214E-3</v>
      </c>
      <c r="D346" s="100">
        <v>19833.150000000001</v>
      </c>
      <c r="E346" s="99">
        <f t="shared" si="38"/>
        <v>4.248262592250418E-3</v>
      </c>
      <c r="F346" s="100">
        <v>14017.15</v>
      </c>
      <c r="G346" s="99">
        <f t="shared" si="36"/>
        <v>2.6075200736241921E-3</v>
      </c>
    </row>
    <row r="347" spans="1:7">
      <c r="A347" s="126">
        <v>45125</v>
      </c>
      <c r="B347" s="100">
        <v>933.95</v>
      </c>
      <c r="C347" s="99">
        <f t="shared" si="37"/>
        <v>-4.8159246575329995E-4</v>
      </c>
      <c r="D347" s="100">
        <v>19749.25</v>
      </c>
      <c r="E347" s="99">
        <f t="shared" si="38"/>
        <v>1.9176671427012515E-3</v>
      </c>
      <c r="F347" s="100">
        <v>14053.7</v>
      </c>
      <c r="G347" s="99">
        <f t="shared" si="36"/>
        <v>-7.6883667646243659E-3</v>
      </c>
    </row>
    <row r="348" spans="1:7">
      <c r="A348" s="126">
        <v>45124</v>
      </c>
      <c r="B348" s="100">
        <v>934.4</v>
      </c>
      <c r="C348" s="99">
        <f t="shared" si="37"/>
        <v>3.7058918309254008E-3</v>
      </c>
      <c r="D348" s="100">
        <v>19711.45</v>
      </c>
      <c r="E348" s="99">
        <f t="shared" si="38"/>
        <v>7.5110531830611116E-3</v>
      </c>
      <c r="F348" s="100">
        <v>13945.65</v>
      </c>
      <c r="G348" s="99">
        <f t="shared" si="36"/>
        <v>-4.9549501098908877E-3</v>
      </c>
    </row>
    <row r="349" spans="1:7">
      <c r="A349" s="126">
        <v>45121</v>
      </c>
      <c r="B349" s="100">
        <v>930.95</v>
      </c>
      <c r="C349" s="99">
        <f t="shared" si="37"/>
        <v>2.1488047273710009E-4</v>
      </c>
      <c r="D349" s="100">
        <v>19564.5</v>
      </c>
      <c r="E349" s="99">
        <f t="shared" si="38"/>
        <v>7.7651149314275081E-3</v>
      </c>
      <c r="F349" s="100">
        <v>13876.55</v>
      </c>
      <c r="G349" s="99">
        <f t="shared" si="36"/>
        <v>4.3346509038630909E-3</v>
      </c>
    </row>
    <row r="350" spans="1:7">
      <c r="A350" s="126">
        <v>45120</v>
      </c>
      <c r="B350" s="100">
        <v>930.75</v>
      </c>
      <c r="C350" s="99">
        <f t="shared" si="37"/>
        <v>-1.0366826156299802E-2</v>
      </c>
      <c r="D350" s="100">
        <v>19413.75</v>
      </c>
      <c r="E350" s="99">
        <f t="shared" si="38"/>
        <v>1.5192707500399916E-3</v>
      </c>
      <c r="F350" s="100">
        <v>13936.7</v>
      </c>
      <c r="G350" s="99">
        <f t="shared" si="36"/>
        <v>-2.9633987959847286E-3</v>
      </c>
    </row>
    <row r="351" spans="1:7">
      <c r="A351" s="126">
        <v>45119</v>
      </c>
      <c r="B351" s="100">
        <v>940.5</v>
      </c>
      <c r="C351" s="99">
        <f t="shared" si="37"/>
        <v>2.8768322030190197E-2</v>
      </c>
      <c r="D351" s="100">
        <v>19384.3</v>
      </c>
      <c r="E351" s="99">
        <f t="shared" si="38"/>
        <v>-2.8344496229308902E-3</v>
      </c>
      <c r="F351" s="100">
        <v>13895.4</v>
      </c>
      <c r="G351" s="99">
        <f t="shared" si="36"/>
        <v>-1.0334355254256855E-2</v>
      </c>
    </row>
    <row r="352" spans="1:7">
      <c r="A352" s="126">
        <v>45118</v>
      </c>
      <c r="B352" s="100">
        <v>914.2</v>
      </c>
      <c r="C352" s="99">
        <f t="shared" si="37"/>
        <v>1.4819337292557133E-2</v>
      </c>
      <c r="D352" s="100">
        <v>19439.400000000001</v>
      </c>
      <c r="E352" s="99">
        <f t="shared" si="38"/>
        <v>4.3139301194985435E-3</v>
      </c>
      <c r="F352" s="100">
        <v>13751.8</v>
      </c>
      <c r="G352" s="99">
        <f t="shared" si="36"/>
        <v>1.25074535697145E-3</v>
      </c>
    </row>
    <row r="353" spans="1:7">
      <c r="A353" s="126">
        <v>45117</v>
      </c>
      <c r="B353" s="100">
        <v>900.85</v>
      </c>
      <c r="C353" s="99">
        <f t="shared" si="37"/>
        <v>2.7759271596705659E-4</v>
      </c>
      <c r="D353" s="100">
        <v>19355.900000000001</v>
      </c>
      <c r="E353" s="99">
        <f t="shared" si="38"/>
        <v>1.2466505964268126E-3</v>
      </c>
      <c r="F353" s="100">
        <v>13769</v>
      </c>
      <c r="G353" s="99">
        <f t="shared" si="36"/>
        <v>7.4515215338804008E-3</v>
      </c>
    </row>
    <row r="354" spans="1:7">
      <c r="A354" s="126">
        <v>45114</v>
      </c>
      <c r="B354" s="100">
        <v>900.6</v>
      </c>
      <c r="C354" s="99">
        <f t="shared" si="37"/>
        <v>-5.1916491770682693E-3</v>
      </c>
      <c r="D354" s="100">
        <v>19331.8</v>
      </c>
      <c r="E354" s="99">
        <f t="shared" si="38"/>
        <v>-8.4883547978438223E-3</v>
      </c>
      <c r="F354" s="100">
        <v>13871.6</v>
      </c>
      <c r="G354" s="99">
        <f t="shared" si="36"/>
        <v>-7.1801378355778045E-3</v>
      </c>
    </row>
    <row r="355" spans="1:7">
      <c r="A355" s="126">
        <v>45113</v>
      </c>
      <c r="B355" s="100">
        <v>905.3</v>
      </c>
      <c r="C355" s="99">
        <f t="shared" si="37"/>
        <v>8.9156357962776323E-3</v>
      </c>
      <c r="D355" s="100">
        <v>19497.3</v>
      </c>
      <c r="E355" s="99">
        <f t="shared" si="38"/>
        <v>5.0931773075237885E-3</v>
      </c>
      <c r="F355" s="100">
        <v>13772</v>
      </c>
      <c r="G355" s="99">
        <f t="shared" si="36"/>
        <v>-7.010601219866297E-3</v>
      </c>
    </row>
    <row r="356" spans="1:7">
      <c r="A356" s="126">
        <v>45112</v>
      </c>
      <c r="B356" s="100">
        <v>897.3</v>
      </c>
      <c r="C356" s="99">
        <f t="shared" si="37"/>
        <v>6.6188018846757846E-3</v>
      </c>
      <c r="D356" s="100">
        <v>19398.5</v>
      </c>
      <c r="E356" s="99">
        <f t="shared" si="38"/>
        <v>4.8996853886218439E-4</v>
      </c>
      <c r="F356" s="100">
        <v>13675.45</v>
      </c>
      <c r="G356" s="99">
        <f t="shared" si="36"/>
        <v>-4.4934535975050816E-3</v>
      </c>
    </row>
    <row r="357" spans="1:7">
      <c r="A357" s="126">
        <v>45111</v>
      </c>
      <c r="B357" s="100">
        <v>891.4</v>
      </c>
      <c r="C357" s="99">
        <f t="shared" si="37"/>
        <v>-1.0086293847360039E-3</v>
      </c>
      <c r="D357" s="100">
        <v>19389</v>
      </c>
      <c r="E357" s="99">
        <f t="shared" si="38"/>
        <v>3.4389870902133968E-3</v>
      </c>
      <c r="F357" s="100">
        <v>13614</v>
      </c>
      <c r="G357" s="99">
        <f t="shared" si="36"/>
        <v>1.1275157925664692E-2</v>
      </c>
    </row>
    <row r="358" spans="1:7">
      <c r="A358" s="126">
        <v>45110</v>
      </c>
      <c r="B358" s="100">
        <v>892.3</v>
      </c>
      <c r="C358" s="99">
        <f t="shared" si="37"/>
        <v>-1.1575740792024392E-2</v>
      </c>
      <c r="D358" s="100">
        <v>19322.55</v>
      </c>
      <c r="E358" s="99">
        <f t="shared" si="38"/>
        <v>6.9570927169402275E-3</v>
      </c>
      <c r="F358" s="100">
        <v>13767.5</v>
      </c>
      <c r="G358" s="99">
        <f t="shared" si="36"/>
        <v>-1.0513891410931508E-2</v>
      </c>
    </row>
    <row r="359" spans="1:7">
      <c r="A359" s="126">
        <v>45107</v>
      </c>
      <c r="B359" s="100">
        <v>902.75</v>
      </c>
      <c r="C359" s="99">
        <f t="shared" si="37"/>
        <v>1.4781924460431695E-2</v>
      </c>
      <c r="D359" s="100">
        <v>19189.05</v>
      </c>
      <c r="E359" s="99">
        <f t="shared" si="38"/>
        <v>1.1435212759789426E-2</v>
      </c>
      <c r="F359" s="100">
        <v>13622.75</v>
      </c>
      <c r="G359" s="99">
        <f t="shared" si="36"/>
        <v>-1.4376686058248156E-2</v>
      </c>
    </row>
    <row r="360" spans="1:7">
      <c r="A360" s="126">
        <v>45105</v>
      </c>
      <c r="B360" s="100">
        <v>889.6</v>
      </c>
      <c r="C360" s="99">
        <f t="shared" si="37"/>
        <v>8.9599637064761151E-3</v>
      </c>
      <c r="D360" s="100">
        <v>18972.099999999999</v>
      </c>
      <c r="E360" s="99">
        <f t="shared" si="38"/>
        <v>8.2211145004089659E-3</v>
      </c>
      <c r="F360" s="100">
        <v>13426.9</v>
      </c>
      <c r="G360" s="99">
        <f t="shared" si="36"/>
        <v>-2.8524827026341626E-3</v>
      </c>
    </row>
    <row r="361" spans="1:7">
      <c r="A361" s="126">
        <v>45104</v>
      </c>
      <c r="B361" s="100">
        <v>881.7</v>
      </c>
      <c r="C361" s="99">
        <f t="shared" si="37"/>
        <v>8.8100686498855385E-3</v>
      </c>
      <c r="D361" s="100">
        <v>18817.400000000001</v>
      </c>
      <c r="E361" s="99">
        <f t="shared" si="38"/>
        <v>6.7518404382811426E-3</v>
      </c>
      <c r="F361" s="100">
        <v>13388.6</v>
      </c>
      <c r="G361" s="99">
        <f t="shared" si="36"/>
        <v>-1.5109869590547276E-2</v>
      </c>
    </row>
    <row r="362" spans="1:7">
      <c r="A362" s="126">
        <v>45103</v>
      </c>
      <c r="B362" s="100">
        <v>874</v>
      </c>
      <c r="C362" s="99">
        <f t="shared" si="37"/>
        <v>1.8351296242353543E-2</v>
      </c>
      <c r="D362" s="100">
        <v>18691.2</v>
      </c>
      <c r="E362" s="99">
        <f t="shared" si="38"/>
        <v>1.3768717687712151E-3</v>
      </c>
      <c r="F362" s="100">
        <v>13186.3</v>
      </c>
      <c r="G362" s="99">
        <f t="shared" si="36"/>
        <v>-1.4750157360289284E-3</v>
      </c>
    </row>
    <row r="363" spans="1:7">
      <c r="A363" s="126">
        <v>45100</v>
      </c>
      <c r="B363" s="100">
        <v>858.25</v>
      </c>
      <c r="C363" s="99">
        <f t="shared" si="37"/>
        <v>6.9220390684576749E-3</v>
      </c>
      <c r="D363" s="100">
        <v>18665.5</v>
      </c>
      <c r="E363" s="99">
        <f t="shared" si="38"/>
        <v>-5.6336152360657588E-3</v>
      </c>
      <c r="F363" s="100">
        <v>13166.85</v>
      </c>
      <c r="G363" s="99">
        <f t="shared" si="36"/>
        <v>6.1404208295834373E-3</v>
      </c>
    </row>
    <row r="364" spans="1:7">
      <c r="A364" s="126">
        <v>45099</v>
      </c>
      <c r="B364" s="100">
        <v>852.35</v>
      </c>
      <c r="C364" s="99">
        <f t="shared" si="37"/>
        <v>-2.5941374778584048E-2</v>
      </c>
      <c r="D364" s="100">
        <v>18771.25</v>
      </c>
      <c r="E364" s="99">
        <f t="shared" si="38"/>
        <v>-4.5394644386521632E-3</v>
      </c>
      <c r="F364" s="100">
        <v>13247.7</v>
      </c>
      <c r="G364" s="99">
        <f t="shared" si="36"/>
        <v>-6.6804049004731691E-4</v>
      </c>
    </row>
    <row r="365" spans="1:7">
      <c r="A365" s="126">
        <v>45098</v>
      </c>
      <c r="B365" s="100">
        <v>875.05</v>
      </c>
      <c r="C365" s="99">
        <f t="shared" si="37"/>
        <v>5.4404145077720178E-2</v>
      </c>
      <c r="D365" s="100">
        <v>18856.849999999999</v>
      </c>
      <c r="E365" s="99">
        <f t="shared" si="38"/>
        <v>2.1337428985952478E-3</v>
      </c>
      <c r="F365" s="100">
        <v>13238.85</v>
      </c>
      <c r="G365" s="99">
        <f t="shared" si="36"/>
        <v>1.9488097531128457E-3</v>
      </c>
    </row>
    <row r="366" spans="1:7">
      <c r="A366" s="126">
        <v>45097</v>
      </c>
      <c r="B366" s="100">
        <v>829.9</v>
      </c>
      <c r="C366" s="99">
        <f t="shared" si="37"/>
        <v>5.7565291159182852E-3</v>
      </c>
      <c r="D366" s="100">
        <v>18816.7</v>
      </c>
      <c r="E366" s="99">
        <f t="shared" si="38"/>
        <v>3.2657174314665305E-3</v>
      </c>
      <c r="F366" s="100">
        <v>13264.65</v>
      </c>
      <c r="G366" s="99">
        <f t="shared" si="36"/>
        <v>-1.7113154135238728E-3</v>
      </c>
    </row>
    <row r="367" spans="1:7">
      <c r="A367" s="126">
        <v>45096</v>
      </c>
      <c r="B367" s="100">
        <v>825.15</v>
      </c>
      <c r="C367" s="99">
        <f t="shared" si="37"/>
        <v>-6.382082003733025E-3</v>
      </c>
      <c r="D367" s="100">
        <v>18755.45</v>
      </c>
      <c r="E367" s="99">
        <f t="shared" si="38"/>
        <v>-3.7474768936576197E-3</v>
      </c>
      <c r="F367" s="100">
        <v>13241.95</v>
      </c>
      <c r="G367" s="99">
        <f t="shared" si="36"/>
        <v>-6.1433550194647246E-3</v>
      </c>
    </row>
    <row r="368" spans="1:7">
      <c r="A368" s="126">
        <v>45093</v>
      </c>
      <c r="B368" s="100">
        <v>830.45</v>
      </c>
      <c r="C368" s="99">
        <f t="shared" si="37"/>
        <v>-5.1512428870919003E-3</v>
      </c>
      <c r="D368" s="100">
        <v>18826</v>
      </c>
      <c r="E368" s="99">
        <f t="shared" si="38"/>
        <v>7.3790272954448177E-3</v>
      </c>
      <c r="F368" s="100">
        <v>13160.6</v>
      </c>
      <c r="G368" s="99">
        <f t="shared" si="36"/>
        <v>-1.3965928605078837E-2</v>
      </c>
    </row>
    <row r="369" spans="1:7">
      <c r="A369" s="126">
        <v>45092</v>
      </c>
      <c r="B369" s="100">
        <v>834.75</v>
      </c>
      <c r="C369" s="99">
        <f t="shared" si="37"/>
        <v>1.9541984732824424E-2</v>
      </c>
      <c r="D369" s="100">
        <v>18688.099999999999</v>
      </c>
      <c r="E369" s="99">
        <f t="shared" si="38"/>
        <v>-3.6148625232594878E-3</v>
      </c>
      <c r="F369" s="100">
        <v>12976.8</v>
      </c>
      <c r="G369" s="99">
        <f t="shared" si="36"/>
        <v>1.3061771777325148E-3</v>
      </c>
    </row>
    <row r="370" spans="1:7">
      <c r="A370" s="126">
        <v>45091</v>
      </c>
      <c r="B370" s="100">
        <v>818.75</v>
      </c>
      <c r="C370" s="99">
        <f t="shared" si="37"/>
        <v>1.5903113340265396E-3</v>
      </c>
      <c r="D370" s="100">
        <v>18755.900000000001</v>
      </c>
      <c r="E370" s="99">
        <f t="shared" si="38"/>
        <v>2.123834228727528E-3</v>
      </c>
      <c r="F370" s="100">
        <v>12993.75</v>
      </c>
      <c r="G370" s="99">
        <f t="shared" si="36"/>
        <v>-1.0597402597402605E-2</v>
      </c>
    </row>
    <row r="371" spans="1:7">
      <c r="A371" s="126">
        <v>45090</v>
      </c>
      <c r="B371" s="100">
        <v>817.45</v>
      </c>
      <c r="C371" s="99">
        <f t="shared" si="37"/>
        <v>-1.77066796922698E-3</v>
      </c>
      <c r="D371" s="100">
        <v>18716.150000000001</v>
      </c>
      <c r="E371" s="99">
        <f t="shared" si="38"/>
        <v>6.1634814396689386E-3</v>
      </c>
      <c r="F371" s="100">
        <v>12856.05</v>
      </c>
      <c r="G371" s="99">
        <f t="shared" si="36"/>
        <v>3.8892194725437257E-4</v>
      </c>
    </row>
    <row r="372" spans="1:7">
      <c r="A372" s="126">
        <v>45089</v>
      </c>
      <c r="B372" s="100">
        <v>818.9</v>
      </c>
      <c r="C372" s="99">
        <f t="shared" si="37"/>
        <v>1.5500992063492092E-2</v>
      </c>
      <c r="D372" s="100">
        <v>18601.5</v>
      </c>
      <c r="E372" s="99">
        <f t="shared" si="38"/>
        <v>2.0524257409741953E-3</v>
      </c>
      <c r="F372" s="100">
        <v>12861.05</v>
      </c>
      <c r="G372" s="99">
        <f t="shared" si="36"/>
        <v>3.9110337025360931E-3</v>
      </c>
    </row>
    <row r="373" spans="1:7">
      <c r="A373" s="126">
        <v>45086</v>
      </c>
      <c r="B373" s="100">
        <v>806.4</v>
      </c>
      <c r="C373" s="99">
        <f t="shared" si="37"/>
        <v>-6.7130627578987356E-3</v>
      </c>
      <c r="D373" s="100">
        <v>18563.400000000001</v>
      </c>
      <c r="E373" s="99">
        <f t="shared" si="38"/>
        <v>-3.8181764518058214E-3</v>
      </c>
      <c r="F373" s="100">
        <v>12911.35</v>
      </c>
      <c r="G373" s="99">
        <f t="shared" si="36"/>
        <v>1.0401700829115512E-2</v>
      </c>
    </row>
    <row r="374" spans="1:7">
      <c r="A374" s="126">
        <v>45085</v>
      </c>
      <c r="B374" s="100">
        <v>811.85</v>
      </c>
      <c r="C374" s="99">
        <f t="shared" si="37"/>
        <v>-7.093499663670233E-3</v>
      </c>
      <c r="D374" s="100">
        <v>18634.55</v>
      </c>
      <c r="E374" s="99">
        <f t="shared" si="38"/>
        <v>-4.9048402255640333E-3</v>
      </c>
      <c r="F374" s="100">
        <v>13045.65</v>
      </c>
      <c r="G374" s="99">
        <f t="shared" si="36"/>
        <v>-2.5104153491777303E-3</v>
      </c>
    </row>
    <row r="375" spans="1:7">
      <c r="A375" s="126">
        <v>45084</v>
      </c>
      <c r="B375" s="100">
        <v>817.65</v>
      </c>
      <c r="C375" s="99">
        <f t="shared" si="37"/>
        <v>-4.868252905738446E-3</v>
      </c>
      <c r="D375" s="100">
        <v>18726.400000000001</v>
      </c>
      <c r="E375" s="99">
        <f t="shared" si="38"/>
        <v>6.8498306360558203E-3</v>
      </c>
      <c r="F375" s="100">
        <v>13012.9</v>
      </c>
      <c r="G375" s="99">
        <f t="shared" si="36"/>
        <v>-6.0247907845292215E-3</v>
      </c>
    </row>
    <row r="376" spans="1:7">
      <c r="A376" s="126">
        <v>45083</v>
      </c>
      <c r="B376" s="100">
        <v>821.65</v>
      </c>
      <c r="C376" s="99">
        <f t="shared" si="37"/>
        <v>1.6457393636475359E-3</v>
      </c>
      <c r="D376" s="100">
        <v>18599</v>
      </c>
      <c r="E376" s="99">
        <f t="shared" si="38"/>
        <v>2.7697330031184464E-4</v>
      </c>
      <c r="F376" s="100">
        <v>12934.5</v>
      </c>
      <c r="G376" s="99">
        <f t="shared" si="36"/>
        <v>-2.6208975994432837E-3</v>
      </c>
    </row>
    <row r="377" spans="1:7">
      <c r="A377" s="126">
        <v>45082</v>
      </c>
      <c r="B377" s="100">
        <v>820.3</v>
      </c>
      <c r="C377" s="99">
        <f t="shared" si="37"/>
        <v>4.1006181528855379E-3</v>
      </c>
      <c r="D377" s="100">
        <v>18593.849999999999</v>
      </c>
      <c r="E377" s="99">
        <f t="shared" si="38"/>
        <v>3.223787505193032E-3</v>
      </c>
      <c r="F377" s="100">
        <v>12900.6</v>
      </c>
      <c r="G377" s="99">
        <f t="shared" si="36"/>
        <v>-6.8058849975970448E-3</v>
      </c>
    </row>
    <row r="378" spans="1:7">
      <c r="A378" s="126">
        <v>45079</v>
      </c>
      <c r="B378" s="100">
        <v>816.95</v>
      </c>
      <c r="C378" s="99">
        <f t="shared" si="37"/>
        <v>5.9102382564797384E-3</v>
      </c>
      <c r="D378" s="100">
        <v>18534.099999999999</v>
      </c>
      <c r="E378" s="99">
        <f t="shared" si="38"/>
        <v>2.507065489310456E-3</v>
      </c>
      <c r="F378" s="100">
        <v>12812.8</v>
      </c>
      <c r="G378" s="99">
        <f t="shared" si="36"/>
        <v>-1.0489510489510412E-2</v>
      </c>
    </row>
    <row r="379" spans="1:7">
      <c r="A379" s="126">
        <v>45078</v>
      </c>
      <c r="B379" s="100">
        <v>812.15</v>
      </c>
      <c r="C379" s="99">
        <f t="shared" si="37"/>
        <v>9.5090118085767728E-3</v>
      </c>
      <c r="D379" s="100">
        <v>18487.75</v>
      </c>
      <c r="E379" s="99">
        <f t="shared" si="38"/>
        <v>-2.5169414709945714E-3</v>
      </c>
      <c r="F379" s="100">
        <v>12678.4</v>
      </c>
      <c r="G379" s="99">
        <f t="shared" si="36"/>
        <v>-5.813036345280076E-3</v>
      </c>
    </row>
    <row r="380" spans="1:7">
      <c r="A380" s="126">
        <v>45077</v>
      </c>
      <c r="B380" s="100">
        <v>804.5</v>
      </c>
      <c r="C380" s="99">
        <f t="shared" si="37"/>
        <v>1.1199601791935798E-3</v>
      </c>
      <c r="D380" s="100">
        <v>18534.400000000001</v>
      </c>
      <c r="E380" s="99">
        <f t="shared" si="38"/>
        <v>-5.3370613158310043E-3</v>
      </c>
      <c r="F380" s="100">
        <v>12604.7</v>
      </c>
      <c r="G380" s="99">
        <f t="shared" si="36"/>
        <v>1.5470419764056498E-3</v>
      </c>
    </row>
    <row r="381" spans="1:7">
      <c r="A381" s="126">
        <v>45076</v>
      </c>
      <c r="B381" s="100">
        <v>803.6</v>
      </c>
      <c r="C381" s="99">
        <f t="shared" si="37"/>
        <v>-2.6064291920069316E-3</v>
      </c>
      <c r="D381" s="100">
        <v>18633.849999999999</v>
      </c>
      <c r="E381" s="99">
        <f t="shared" si="38"/>
        <v>1.8926104851695325E-3</v>
      </c>
      <c r="F381" s="100">
        <v>12624.2</v>
      </c>
      <c r="G381" s="99">
        <f t="shared" si="36"/>
        <v>-1.7941730961170688E-3</v>
      </c>
    </row>
    <row r="382" spans="1:7">
      <c r="A382" s="126">
        <v>45075</v>
      </c>
      <c r="B382" s="100">
        <v>805.7</v>
      </c>
      <c r="C382" s="99">
        <f t="shared" si="37"/>
        <v>3.3014936854926624E-2</v>
      </c>
      <c r="D382" s="100">
        <v>18598.650000000001</v>
      </c>
      <c r="E382" s="99">
        <f t="shared" si="38"/>
        <v>5.3677561644058791E-3</v>
      </c>
      <c r="F382" s="100">
        <v>12601.55</v>
      </c>
      <c r="G382" s="99">
        <f t="shared" si="36"/>
        <v>-1.1589844106478897E-2</v>
      </c>
    </row>
    <row r="383" spans="1:7">
      <c r="A383" s="126">
        <v>45072</v>
      </c>
      <c r="B383" s="100">
        <v>779.95</v>
      </c>
      <c r="C383" s="99">
        <f t="shared" si="37"/>
        <v>1.4123387045001934E-3</v>
      </c>
      <c r="D383" s="100">
        <v>18499.349999999999</v>
      </c>
      <c r="E383" s="99">
        <f t="shared" si="38"/>
        <v>9.7264636772254054E-3</v>
      </c>
      <c r="F383" s="100">
        <v>12455.5</v>
      </c>
      <c r="G383" s="99">
        <f t="shared" si="36"/>
        <v>-1.2083015535304664E-3</v>
      </c>
    </row>
    <row r="384" spans="1:7">
      <c r="A384" s="126">
        <v>45071</v>
      </c>
      <c r="B384" s="100">
        <v>778.85</v>
      </c>
      <c r="C384" s="99">
        <f t="shared" si="37"/>
        <v>1.1568866893758578E-3</v>
      </c>
      <c r="D384" s="100">
        <v>18321.150000000001</v>
      </c>
      <c r="E384" s="99">
        <f t="shared" si="38"/>
        <v>1.955111728482839E-3</v>
      </c>
      <c r="F384" s="100">
        <v>12440.45</v>
      </c>
      <c r="G384" s="99">
        <f t="shared" si="36"/>
        <v>-1.0148346723792168E-2</v>
      </c>
    </row>
    <row r="385" spans="1:7">
      <c r="A385" s="126">
        <v>45070</v>
      </c>
      <c r="B385" s="100">
        <v>777.95</v>
      </c>
      <c r="C385" s="99">
        <f t="shared" si="37"/>
        <v>1.4159747699040715E-3</v>
      </c>
      <c r="D385" s="100">
        <v>18285.400000000001</v>
      </c>
      <c r="E385" s="99">
        <f t="shared" si="38"/>
        <v>-3.4118160017440058E-3</v>
      </c>
      <c r="F385" s="100">
        <v>12314.2</v>
      </c>
      <c r="G385" s="99">
        <f t="shared" si="36"/>
        <v>-5.6844943236263878E-3</v>
      </c>
    </row>
    <row r="386" spans="1:7">
      <c r="A386" s="126">
        <v>45069</v>
      </c>
      <c r="B386" s="100">
        <v>776.85</v>
      </c>
      <c r="C386" s="99">
        <f t="shared" si="37"/>
        <v>3.163739669421517E-3</v>
      </c>
      <c r="D386" s="100">
        <v>18348</v>
      </c>
      <c r="E386" s="99">
        <f t="shared" si="38"/>
        <v>1.834621936836589E-3</v>
      </c>
      <c r="F386" s="100">
        <v>12244.2</v>
      </c>
      <c r="G386" s="99">
        <f t="shared" si="36"/>
        <v>-9.7964750657454358E-3</v>
      </c>
    </row>
    <row r="387" spans="1:7">
      <c r="A387" s="126">
        <v>45068</v>
      </c>
      <c r="B387" s="100">
        <v>774.4</v>
      </c>
      <c r="C387" s="99">
        <f t="shared" si="37"/>
        <v>0</v>
      </c>
      <c r="D387" s="100">
        <v>18314.400000000001</v>
      </c>
      <c r="E387" s="99">
        <f t="shared" si="38"/>
        <v>6.0977619565576457E-3</v>
      </c>
      <c r="F387" s="100">
        <v>12124.25</v>
      </c>
      <c r="G387" s="99">
        <f t="shared" si="36"/>
        <v>9.6583293811989268E-3</v>
      </c>
    </row>
    <row r="388" spans="1:7">
      <c r="A388" s="126">
        <v>45065</v>
      </c>
      <c r="B388" s="100">
        <v>774.4</v>
      </c>
      <c r="C388" s="99">
        <f t="shared" si="37"/>
        <v>-6.2876940844347473E-3</v>
      </c>
      <c r="D388" s="100">
        <v>18203.400000000001</v>
      </c>
      <c r="E388" s="99">
        <f t="shared" si="38"/>
        <v>4.0513073670915833E-3</v>
      </c>
      <c r="F388" s="100">
        <v>12241.35</v>
      </c>
      <c r="G388" s="99">
        <f t="shared" si="36"/>
        <v>1.2841720888627339E-2</v>
      </c>
    </row>
    <row r="389" spans="1:7">
      <c r="A389" s="126">
        <v>45064</v>
      </c>
      <c r="B389" s="100">
        <v>779.3</v>
      </c>
      <c r="C389" s="99">
        <f t="shared" si="37"/>
        <v>-2.1128113195467702E-3</v>
      </c>
      <c r="D389" s="100">
        <v>18129.95</v>
      </c>
      <c r="E389" s="99">
        <f t="shared" si="38"/>
        <v>-2.8490106837900653E-3</v>
      </c>
      <c r="F389" s="100">
        <v>12398.55</v>
      </c>
      <c r="G389" s="99">
        <f t="shared" si="36"/>
        <v>4.5126244601183529E-3</v>
      </c>
    </row>
    <row r="390" spans="1:7">
      <c r="A390" s="126">
        <v>45063</v>
      </c>
      <c r="B390" s="100">
        <v>780.95</v>
      </c>
      <c r="C390" s="99">
        <f t="shared" si="37"/>
        <v>-1.2393297502371059E-2</v>
      </c>
      <c r="D390" s="100">
        <v>18181.75</v>
      </c>
      <c r="E390" s="99">
        <f t="shared" si="38"/>
        <v>-5.7282694884204233E-3</v>
      </c>
      <c r="F390" s="100">
        <v>12454.5</v>
      </c>
      <c r="G390" s="99">
        <f t="shared" si="36"/>
        <v>2.6416154803483582E-3</v>
      </c>
    </row>
    <row r="391" spans="1:7">
      <c r="A391" s="126">
        <v>45062</v>
      </c>
      <c r="B391" s="100">
        <v>790.75</v>
      </c>
      <c r="C391" s="99">
        <f t="shared" si="37"/>
        <v>4.4458558272466586E-3</v>
      </c>
      <c r="D391" s="100">
        <v>18286.5</v>
      </c>
      <c r="E391" s="99">
        <f t="shared" si="38"/>
        <v>-6.1063599083637232E-3</v>
      </c>
      <c r="F391" s="100">
        <v>12487.4</v>
      </c>
      <c r="G391" s="99">
        <f t="shared" si="36"/>
        <v>-5.6056504956880637E-5</v>
      </c>
    </row>
    <row r="392" spans="1:7">
      <c r="A392" s="126">
        <v>45061</v>
      </c>
      <c r="B392" s="100">
        <v>787.25</v>
      </c>
      <c r="C392" s="99">
        <f t="shared" si="37"/>
        <v>1.7644777662874755E-2</v>
      </c>
      <c r="D392" s="100">
        <v>18398.849999999999</v>
      </c>
      <c r="E392" s="99">
        <f t="shared" si="38"/>
        <v>4.5891847030816724E-3</v>
      </c>
      <c r="F392" s="100">
        <v>12486.7</v>
      </c>
      <c r="G392" s="99">
        <f t="shared" si="36"/>
        <v>5.6339945702226224E-3</v>
      </c>
    </row>
    <row r="393" spans="1:7">
      <c r="A393" s="126">
        <v>45058</v>
      </c>
      <c r="B393" s="100">
        <v>773.6</v>
      </c>
      <c r="C393" s="99">
        <f t="shared" si="37"/>
        <v>1.064733163498599E-2</v>
      </c>
      <c r="D393" s="100">
        <v>18314.8</v>
      </c>
      <c r="E393" s="99">
        <f t="shared" si="38"/>
        <v>9.7283707711648404E-4</v>
      </c>
      <c r="F393" s="100">
        <v>12557.05</v>
      </c>
      <c r="G393" s="99">
        <f t="shared" ref="G393:G456" si="39">F394/F393-1</f>
        <v>1.2729900733054356E-2</v>
      </c>
    </row>
    <row r="394" spans="1:7">
      <c r="A394" s="126">
        <v>45057</v>
      </c>
      <c r="B394" s="100">
        <v>765.45</v>
      </c>
      <c r="C394" s="99">
        <f t="shared" ref="C394:C457" si="40">B394/B395-1</f>
        <v>2.0327912556651562E-2</v>
      </c>
      <c r="D394" s="100">
        <v>18297</v>
      </c>
      <c r="E394" s="99">
        <f t="shared" ref="E394:E457" si="41">D394/D395-1</f>
        <v>-9.8825559238002736E-4</v>
      </c>
      <c r="F394" s="100">
        <v>12716.9</v>
      </c>
      <c r="G394" s="99">
        <f t="shared" si="39"/>
        <v>-1.5727103303442291E-5</v>
      </c>
    </row>
    <row r="395" spans="1:7">
      <c r="A395" s="126">
        <v>45056</v>
      </c>
      <c r="B395" s="100">
        <v>750.2</v>
      </c>
      <c r="C395" s="99">
        <f t="shared" si="40"/>
        <v>6.2370062370062929E-3</v>
      </c>
      <c r="D395" s="100">
        <v>18315.099999999999</v>
      </c>
      <c r="E395" s="99">
        <f t="shared" si="41"/>
        <v>2.6907990003255389E-3</v>
      </c>
      <c r="F395" s="100">
        <v>12716.7</v>
      </c>
      <c r="G395" s="99">
        <f t="shared" si="39"/>
        <v>-4.2149299739712154E-3</v>
      </c>
    </row>
    <row r="396" spans="1:7">
      <c r="A396" s="126">
        <v>45055</v>
      </c>
      <c r="B396" s="100">
        <v>745.55</v>
      </c>
      <c r="C396" s="99">
        <f t="shared" si="40"/>
        <v>1.7746228926353247E-2</v>
      </c>
      <c r="D396" s="100">
        <v>18265.95</v>
      </c>
      <c r="E396" s="99">
        <f t="shared" si="41"/>
        <v>8.4864545235596722E-5</v>
      </c>
      <c r="F396" s="100">
        <v>12663.1</v>
      </c>
      <c r="G396" s="99">
        <f t="shared" si="39"/>
        <v>-4.3235858518055892E-3</v>
      </c>
    </row>
    <row r="397" spans="1:7">
      <c r="A397" s="126">
        <v>45054</v>
      </c>
      <c r="B397" s="100">
        <v>732.55</v>
      </c>
      <c r="C397" s="99">
        <f t="shared" si="40"/>
        <v>4.0036913466316326E-2</v>
      </c>
      <c r="D397" s="100">
        <v>18264.400000000001</v>
      </c>
      <c r="E397" s="99">
        <f t="shared" si="41"/>
        <v>1.0814101499806439E-2</v>
      </c>
      <c r="F397" s="100">
        <v>12608.35</v>
      </c>
      <c r="G397" s="99">
        <f t="shared" si="39"/>
        <v>3.6721696336157184E-3</v>
      </c>
    </row>
    <row r="398" spans="1:7">
      <c r="A398" s="126">
        <v>45051</v>
      </c>
      <c r="B398" s="100">
        <v>704.35</v>
      </c>
      <c r="C398" s="99">
        <f t="shared" si="40"/>
        <v>-7.8180025355683025E-3</v>
      </c>
      <c r="D398" s="100">
        <v>18069</v>
      </c>
      <c r="E398" s="99">
        <f t="shared" si="41"/>
        <v>-1.0232364508813596E-2</v>
      </c>
      <c r="F398" s="100">
        <v>12654.65</v>
      </c>
      <c r="G398" s="99">
        <f t="shared" si="39"/>
        <v>-5.3616654747464798E-3</v>
      </c>
    </row>
    <row r="399" spans="1:7">
      <c r="A399" s="126">
        <v>45050</v>
      </c>
      <c r="B399" s="100">
        <v>709.9</v>
      </c>
      <c r="C399" s="99">
        <f t="shared" si="40"/>
        <v>3.5228633833583878E-4</v>
      </c>
      <c r="D399" s="100">
        <v>18255.8</v>
      </c>
      <c r="E399" s="99">
        <f t="shared" si="41"/>
        <v>9.1736526284076358E-3</v>
      </c>
      <c r="F399" s="100">
        <v>12586.8</v>
      </c>
      <c r="G399" s="99">
        <f t="shared" si="39"/>
        <v>2.7806908825112053E-4</v>
      </c>
    </row>
    <row r="400" spans="1:7">
      <c r="A400" s="126">
        <v>45049</v>
      </c>
      <c r="B400" s="100">
        <v>709.65</v>
      </c>
      <c r="C400" s="99">
        <f t="shared" si="40"/>
        <v>1.1992099322799543E-3</v>
      </c>
      <c r="D400" s="100">
        <v>18089.849999999999</v>
      </c>
      <c r="E400" s="99">
        <f t="shared" si="41"/>
        <v>-3.1849853837826458E-3</v>
      </c>
      <c r="F400" s="100">
        <v>12590.3</v>
      </c>
      <c r="G400" s="99">
        <f t="shared" si="39"/>
        <v>1.8784302200902658E-3</v>
      </c>
    </row>
    <row r="401" spans="1:7">
      <c r="A401" s="126">
        <v>45048</v>
      </c>
      <c r="B401" s="100">
        <v>708.8</v>
      </c>
      <c r="C401" s="99">
        <f t="shared" si="40"/>
        <v>-9.8661028893598512E-4</v>
      </c>
      <c r="D401" s="100">
        <v>18147.650000000001</v>
      </c>
      <c r="E401" s="99">
        <f t="shared" si="41"/>
        <v>4.5751453086078087E-3</v>
      </c>
      <c r="F401" s="100">
        <v>12613.95</v>
      </c>
      <c r="G401" s="99">
        <f t="shared" si="39"/>
        <v>-7.4996333424502959E-3</v>
      </c>
    </row>
    <row r="402" spans="1:7">
      <c r="A402" s="126">
        <v>45044</v>
      </c>
      <c r="B402" s="100">
        <v>709.5</v>
      </c>
      <c r="C402" s="99">
        <f t="shared" si="40"/>
        <v>2.2702702702702693E-2</v>
      </c>
      <c r="D402" s="100">
        <v>18065</v>
      </c>
      <c r="E402" s="99">
        <f t="shared" si="41"/>
        <v>8.3700575772884811E-3</v>
      </c>
      <c r="F402" s="100">
        <v>12519.35</v>
      </c>
      <c r="G402" s="99">
        <f t="shared" si="39"/>
        <v>-4.9123956115932899E-3</v>
      </c>
    </row>
    <row r="403" spans="1:7">
      <c r="A403" s="126">
        <v>45043</v>
      </c>
      <c r="B403" s="100">
        <v>693.75</v>
      </c>
      <c r="C403" s="99">
        <f t="shared" si="40"/>
        <v>-1.9711742263671117E-2</v>
      </c>
      <c r="D403" s="100">
        <v>17915.05</v>
      </c>
      <c r="E403" s="99">
        <f t="shared" si="41"/>
        <v>5.6950868998968396E-3</v>
      </c>
      <c r="F403" s="100">
        <v>12457.85</v>
      </c>
      <c r="G403" s="99">
        <f t="shared" si="39"/>
        <v>-1.0033834088551963E-4</v>
      </c>
    </row>
    <row r="404" spans="1:7">
      <c r="A404" s="126">
        <v>45042</v>
      </c>
      <c r="B404" s="100">
        <v>707.7</v>
      </c>
      <c r="C404" s="99">
        <f t="shared" si="40"/>
        <v>3.1183557760454672E-3</v>
      </c>
      <c r="D404" s="100">
        <v>17813.599999999999</v>
      </c>
      <c r="E404" s="99">
        <f t="shared" si="41"/>
        <v>2.4958847447134058E-3</v>
      </c>
      <c r="F404" s="100">
        <v>12456.6</v>
      </c>
      <c r="G404" s="99">
        <f t="shared" si="39"/>
        <v>-1.8062713742117431E-4</v>
      </c>
    </row>
    <row r="405" spans="1:7">
      <c r="A405" s="126">
        <v>45041</v>
      </c>
      <c r="B405" s="100">
        <v>705.5</v>
      </c>
      <c r="C405" s="99">
        <f t="shared" si="40"/>
        <v>4.9141799017164978E-3</v>
      </c>
      <c r="D405" s="100">
        <v>17769.25</v>
      </c>
      <c r="E405" s="99">
        <f t="shared" si="41"/>
        <v>1.4568797411995682E-3</v>
      </c>
      <c r="F405" s="100">
        <v>12454.35</v>
      </c>
      <c r="G405" s="99">
        <f t="shared" si="39"/>
        <v>7.3388013023560905E-3</v>
      </c>
    </row>
    <row r="406" spans="1:7">
      <c r="A406" s="126">
        <v>45040</v>
      </c>
      <c r="B406" s="100">
        <v>702.05</v>
      </c>
      <c r="C406" s="99">
        <f t="shared" si="40"/>
        <v>9.9259152700854614E-3</v>
      </c>
      <c r="D406" s="100">
        <v>17743.400000000001</v>
      </c>
      <c r="E406" s="99">
        <f t="shared" si="41"/>
        <v>6.7719962210730511E-3</v>
      </c>
      <c r="F406" s="100">
        <v>12545.75</v>
      </c>
      <c r="G406" s="99">
        <f t="shared" si="39"/>
        <v>-4.8223501982742611E-3</v>
      </c>
    </row>
    <row r="407" spans="1:7">
      <c r="A407" s="126">
        <v>45037</v>
      </c>
      <c r="B407" s="100">
        <v>695.15</v>
      </c>
      <c r="C407" s="99">
        <f t="shared" si="40"/>
        <v>1.5929850200949947E-2</v>
      </c>
      <c r="D407" s="100">
        <v>17624.05</v>
      </c>
      <c r="E407" s="99">
        <f t="shared" si="41"/>
        <v>-2.2695743697065396E-5</v>
      </c>
      <c r="F407" s="100">
        <v>12485.25</v>
      </c>
      <c r="G407" s="99">
        <f t="shared" si="39"/>
        <v>1.1217236338879832E-2</v>
      </c>
    </row>
    <row r="408" spans="1:7">
      <c r="A408" s="126">
        <v>45036</v>
      </c>
      <c r="B408" s="100">
        <v>684.25</v>
      </c>
      <c r="C408" s="99">
        <f t="shared" si="40"/>
        <v>-3.7853971027153044E-3</v>
      </c>
      <c r="D408" s="100">
        <v>17624.45</v>
      </c>
      <c r="E408" s="99">
        <f t="shared" si="41"/>
        <v>3.2351897836124799E-4</v>
      </c>
      <c r="F408" s="100">
        <v>12625.3</v>
      </c>
      <c r="G408" s="99">
        <f t="shared" si="39"/>
        <v>-1.4217483940974773E-3</v>
      </c>
    </row>
    <row r="409" spans="1:7">
      <c r="A409" s="126">
        <v>45035</v>
      </c>
      <c r="B409" s="100">
        <v>686.85</v>
      </c>
      <c r="C409" s="99">
        <f t="shared" si="40"/>
        <v>-1.6748980030062199E-2</v>
      </c>
      <c r="D409" s="100">
        <v>17618.75</v>
      </c>
      <c r="E409" s="99">
        <f t="shared" si="41"/>
        <v>-2.3442609490860189E-3</v>
      </c>
      <c r="F409" s="100">
        <v>12607.35</v>
      </c>
      <c r="G409" s="99">
        <f t="shared" si="39"/>
        <v>-1.6161207549564294E-2</v>
      </c>
    </row>
    <row r="410" spans="1:7">
      <c r="A410" s="126">
        <v>45034</v>
      </c>
      <c r="B410" s="100">
        <v>698.55</v>
      </c>
      <c r="C410" s="99">
        <f t="shared" si="40"/>
        <v>6.1384182937020304E-2</v>
      </c>
      <c r="D410" s="100">
        <v>17660.150000000001</v>
      </c>
      <c r="E410" s="99">
        <f t="shared" si="41"/>
        <v>-2.6373973914048943E-3</v>
      </c>
      <c r="F410" s="100">
        <v>12403.6</v>
      </c>
      <c r="G410" s="99">
        <f t="shared" si="39"/>
        <v>6.0708181495694458E-3</v>
      </c>
    </row>
    <row r="411" spans="1:7">
      <c r="A411" s="126">
        <v>45033</v>
      </c>
      <c r="B411" s="100">
        <v>658.15</v>
      </c>
      <c r="C411" s="99">
        <f t="shared" si="40"/>
        <v>-1.9734882335418535E-2</v>
      </c>
      <c r="D411" s="100">
        <v>17706.849999999999</v>
      </c>
      <c r="E411" s="99">
        <f t="shared" si="41"/>
        <v>-6.7954902400718664E-3</v>
      </c>
      <c r="F411" s="100">
        <v>12478.9</v>
      </c>
      <c r="G411" s="99">
        <f t="shared" si="39"/>
        <v>7.6368910721298366E-3</v>
      </c>
    </row>
    <row r="412" spans="1:7">
      <c r="A412" s="126">
        <v>45029</v>
      </c>
      <c r="B412" s="100">
        <v>671.4</v>
      </c>
      <c r="C412" s="99">
        <f t="shared" si="40"/>
        <v>-1.1993230814509537E-2</v>
      </c>
      <c r="D412" s="100">
        <v>17828</v>
      </c>
      <c r="E412" s="99">
        <f t="shared" si="41"/>
        <v>8.7579439042451135E-4</v>
      </c>
      <c r="F412" s="100">
        <v>12574.2</v>
      </c>
      <c r="G412" s="99">
        <f t="shared" si="39"/>
        <v>-2.1806556281910638E-2</v>
      </c>
    </row>
    <row r="413" spans="1:7">
      <c r="A413" s="126">
        <v>45028</v>
      </c>
      <c r="B413" s="100">
        <v>679.55</v>
      </c>
      <c r="C413" s="99">
        <f t="shared" si="40"/>
        <v>2.9231351760696578E-2</v>
      </c>
      <c r="D413" s="100">
        <v>17812.400000000001</v>
      </c>
      <c r="E413" s="99">
        <f t="shared" si="41"/>
        <v>5.083990227002344E-3</v>
      </c>
      <c r="F413" s="100">
        <v>12300</v>
      </c>
      <c r="G413" s="99">
        <f t="shared" si="39"/>
        <v>-1.016260162601812E-4</v>
      </c>
    </row>
    <row r="414" spans="1:7">
      <c r="A414" s="126">
        <v>45027</v>
      </c>
      <c r="B414" s="100">
        <v>660.25</v>
      </c>
      <c r="C414" s="99">
        <f t="shared" si="40"/>
        <v>-5.1981316860028048E-3</v>
      </c>
      <c r="D414" s="100">
        <v>17722.3</v>
      </c>
      <c r="E414" s="99">
        <f t="shared" si="41"/>
        <v>5.5747685690858972E-3</v>
      </c>
      <c r="F414" s="100">
        <v>12298.75</v>
      </c>
      <c r="G414" s="99">
        <f t="shared" si="39"/>
        <v>-1.9839414574651659E-3</v>
      </c>
    </row>
    <row r="415" spans="1:7">
      <c r="A415" s="126">
        <v>45026</v>
      </c>
      <c r="B415" s="100">
        <v>663.7</v>
      </c>
      <c r="C415" s="99">
        <f t="shared" si="40"/>
        <v>-6.023189278723251E-4</v>
      </c>
      <c r="D415" s="100">
        <v>17624.05</v>
      </c>
      <c r="E415" s="99">
        <f t="shared" si="41"/>
        <v>1.4148410576646508E-3</v>
      </c>
      <c r="F415" s="100">
        <v>12274.35</v>
      </c>
      <c r="G415" s="99">
        <f t="shared" si="39"/>
        <v>-7.5360406050014594E-3</v>
      </c>
    </row>
    <row r="416" spans="1:7">
      <c r="A416" s="126">
        <v>45022</v>
      </c>
      <c r="B416" s="100">
        <v>664.1</v>
      </c>
      <c r="C416" s="99">
        <f t="shared" si="40"/>
        <v>7.9684298398725595E-3</v>
      </c>
      <c r="D416" s="100">
        <v>17599.150000000001</v>
      </c>
      <c r="E416" s="99">
        <f t="shared" si="41"/>
        <v>2.3978971410345551E-3</v>
      </c>
      <c r="F416" s="100">
        <v>12181.85</v>
      </c>
      <c r="G416" s="99">
        <f t="shared" si="39"/>
        <v>-9.3499755784219873E-3</v>
      </c>
    </row>
    <row r="417" spans="1:7">
      <c r="A417" s="126">
        <v>45021</v>
      </c>
      <c r="B417" s="100">
        <v>658.85</v>
      </c>
      <c r="C417" s="99">
        <f t="shared" si="40"/>
        <v>1.0816201288738947E-2</v>
      </c>
      <c r="D417" s="100">
        <v>17557.05</v>
      </c>
      <c r="E417" s="99">
        <f t="shared" si="41"/>
        <v>9.1389552277409969E-3</v>
      </c>
      <c r="F417" s="100">
        <v>12067.95</v>
      </c>
      <c r="G417" s="99">
        <f t="shared" si="39"/>
        <v>-4.217783467780456E-3</v>
      </c>
    </row>
    <row r="418" spans="1:7">
      <c r="A418" s="126">
        <v>45019</v>
      </c>
      <c r="B418" s="100">
        <v>651.79999999999995</v>
      </c>
      <c r="C418" s="99">
        <f t="shared" si="40"/>
        <v>5.2436767427512798E-3</v>
      </c>
      <c r="D418" s="100">
        <v>17398.05</v>
      </c>
      <c r="E418" s="99">
        <f t="shared" si="41"/>
        <v>2.2062529702329137E-3</v>
      </c>
      <c r="F418" s="100">
        <v>12017.05</v>
      </c>
      <c r="G418" s="99">
        <f t="shared" si="39"/>
        <v>-6.203685596714581E-3</v>
      </c>
    </row>
    <row r="419" spans="1:7">
      <c r="A419" s="126">
        <v>45016</v>
      </c>
      <c r="B419" s="100">
        <v>648.4</v>
      </c>
      <c r="C419" s="99">
        <f t="shared" si="40"/>
        <v>-6.1312078479460741E-3</v>
      </c>
      <c r="D419" s="100">
        <v>17359.75</v>
      </c>
      <c r="E419" s="99">
        <f t="shared" si="41"/>
        <v>1.6337152458622883E-2</v>
      </c>
      <c r="F419" s="100">
        <v>11942.5</v>
      </c>
      <c r="G419" s="99">
        <f t="shared" si="39"/>
        <v>-5.8028051078081733E-3</v>
      </c>
    </row>
    <row r="420" spans="1:7">
      <c r="A420" s="126">
        <v>45014</v>
      </c>
      <c r="B420" s="100">
        <v>652.4</v>
      </c>
      <c r="C420" s="99">
        <f t="shared" si="40"/>
        <v>1.2414649286157653E-2</v>
      </c>
      <c r="D420" s="100">
        <v>17080.7</v>
      </c>
      <c r="E420" s="99">
        <f t="shared" si="41"/>
        <v>7.6098562386073265E-3</v>
      </c>
      <c r="F420" s="100">
        <v>11873.2</v>
      </c>
      <c r="G420" s="99">
        <f t="shared" si="39"/>
        <v>8.0433244618127731E-4</v>
      </c>
    </row>
    <row r="421" spans="1:7">
      <c r="A421" s="126">
        <v>45013</v>
      </c>
      <c r="B421" s="100">
        <v>644.4</v>
      </c>
      <c r="C421" s="99">
        <f t="shared" si="40"/>
        <v>-2.1783681214421313E-2</v>
      </c>
      <c r="D421" s="100">
        <v>16951.7</v>
      </c>
      <c r="E421" s="99">
        <f t="shared" si="41"/>
        <v>-2.0016837692883316E-3</v>
      </c>
      <c r="F421" s="100">
        <v>11882.75</v>
      </c>
      <c r="G421" s="99">
        <f t="shared" si="39"/>
        <v>-1.072142391281472E-2</v>
      </c>
    </row>
    <row r="422" spans="1:7">
      <c r="A422" s="126">
        <v>45012</v>
      </c>
      <c r="B422" s="100">
        <v>658.75</v>
      </c>
      <c r="C422" s="99">
        <f t="shared" si="40"/>
        <v>2.9296875E-2</v>
      </c>
      <c r="D422" s="100">
        <v>16985.7</v>
      </c>
      <c r="E422" s="99">
        <f t="shared" si="41"/>
        <v>2.3989306611666983E-3</v>
      </c>
      <c r="F422" s="100">
        <v>11755.35</v>
      </c>
      <c r="G422" s="99">
        <f t="shared" si="39"/>
        <v>2.169225076241954E-3</v>
      </c>
    </row>
    <row r="423" spans="1:7">
      <c r="A423" s="126">
        <v>45009</v>
      </c>
      <c r="B423" s="100">
        <v>640</v>
      </c>
      <c r="C423" s="99">
        <f t="shared" si="40"/>
        <v>-1.3183254953357371E-2</v>
      </c>
      <c r="D423" s="100">
        <v>16945.05</v>
      </c>
      <c r="E423" s="99">
        <f t="shared" si="41"/>
        <v>-7.7209563796709624E-3</v>
      </c>
      <c r="F423" s="100">
        <v>11780.85</v>
      </c>
      <c r="G423" s="99">
        <f t="shared" si="39"/>
        <v>-2.2197040111706645E-3</v>
      </c>
    </row>
    <row r="424" spans="1:7">
      <c r="A424" s="126">
        <v>45008</v>
      </c>
      <c r="B424" s="100">
        <v>648.54999999999995</v>
      </c>
      <c r="C424" s="99">
        <f t="shared" si="40"/>
        <v>-1.563330044775002E-2</v>
      </c>
      <c r="D424" s="100">
        <v>17076.900000000001</v>
      </c>
      <c r="E424" s="99">
        <f t="shared" si="41"/>
        <v>-4.3726934042292998E-3</v>
      </c>
      <c r="F424" s="100">
        <v>11754.7</v>
      </c>
      <c r="G424" s="99">
        <f t="shared" si="39"/>
        <v>-1.0289501220788311E-2</v>
      </c>
    </row>
    <row r="425" spans="1:7">
      <c r="A425" s="126">
        <v>45007</v>
      </c>
      <c r="B425" s="100">
        <v>658.85</v>
      </c>
      <c r="C425" s="99">
        <f t="shared" si="40"/>
        <v>1.4551894056051839E-2</v>
      </c>
      <c r="D425" s="100">
        <v>17151.900000000001</v>
      </c>
      <c r="E425" s="99">
        <f t="shared" si="41"/>
        <v>2.5953529153881494E-3</v>
      </c>
      <c r="F425" s="100">
        <v>11633.75</v>
      </c>
      <c r="G425" s="99">
        <f t="shared" si="39"/>
        <v>2.540023638121891E-3</v>
      </c>
    </row>
    <row r="426" spans="1:7">
      <c r="A426" s="126">
        <v>45006</v>
      </c>
      <c r="B426" s="100">
        <v>649.4</v>
      </c>
      <c r="C426" s="99">
        <f t="shared" si="40"/>
        <v>4.6410891089108119E-3</v>
      </c>
      <c r="D426" s="100">
        <v>17107.5</v>
      </c>
      <c r="E426" s="99">
        <f t="shared" si="41"/>
        <v>7.0106661015751914E-3</v>
      </c>
      <c r="F426" s="100">
        <v>11663.3</v>
      </c>
      <c r="G426" s="99">
        <f t="shared" si="39"/>
        <v>1.1017465039910856E-3</v>
      </c>
    </row>
    <row r="427" spans="1:7">
      <c r="A427" s="126">
        <v>45005</v>
      </c>
      <c r="B427" s="100">
        <v>646.4</v>
      </c>
      <c r="C427" s="99">
        <f t="shared" si="40"/>
        <v>-1.6133942161339454E-2</v>
      </c>
      <c r="D427" s="100">
        <v>16988.400000000001</v>
      </c>
      <c r="E427" s="99">
        <f t="shared" si="41"/>
        <v>-6.5292206747932235E-3</v>
      </c>
      <c r="F427" s="100">
        <v>11676.15</v>
      </c>
      <c r="G427" s="99">
        <f t="shared" si="39"/>
        <v>5.7424750452848006E-3</v>
      </c>
    </row>
    <row r="428" spans="1:7">
      <c r="A428" s="126">
        <v>45002</v>
      </c>
      <c r="B428" s="100">
        <v>657</v>
      </c>
      <c r="C428" s="99">
        <f t="shared" si="40"/>
        <v>-1.3809666766736783E-2</v>
      </c>
      <c r="D428" s="100">
        <v>17100.05</v>
      </c>
      <c r="E428" s="99">
        <f t="shared" si="41"/>
        <v>6.7380604747551143E-3</v>
      </c>
      <c r="F428" s="100">
        <v>11743.2</v>
      </c>
      <c r="G428" s="99">
        <f t="shared" si="39"/>
        <v>-9.3032563526125323E-3</v>
      </c>
    </row>
    <row r="429" spans="1:7">
      <c r="A429" s="126">
        <v>45001</v>
      </c>
      <c r="B429" s="100">
        <v>666.2</v>
      </c>
      <c r="C429" s="99">
        <f t="shared" si="40"/>
        <v>1.2000607625702653E-2</v>
      </c>
      <c r="D429" s="100">
        <v>16985.599999999999</v>
      </c>
      <c r="E429" s="99">
        <f t="shared" si="41"/>
        <v>7.9247473066157426E-4</v>
      </c>
      <c r="F429" s="100">
        <v>11633.95</v>
      </c>
      <c r="G429" s="99">
        <f t="shared" si="39"/>
        <v>-3.0943918445583973E-3</v>
      </c>
    </row>
    <row r="430" spans="1:7">
      <c r="A430" s="126">
        <v>45000</v>
      </c>
      <c r="B430" s="100">
        <v>658.3</v>
      </c>
      <c r="C430" s="99">
        <f t="shared" si="40"/>
        <v>3.2002438281011347E-3</v>
      </c>
      <c r="D430" s="100">
        <v>16972.150000000001</v>
      </c>
      <c r="E430" s="99">
        <f t="shared" si="41"/>
        <v>-4.1746610104849147E-3</v>
      </c>
      <c r="F430" s="100">
        <v>11597.95</v>
      </c>
      <c r="G430" s="99">
        <f t="shared" si="39"/>
        <v>-5.1733280450494412E-5</v>
      </c>
    </row>
    <row r="431" spans="1:7">
      <c r="A431" s="126">
        <v>44999</v>
      </c>
      <c r="B431" s="100">
        <v>656.2</v>
      </c>
      <c r="C431" s="99">
        <f t="shared" si="40"/>
        <v>2.9038667278007413E-3</v>
      </c>
      <c r="D431" s="100">
        <v>17043.3</v>
      </c>
      <c r="E431" s="99">
        <f t="shared" si="41"/>
        <v>-6.4706808205522437E-3</v>
      </c>
      <c r="F431" s="100">
        <v>11597.35</v>
      </c>
      <c r="G431" s="99">
        <f t="shared" si="39"/>
        <v>7.467223115625643E-3</v>
      </c>
    </row>
    <row r="432" spans="1:7">
      <c r="A432" s="126">
        <v>44998</v>
      </c>
      <c r="B432" s="100">
        <v>654.29999999999995</v>
      </c>
      <c r="C432" s="99">
        <f t="shared" si="40"/>
        <v>-2.743484224965842E-3</v>
      </c>
      <c r="D432" s="100">
        <v>17154.3</v>
      </c>
      <c r="E432" s="99">
        <f t="shared" si="41"/>
        <v>-1.4851058697862074E-2</v>
      </c>
      <c r="F432" s="100">
        <v>11683.95</v>
      </c>
      <c r="G432" s="99">
        <f t="shared" si="39"/>
        <v>1.407914275565858E-3</v>
      </c>
    </row>
    <row r="433" spans="1:7">
      <c r="A433" s="126">
        <v>44995</v>
      </c>
      <c r="B433" s="100">
        <v>656.1</v>
      </c>
      <c r="C433" s="99">
        <f t="shared" si="40"/>
        <v>-2.9633006610438883E-3</v>
      </c>
      <c r="D433" s="100">
        <v>17412.900000000001</v>
      </c>
      <c r="E433" s="99">
        <f t="shared" si="41"/>
        <v>-1.0045708827943645E-2</v>
      </c>
      <c r="F433" s="100">
        <v>11700.4</v>
      </c>
      <c r="G433" s="99">
        <f t="shared" si="39"/>
        <v>4.2519913849099478E-3</v>
      </c>
    </row>
    <row r="434" spans="1:7">
      <c r="A434" s="126">
        <v>44994</v>
      </c>
      <c r="B434" s="100">
        <v>658.05</v>
      </c>
      <c r="C434" s="99">
        <f t="shared" si="40"/>
        <v>-9.3338351524275831E-3</v>
      </c>
      <c r="D434" s="100">
        <v>17589.599999999999</v>
      </c>
      <c r="E434" s="99">
        <f t="shared" si="41"/>
        <v>-9.2822061010230383E-3</v>
      </c>
      <c r="F434" s="100">
        <v>11750.15</v>
      </c>
      <c r="G434" s="99">
        <f t="shared" si="39"/>
        <v>4.9148308744995095E-3</v>
      </c>
    </row>
    <row r="435" spans="1:7">
      <c r="A435" s="126">
        <v>44993</v>
      </c>
      <c r="B435" s="100">
        <v>664.25</v>
      </c>
      <c r="C435" s="99">
        <f t="shared" si="40"/>
        <v>2.7171862027322025E-3</v>
      </c>
      <c r="D435" s="100">
        <v>17754.400000000001</v>
      </c>
      <c r="E435" s="99">
        <f t="shared" si="41"/>
        <v>2.4249849673516621E-3</v>
      </c>
      <c r="F435" s="100">
        <v>11807.9</v>
      </c>
      <c r="G435" s="99">
        <f t="shared" si="39"/>
        <v>-2.210384573040125E-3</v>
      </c>
    </row>
    <row r="436" spans="1:7">
      <c r="A436" s="126">
        <v>44991</v>
      </c>
      <c r="B436" s="100">
        <v>662.45</v>
      </c>
      <c r="C436" s="99">
        <f t="shared" si="40"/>
        <v>-6.0345477860745955E-4</v>
      </c>
      <c r="D436" s="100">
        <v>17711.45</v>
      </c>
      <c r="E436" s="99">
        <f t="shared" si="41"/>
        <v>6.6555456723325079E-3</v>
      </c>
      <c r="F436" s="100">
        <v>11781.8</v>
      </c>
      <c r="G436" s="99">
        <f t="shared" si="39"/>
        <v>-1.7569471557825622E-3</v>
      </c>
    </row>
    <row r="437" spans="1:7">
      <c r="A437" s="126">
        <v>44988</v>
      </c>
      <c r="B437" s="100">
        <v>662.85</v>
      </c>
      <c r="C437" s="99">
        <f t="shared" si="40"/>
        <v>4.6987495263357548E-3</v>
      </c>
      <c r="D437" s="100">
        <v>17594.349999999999</v>
      </c>
      <c r="E437" s="99">
        <f t="shared" si="41"/>
        <v>1.5728644086387522E-2</v>
      </c>
      <c r="F437" s="100">
        <v>11761.1</v>
      </c>
      <c r="G437" s="99">
        <f t="shared" si="39"/>
        <v>2.9759121170647163E-4</v>
      </c>
    </row>
    <row r="438" spans="1:7">
      <c r="A438" s="126">
        <v>44987</v>
      </c>
      <c r="B438" s="100">
        <v>659.75</v>
      </c>
      <c r="C438" s="99">
        <f t="shared" si="40"/>
        <v>-2.4947081947384042E-3</v>
      </c>
      <c r="D438" s="100">
        <v>17321.900000000001</v>
      </c>
      <c r="E438" s="99">
        <f t="shared" si="41"/>
        <v>-7.3921688852723877E-3</v>
      </c>
      <c r="F438" s="100">
        <v>11764.6</v>
      </c>
      <c r="G438" s="99">
        <f t="shared" si="39"/>
        <v>-1.4875133876205426E-3</v>
      </c>
    </row>
    <row r="439" spans="1:7">
      <c r="A439" s="126">
        <v>44986</v>
      </c>
      <c r="B439" s="100">
        <v>661.4</v>
      </c>
      <c r="C439" s="99">
        <f t="shared" si="40"/>
        <v>3.2612817595751853E-3</v>
      </c>
      <c r="D439" s="100">
        <v>17450.900000000001</v>
      </c>
      <c r="E439" s="99">
        <f t="shared" si="41"/>
        <v>8.4922806642413473E-3</v>
      </c>
      <c r="F439" s="100">
        <v>11747.1</v>
      </c>
      <c r="G439" s="99">
        <f t="shared" si="39"/>
        <v>1.3228796894552586E-2</v>
      </c>
    </row>
    <row r="440" spans="1:7">
      <c r="A440" s="126">
        <v>44985</v>
      </c>
      <c r="B440" s="100">
        <v>659.25</v>
      </c>
      <c r="C440" s="99">
        <f t="shared" si="40"/>
        <v>7.1035747021082063E-3</v>
      </c>
      <c r="D440" s="100">
        <v>17303.95</v>
      </c>
      <c r="E440" s="99">
        <f t="shared" si="41"/>
        <v>-5.1027155070805241E-3</v>
      </c>
      <c r="F440" s="100">
        <v>11902.5</v>
      </c>
      <c r="G440" s="99">
        <f t="shared" si="39"/>
        <v>7.8722957361898604E-3</v>
      </c>
    </row>
    <row r="441" spans="1:7">
      <c r="A441" s="126">
        <v>44984</v>
      </c>
      <c r="B441" s="100">
        <v>654.6</v>
      </c>
      <c r="C441" s="99">
        <f t="shared" si="40"/>
        <v>-7.2040646090847371E-3</v>
      </c>
      <c r="D441" s="100">
        <v>17392.7</v>
      </c>
      <c r="E441" s="99">
        <f t="shared" si="41"/>
        <v>-4.1853221724741374E-3</v>
      </c>
      <c r="F441" s="100">
        <v>11996.2</v>
      </c>
      <c r="G441" s="99">
        <f t="shared" si="39"/>
        <v>-2.3340724562778137E-3</v>
      </c>
    </row>
    <row r="442" spans="1:7">
      <c r="A442" s="126">
        <v>44981</v>
      </c>
      <c r="B442" s="100">
        <v>659.35</v>
      </c>
      <c r="C442" s="99">
        <f t="shared" si="40"/>
        <v>1.5189488873699197E-3</v>
      </c>
      <c r="D442" s="100">
        <v>17465.8</v>
      </c>
      <c r="E442" s="99">
        <f t="shared" si="41"/>
        <v>-2.5954743379256184E-3</v>
      </c>
      <c r="F442" s="100">
        <v>11968.2</v>
      </c>
      <c r="G442" s="99">
        <f t="shared" si="39"/>
        <v>1.9760699186175401E-3</v>
      </c>
    </row>
    <row r="443" spans="1:7">
      <c r="A443" s="126">
        <v>44980</v>
      </c>
      <c r="B443" s="100">
        <v>658.35</v>
      </c>
      <c r="C443" s="99">
        <f t="shared" si="40"/>
        <v>-8.5090361445783191E-3</v>
      </c>
      <c r="D443" s="100">
        <v>17511.25</v>
      </c>
      <c r="E443" s="99">
        <f t="shared" si="41"/>
        <v>-2.4523905823643499E-3</v>
      </c>
      <c r="F443" s="100">
        <v>11991.85</v>
      </c>
      <c r="G443" s="99">
        <f t="shared" si="39"/>
        <v>2.3057326434203773E-3</v>
      </c>
    </row>
    <row r="444" spans="1:7">
      <c r="A444" s="126">
        <v>44979</v>
      </c>
      <c r="B444" s="100">
        <v>664</v>
      </c>
      <c r="C444" s="99">
        <f t="shared" si="40"/>
        <v>-9.6204042061303063E-3</v>
      </c>
      <c r="D444" s="100">
        <v>17554.3</v>
      </c>
      <c r="E444" s="99">
        <f t="shared" si="41"/>
        <v>-1.528045011134993E-2</v>
      </c>
      <c r="F444" s="100">
        <v>12019.5</v>
      </c>
      <c r="G444" s="99">
        <f t="shared" si="39"/>
        <v>2.9868130953867311E-3</v>
      </c>
    </row>
    <row r="445" spans="1:7">
      <c r="A445" s="126">
        <v>44978</v>
      </c>
      <c r="B445" s="100">
        <v>670.45</v>
      </c>
      <c r="C445" s="99">
        <f t="shared" si="40"/>
        <v>5.0217358716835303E-3</v>
      </c>
      <c r="D445" s="100">
        <v>17826.7</v>
      </c>
      <c r="E445" s="99">
        <f t="shared" si="41"/>
        <v>-1.0031045806573324E-3</v>
      </c>
      <c r="F445" s="100">
        <v>12055.4</v>
      </c>
      <c r="G445" s="99">
        <f t="shared" si="39"/>
        <v>8.183054896560904E-3</v>
      </c>
    </row>
    <row r="446" spans="1:7">
      <c r="A446" s="126">
        <v>44977</v>
      </c>
      <c r="B446" s="100">
        <v>667.1</v>
      </c>
      <c r="C446" s="99">
        <f t="shared" si="40"/>
        <v>-4.6254849298716927E-3</v>
      </c>
      <c r="D446" s="100">
        <v>17844.599999999999</v>
      </c>
      <c r="E446" s="99">
        <f t="shared" si="41"/>
        <v>-5.5505400073562194E-3</v>
      </c>
      <c r="F446" s="100">
        <v>12154.05</v>
      </c>
      <c r="G446" s="99">
        <f t="shared" si="39"/>
        <v>1.1893154956578389E-2</v>
      </c>
    </row>
    <row r="447" spans="1:7">
      <c r="A447" s="126">
        <v>44974</v>
      </c>
      <c r="B447" s="100">
        <v>670.2</v>
      </c>
      <c r="C447" s="99">
        <f t="shared" si="40"/>
        <v>-1.6941694169416821E-2</v>
      </c>
      <c r="D447" s="100">
        <v>17944.2</v>
      </c>
      <c r="E447" s="99">
        <f t="shared" si="41"/>
        <v>-5.0815459210404867E-3</v>
      </c>
      <c r="F447" s="100">
        <v>12298.6</v>
      </c>
      <c r="G447" s="99">
        <f t="shared" si="39"/>
        <v>-5.0005691704746447E-3</v>
      </c>
    </row>
    <row r="448" spans="1:7">
      <c r="A448" s="126">
        <v>44973</v>
      </c>
      <c r="B448" s="100">
        <v>681.75</v>
      </c>
      <c r="C448" s="99">
        <f t="shared" si="40"/>
        <v>1.8905993125093445E-2</v>
      </c>
      <c r="D448" s="100">
        <v>18035.849999999999</v>
      </c>
      <c r="E448" s="99">
        <f t="shared" si="41"/>
        <v>1.1101335768226583E-3</v>
      </c>
      <c r="F448" s="100">
        <v>12237.1</v>
      </c>
      <c r="G448" s="99">
        <f t="shared" si="39"/>
        <v>9.5610888200625688E-4</v>
      </c>
    </row>
    <row r="449" spans="1:7">
      <c r="A449" s="126">
        <v>44972</v>
      </c>
      <c r="B449" s="100">
        <v>669.1</v>
      </c>
      <c r="C449" s="99">
        <f t="shared" si="40"/>
        <v>9.2006033182503444E-3</v>
      </c>
      <c r="D449" s="100">
        <v>18015.849999999999</v>
      </c>
      <c r="E449" s="99">
        <f t="shared" si="41"/>
        <v>4.7964706899388254E-3</v>
      </c>
      <c r="F449" s="100">
        <v>12248.8</v>
      </c>
      <c r="G449" s="99">
        <f t="shared" si="39"/>
        <v>1.5756645548952175E-3</v>
      </c>
    </row>
    <row r="450" spans="1:7">
      <c r="A450" s="126">
        <v>44971</v>
      </c>
      <c r="B450" s="100">
        <v>663</v>
      </c>
      <c r="C450" s="99">
        <f t="shared" si="40"/>
        <v>-1.7996000888691355E-2</v>
      </c>
      <c r="D450" s="100">
        <v>17929.849999999999</v>
      </c>
      <c r="E450" s="99">
        <f t="shared" si="41"/>
        <v>8.9443978639234256E-3</v>
      </c>
      <c r="F450" s="100">
        <v>12268.1</v>
      </c>
      <c r="G450" s="99">
        <f t="shared" si="39"/>
        <v>4.8010694402556009E-3</v>
      </c>
    </row>
    <row r="451" spans="1:7">
      <c r="A451" s="126">
        <v>44970</v>
      </c>
      <c r="B451" s="100">
        <v>675.15</v>
      </c>
      <c r="C451" s="99">
        <f t="shared" si="40"/>
        <v>-8.4107712134572354E-2</v>
      </c>
      <c r="D451" s="100">
        <v>17770.900000000001</v>
      </c>
      <c r="E451" s="99">
        <f t="shared" si="41"/>
        <v>-4.7937725758125938E-3</v>
      </c>
      <c r="F451" s="100">
        <v>12327</v>
      </c>
      <c r="G451" s="99">
        <f t="shared" si="39"/>
        <v>-1.9875070982395826E-3</v>
      </c>
    </row>
    <row r="452" spans="1:7">
      <c r="A452" s="126">
        <v>44967</v>
      </c>
      <c r="B452" s="100">
        <v>737.15</v>
      </c>
      <c r="C452" s="99">
        <f t="shared" si="40"/>
        <v>-4.8040291857687101E-2</v>
      </c>
      <c r="D452" s="100">
        <v>17856.5</v>
      </c>
      <c r="E452" s="99">
        <f t="shared" si="41"/>
        <v>-2.0650014390740656E-3</v>
      </c>
      <c r="F452" s="100">
        <v>12302.5</v>
      </c>
      <c r="G452" s="99">
        <f t="shared" si="39"/>
        <v>4.4543791912212694E-3</v>
      </c>
    </row>
    <row r="453" spans="1:7">
      <c r="A453" s="126">
        <v>44966</v>
      </c>
      <c r="B453" s="100">
        <v>774.35</v>
      </c>
      <c r="C453" s="99">
        <f t="shared" si="40"/>
        <v>-1.2253321294981578E-3</v>
      </c>
      <c r="D453" s="100">
        <v>17893.45</v>
      </c>
      <c r="E453" s="99">
        <f t="shared" si="41"/>
        <v>1.2170078951638796E-3</v>
      </c>
      <c r="F453" s="100">
        <v>12357.3</v>
      </c>
      <c r="G453" s="99">
        <f t="shared" si="39"/>
        <v>-1.3425262800126236E-2</v>
      </c>
    </row>
    <row r="454" spans="1:7">
      <c r="A454" s="126">
        <v>44965</v>
      </c>
      <c r="B454" s="100">
        <v>775.3</v>
      </c>
      <c r="C454" s="99">
        <f t="shared" si="40"/>
        <v>3.187595661143261E-2</v>
      </c>
      <c r="D454" s="100">
        <v>17871.7</v>
      </c>
      <c r="E454" s="99">
        <f t="shared" si="41"/>
        <v>8.475580509550662E-3</v>
      </c>
      <c r="F454" s="100">
        <v>12191.4</v>
      </c>
      <c r="G454" s="99">
        <f t="shared" si="39"/>
        <v>1.3944255786868531E-4</v>
      </c>
    </row>
    <row r="455" spans="1:7">
      <c r="A455" s="126">
        <v>44964</v>
      </c>
      <c r="B455" s="100">
        <v>751.35</v>
      </c>
      <c r="C455" s="99">
        <f t="shared" si="40"/>
        <v>8.3204723881098452E-3</v>
      </c>
      <c r="D455" s="100">
        <v>17721.5</v>
      </c>
      <c r="E455" s="99">
        <f t="shared" si="41"/>
        <v>-2.4261734010334601E-3</v>
      </c>
      <c r="F455" s="100">
        <v>12193.1</v>
      </c>
      <c r="G455" s="99">
        <f t="shared" si="39"/>
        <v>-6.9711558176344113E-4</v>
      </c>
    </row>
    <row r="456" spans="1:7">
      <c r="A456" s="126">
        <v>44963</v>
      </c>
      <c r="B456" s="100">
        <v>745.15</v>
      </c>
      <c r="C456" s="99">
        <f t="shared" si="40"/>
        <v>7.7765756018393084E-3</v>
      </c>
      <c r="D456" s="100">
        <v>17764.599999999999</v>
      </c>
      <c r="E456" s="99">
        <f t="shared" si="41"/>
        <v>-5.0100677437332486E-3</v>
      </c>
      <c r="F456" s="100">
        <v>12184.6</v>
      </c>
      <c r="G456" s="99">
        <f t="shared" si="39"/>
        <v>9.9880176616384819E-3</v>
      </c>
    </row>
    <row r="457" spans="1:7">
      <c r="A457" s="126">
        <v>44960</v>
      </c>
      <c r="B457" s="100">
        <v>739.4</v>
      </c>
      <c r="C457" s="99">
        <f t="shared" si="40"/>
        <v>-3.5040431266846195E-3</v>
      </c>
      <c r="D457" s="100">
        <v>17854.05</v>
      </c>
      <c r="E457" s="99">
        <f t="shared" si="41"/>
        <v>1.3835574433289199E-2</v>
      </c>
      <c r="F457" s="100">
        <v>12306.3</v>
      </c>
      <c r="G457" s="99">
        <f t="shared" ref="G457:G515" si="42">F458/F457-1</f>
        <v>4.0223300260842088E-3</v>
      </c>
    </row>
    <row r="458" spans="1:7">
      <c r="A458" s="126">
        <v>44959</v>
      </c>
      <c r="B458" s="100">
        <v>742</v>
      </c>
      <c r="C458" s="99">
        <f t="shared" ref="C458:C516" si="43">B458/B459-1</f>
        <v>6.2381339842689787E-3</v>
      </c>
      <c r="D458" s="100">
        <v>17610.400000000001</v>
      </c>
      <c r="E458" s="99">
        <f t="shared" ref="E458:E515" si="44">D458/D459-1</f>
        <v>-3.3491709382771351E-4</v>
      </c>
      <c r="F458" s="100">
        <v>12355.8</v>
      </c>
      <c r="G458" s="99">
        <f t="shared" si="42"/>
        <v>3.6015474513995116E-4</v>
      </c>
    </row>
    <row r="459" spans="1:7">
      <c r="A459" s="126">
        <v>44958</v>
      </c>
      <c r="B459" s="100">
        <v>737.4</v>
      </c>
      <c r="C459" s="99">
        <f t="shared" si="43"/>
        <v>1.3563000135641268E-4</v>
      </c>
      <c r="D459" s="100">
        <v>17616.3</v>
      </c>
      <c r="E459" s="99">
        <f t="shared" si="44"/>
        <v>-2.5959466995808533E-3</v>
      </c>
      <c r="F459" s="100">
        <v>12360.25</v>
      </c>
      <c r="G459" s="99">
        <f t="shared" si="42"/>
        <v>1.0011933415586149E-2</v>
      </c>
    </row>
    <row r="460" spans="1:7">
      <c r="A460" s="126">
        <v>44957</v>
      </c>
      <c r="B460" s="100">
        <v>737.3</v>
      </c>
      <c r="C460" s="99">
        <f t="shared" si="43"/>
        <v>3.5388593983938232E-3</v>
      </c>
      <c r="D460" s="100">
        <v>17662.150000000001</v>
      </c>
      <c r="E460" s="99">
        <f t="shared" si="44"/>
        <v>7.4791984792299537E-4</v>
      </c>
      <c r="F460" s="100">
        <v>12484</v>
      </c>
      <c r="G460" s="99">
        <f t="shared" si="42"/>
        <v>1.9264658763216147E-3</v>
      </c>
    </row>
    <row r="461" spans="1:7">
      <c r="A461" s="126">
        <v>44956</v>
      </c>
      <c r="B461" s="100">
        <v>734.7</v>
      </c>
      <c r="C461" s="99">
        <f t="shared" si="43"/>
        <v>-9.9717019269639495E-3</v>
      </c>
      <c r="D461" s="100">
        <v>17648.95</v>
      </c>
      <c r="E461" s="99">
        <f t="shared" si="44"/>
        <v>2.5334647402490695E-3</v>
      </c>
      <c r="F461" s="100">
        <v>12508.05</v>
      </c>
      <c r="G461" s="99">
        <f t="shared" si="42"/>
        <v>-5.4325014690538298E-3</v>
      </c>
    </row>
    <row r="462" spans="1:7">
      <c r="A462" s="126">
        <v>44953</v>
      </c>
      <c r="B462" s="100">
        <v>742.1</v>
      </c>
      <c r="C462" s="99">
        <f t="shared" si="43"/>
        <v>-6.8254817987152272E-3</v>
      </c>
      <c r="D462" s="100">
        <v>17604.349999999999</v>
      </c>
      <c r="E462" s="99">
        <f t="shared" si="44"/>
        <v>-1.6074268036742945E-2</v>
      </c>
      <c r="F462" s="100">
        <v>12440.1</v>
      </c>
      <c r="G462" s="99">
        <f t="shared" si="42"/>
        <v>1.2359225408155927E-2</v>
      </c>
    </row>
    <row r="463" spans="1:7">
      <c r="A463" s="126">
        <v>44951</v>
      </c>
      <c r="B463" s="100">
        <v>747.2</v>
      </c>
      <c r="C463" s="99">
        <f t="shared" si="43"/>
        <v>-6.4490392926001006E-3</v>
      </c>
      <c r="D463" s="100">
        <v>17891.95</v>
      </c>
      <c r="E463" s="99">
        <f t="shared" si="44"/>
        <v>-1.2492893924926696E-2</v>
      </c>
      <c r="F463" s="100">
        <v>12593.85</v>
      </c>
      <c r="G463" s="99">
        <f t="shared" si="42"/>
        <v>9.8937179655149698E-3</v>
      </c>
    </row>
    <row r="464" spans="1:7">
      <c r="A464" s="126">
        <v>44950</v>
      </c>
      <c r="B464" s="100">
        <v>752.05</v>
      </c>
      <c r="C464" s="99">
        <f t="shared" si="43"/>
        <v>-1.7634380510743952E-2</v>
      </c>
      <c r="D464" s="100">
        <v>18118.3</v>
      </c>
      <c r="E464" s="99">
        <f t="shared" si="44"/>
        <v>-1.3798013637988937E-5</v>
      </c>
      <c r="F464" s="100">
        <v>12718.45</v>
      </c>
      <c r="G464" s="99">
        <f t="shared" si="42"/>
        <v>-8.8061045174530062E-3</v>
      </c>
    </row>
    <row r="465" spans="1:7">
      <c r="A465" s="126">
        <v>44949</v>
      </c>
      <c r="B465" s="100">
        <v>765.55</v>
      </c>
      <c r="C465" s="99">
        <f t="shared" si="43"/>
        <v>1.3906363816965861E-2</v>
      </c>
      <c r="D465" s="100">
        <v>18118.55</v>
      </c>
      <c r="E465" s="99">
        <f t="shared" si="44"/>
        <v>5.0422545367809768E-3</v>
      </c>
      <c r="F465" s="100">
        <v>12606.45</v>
      </c>
      <c r="G465" s="99">
        <f t="shared" si="42"/>
        <v>7.3454461803281745E-3</v>
      </c>
    </row>
    <row r="466" spans="1:7">
      <c r="A466" s="126">
        <v>44946</v>
      </c>
      <c r="B466" s="100">
        <v>755.05</v>
      </c>
      <c r="C466" s="99">
        <f t="shared" si="43"/>
        <v>-5.9899947340706916E-3</v>
      </c>
      <c r="D466" s="100">
        <v>18027.650000000001</v>
      </c>
      <c r="E466" s="99">
        <f t="shared" si="44"/>
        <v>-4.4290183539181793E-3</v>
      </c>
      <c r="F466" s="100">
        <v>12699.05</v>
      </c>
      <c r="G466" s="99">
        <f t="shared" si="42"/>
        <v>2.7915473992150552E-3</v>
      </c>
    </row>
    <row r="467" spans="1:7">
      <c r="A467" s="126">
        <v>44945</v>
      </c>
      <c r="B467" s="100">
        <v>759.6</v>
      </c>
      <c r="C467" s="99">
        <f t="shared" si="43"/>
        <v>-9.8416215863911249E-3</v>
      </c>
      <c r="D467" s="100">
        <v>18107.849999999999</v>
      </c>
      <c r="E467" s="99">
        <f t="shared" si="44"/>
        <v>-3.1653670311885262E-3</v>
      </c>
      <c r="F467" s="100">
        <v>12734.5</v>
      </c>
      <c r="G467" s="99">
        <f t="shared" si="42"/>
        <v>-6.7925713612627669E-3</v>
      </c>
    </row>
    <row r="468" spans="1:7">
      <c r="A468" s="126">
        <v>44944</v>
      </c>
      <c r="B468" s="100">
        <v>767.15</v>
      </c>
      <c r="C468" s="99">
        <f t="shared" si="43"/>
        <v>1.8453368735479536E-2</v>
      </c>
      <c r="D468" s="100">
        <v>18165.349999999999</v>
      </c>
      <c r="E468" s="99">
        <f t="shared" si="44"/>
        <v>6.2066215041016726E-3</v>
      </c>
      <c r="F468" s="100">
        <v>12648</v>
      </c>
      <c r="G468" s="99">
        <f t="shared" si="42"/>
        <v>9.0132827324485021E-4</v>
      </c>
    </row>
    <row r="469" spans="1:7">
      <c r="A469" s="126">
        <v>44943</v>
      </c>
      <c r="B469" s="100">
        <v>753.25</v>
      </c>
      <c r="C469" s="99">
        <f t="shared" si="43"/>
        <v>-4.8880375189906955E-3</v>
      </c>
      <c r="D469" s="100">
        <v>18053.3</v>
      </c>
      <c r="E469" s="99">
        <f t="shared" si="44"/>
        <v>8.8545028318203212E-3</v>
      </c>
      <c r="F469" s="100">
        <v>12659.4</v>
      </c>
      <c r="G469" s="99">
        <f t="shared" si="42"/>
        <v>7.4253124160694739E-4</v>
      </c>
    </row>
    <row r="470" spans="1:7">
      <c r="A470" s="126">
        <v>44942</v>
      </c>
      <c r="B470" s="100">
        <v>756.95</v>
      </c>
      <c r="C470" s="99">
        <f t="shared" si="43"/>
        <v>1.5878266622559867E-3</v>
      </c>
      <c r="D470" s="100">
        <v>17894.849999999999</v>
      </c>
      <c r="E470" s="99">
        <f t="shared" si="44"/>
        <v>-3.4388469977613134E-3</v>
      </c>
      <c r="F470" s="100">
        <v>12668.8</v>
      </c>
      <c r="G470" s="99">
        <f t="shared" si="42"/>
        <v>2.0917529679231883E-4</v>
      </c>
    </row>
    <row r="471" spans="1:7">
      <c r="A471" s="126">
        <v>44939</v>
      </c>
      <c r="B471" s="100">
        <v>755.75</v>
      </c>
      <c r="C471" s="99">
        <f t="shared" si="43"/>
        <v>1.8559024325577322E-3</v>
      </c>
      <c r="D471" s="100">
        <v>17956.599999999999</v>
      </c>
      <c r="E471" s="99">
        <f t="shared" si="44"/>
        <v>5.5100738036306662E-3</v>
      </c>
      <c r="F471" s="100">
        <v>12671.45</v>
      </c>
      <c r="G471" s="99">
        <f t="shared" si="42"/>
        <v>8.5230971988203841E-4</v>
      </c>
    </row>
    <row r="472" spans="1:7">
      <c r="A472" s="126">
        <v>44938</v>
      </c>
      <c r="B472" s="100">
        <v>754.35</v>
      </c>
      <c r="C472" s="99">
        <f t="shared" si="43"/>
        <v>3.9785160135275E-4</v>
      </c>
      <c r="D472" s="100">
        <v>17858.2</v>
      </c>
      <c r="E472" s="99">
        <f t="shared" si="44"/>
        <v>-2.0954754494096894E-3</v>
      </c>
      <c r="F472" s="100">
        <v>12682.25</v>
      </c>
      <c r="G472" s="99">
        <f t="shared" si="42"/>
        <v>6.6510280115910092E-3</v>
      </c>
    </row>
    <row r="473" spans="1:7">
      <c r="A473" s="126">
        <v>44937</v>
      </c>
      <c r="B473" s="100">
        <v>754.05</v>
      </c>
      <c r="C473" s="99">
        <f t="shared" si="43"/>
        <v>-6.3253607432299797E-3</v>
      </c>
      <c r="D473" s="100">
        <v>17895.7</v>
      </c>
      <c r="E473" s="99">
        <f t="shared" si="44"/>
        <v>-1.0299121085846075E-3</v>
      </c>
      <c r="F473" s="100">
        <v>12766.6</v>
      </c>
      <c r="G473" s="99">
        <f t="shared" si="42"/>
        <v>3.1331756301589131E-4</v>
      </c>
    </row>
    <row r="474" spans="1:7">
      <c r="A474" s="126">
        <v>44936</v>
      </c>
      <c r="B474" s="100">
        <v>758.85</v>
      </c>
      <c r="C474" s="99">
        <f t="shared" si="43"/>
        <v>1.2002400480096043E-2</v>
      </c>
      <c r="D474" s="100">
        <v>17914.150000000001</v>
      </c>
      <c r="E474" s="99">
        <f t="shared" si="44"/>
        <v>-1.0333569045146151E-2</v>
      </c>
      <c r="F474" s="100">
        <v>12770.6</v>
      </c>
      <c r="G474" s="99">
        <f t="shared" si="42"/>
        <v>-9.0559566504314626E-3</v>
      </c>
    </row>
    <row r="475" spans="1:7">
      <c r="A475" s="126">
        <v>44935</v>
      </c>
      <c r="B475" s="100">
        <v>749.85</v>
      </c>
      <c r="C475" s="99">
        <f t="shared" si="43"/>
        <v>1.5919252133857142E-2</v>
      </c>
      <c r="D475" s="100">
        <v>18101.2</v>
      </c>
      <c r="E475" s="99">
        <f t="shared" si="44"/>
        <v>1.3536251116355702E-2</v>
      </c>
      <c r="F475" s="100">
        <v>12654.95</v>
      </c>
      <c r="G475" s="99">
        <f t="shared" si="42"/>
        <v>7.7637604257623227E-3</v>
      </c>
    </row>
    <row r="476" spans="1:7">
      <c r="A476" s="126">
        <v>44932</v>
      </c>
      <c r="B476" s="100">
        <v>738.1</v>
      </c>
      <c r="C476" s="99">
        <f t="shared" si="43"/>
        <v>-6.3942922528100743E-3</v>
      </c>
      <c r="D476" s="100">
        <v>17859.45</v>
      </c>
      <c r="E476" s="99">
        <f t="shared" si="44"/>
        <v>-7.3754387330030591E-3</v>
      </c>
      <c r="F476" s="100">
        <v>12753.2</v>
      </c>
      <c r="G476" s="99">
        <f t="shared" si="42"/>
        <v>-1.0228805319449252E-2</v>
      </c>
    </row>
    <row r="477" spans="1:7">
      <c r="A477" s="126">
        <v>44931</v>
      </c>
      <c r="B477" s="100">
        <v>742.85</v>
      </c>
      <c r="C477" s="99">
        <f t="shared" si="43"/>
        <v>1.1230601687993502E-2</v>
      </c>
      <c r="D477" s="100">
        <v>17992.150000000001</v>
      </c>
      <c r="E477" s="99">
        <f t="shared" si="44"/>
        <v>-2.8155041165662809E-3</v>
      </c>
      <c r="F477" s="100">
        <v>12622.75</v>
      </c>
      <c r="G477" s="99">
        <f t="shared" si="42"/>
        <v>1.5052187518567184E-3</v>
      </c>
    </row>
    <row r="478" spans="1:7">
      <c r="A478" s="126">
        <v>44930</v>
      </c>
      <c r="B478" s="100">
        <v>734.6</v>
      </c>
      <c r="C478" s="99">
        <f t="shared" si="43"/>
        <v>-4.5396029541296956E-3</v>
      </c>
      <c r="D478" s="100">
        <v>18042.95</v>
      </c>
      <c r="E478" s="99">
        <f t="shared" si="44"/>
        <v>-1.0398984234240349E-2</v>
      </c>
      <c r="F478" s="100">
        <v>12641.75</v>
      </c>
      <c r="G478" s="99">
        <f t="shared" si="42"/>
        <v>-7.146953546779522E-3</v>
      </c>
    </row>
    <row r="479" spans="1:7">
      <c r="A479" s="126">
        <v>44929</v>
      </c>
      <c r="B479" s="100">
        <v>737.95</v>
      </c>
      <c r="C479" s="99">
        <f t="shared" si="43"/>
        <v>6.9591321552842089E-3</v>
      </c>
      <c r="D479" s="100">
        <v>18232.55</v>
      </c>
      <c r="E479" s="99">
        <f t="shared" si="44"/>
        <v>1.9288416783669327E-3</v>
      </c>
      <c r="F479" s="100">
        <v>12551.4</v>
      </c>
      <c r="G479" s="99">
        <f t="shared" si="42"/>
        <v>3.6808642860557406E-3</v>
      </c>
    </row>
    <row r="480" spans="1:7">
      <c r="A480" s="126">
        <v>44928</v>
      </c>
      <c r="B480" s="100">
        <v>732.85</v>
      </c>
      <c r="C480" s="99">
        <f t="shared" si="43"/>
        <v>-1.1585116532643047E-3</v>
      </c>
      <c r="D480" s="100">
        <v>18197.45</v>
      </c>
      <c r="E480" s="99">
        <f t="shared" si="44"/>
        <v>5.0896698756719427E-3</v>
      </c>
      <c r="F480" s="100">
        <v>12597.6</v>
      </c>
      <c r="G480" s="99">
        <f t="shared" si="42"/>
        <v>2.9132533180922238E-3</v>
      </c>
    </row>
    <row r="481" spans="1:7">
      <c r="A481" s="126">
        <v>44925</v>
      </c>
      <c r="B481" s="100">
        <v>733.7</v>
      </c>
      <c r="C481" s="99">
        <f t="shared" si="43"/>
        <v>-3.3281260612646468E-3</v>
      </c>
      <c r="D481" s="100">
        <v>18105.3</v>
      </c>
      <c r="E481" s="99">
        <f t="shared" si="44"/>
        <v>-4.7111208839536456E-3</v>
      </c>
      <c r="F481" s="100">
        <v>12634.3</v>
      </c>
      <c r="G481" s="99">
        <f t="shared" si="42"/>
        <v>-8.0336860767904472E-4</v>
      </c>
    </row>
    <row r="482" spans="1:7">
      <c r="A482" s="126">
        <v>44924</v>
      </c>
      <c r="B482" s="100">
        <v>736.15</v>
      </c>
      <c r="C482" s="99">
        <f t="shared" si="43"/>
        <v>4.4344385318597634E-3</v>
      </c>
      <c r="D482" s="100">
        <v>18191</v>
      </c>
      <c r="E482" s="99">
        <f t="shared" si="44"/>
        <v>3.7798317009243299E-3</v>
      </c>
      <c r="F482" s="100">
        <v>12624.15</v>
      </c>
      <c r="G482" s="99">
        <f t="shared" si="42"/>
        <v>5.5924557296926913E-3</v>
      </c>
    </row>
    <row r="483" spans="1:7">
      <c r="A483" s="126">
        <v>44923</v>
      </c>
      <c r="B483" s="100">
        <v>732.9</v>
      </c>
      <c r="C483" s="99">
        <f t="shared" si="43"/>
        <v>-1.1864635297290094E-2</v>
      </c>
      <c r="D483" s="100">
        <v>18122.5</v>
      </c>
      <c r="E483" s="99">
        <f t="shared" si="44"/>
        <v>-5.4047197542506087E-4</v>
      </c>
      <c r="F483" s="100">
        <v>12694.75</v>
      </c>
      <c r="G483" s="99">
        <f t="shared" si="42"/>
        <v>-1.3903385257685308E-3</v>
      </c>
    </row>
    <row r="484" spans="1:7">
      <c r="A484" s="126">
        <v>44922</v>
      </c>
      <c r="B484" s="100">
        <v>741.7</v>
      </c>
      <c r="C484" s="99">
        <f t="shared" si="43"/>
        <v>-6.736728644569645E-4</v>
      </c>
      <c r="D484" s="100">
        <v>18132.3</v>
      </c>
      <c r="E484" s="99">
        <f t="shared" si="44"/>
        <v>6.5335894219133994E-3</v>
      </c>
      <c r="F484" s="100">
        <v>12677.1</v>
      </c>
      <c r="G484" s="99">
        <f t="shared" si="42"/>
        <v>8.4680250214954622E-3</v>
      </c>
    </row>
    <row r="485" spans="1:7">
      <c r="A485" s="126">
        <v>44921</v>
      </c>
      <c r="B485" s="100">
        <v>742.2</v>
      </c>
      <c r="C485" s="99">
        <f t="shared" si="43"/>
        <v>-1.922695738354796E-2</v>
      </c>
      <c r="D485" s="100">
        <v>18014.599999999999</v>
      </c>
      <c r="E485" s="99">
        <f t="shared" si="44"/>
        <v>1.1669699216029894E-2</v>
      </c>
      <c r="F485" s="100">
        <v>12784.45</v>
      </c>
      <c r="G485" s="99">
        <f t="shared" si="42"/>
        <v>8.4712287192643121E-3</v>
      </c>
    </row>
    <row r="486" spans="1:7">
      <c r="A486" s="126">
        <v>44918</v>
      </c>
      <c r="B486" s="100">
        <v>756.75</v>
      </c>
      <c r="C486" s="99">
        <f t="shared" si="43"/>
        <v>-1.2462482056635693E-2</v>
      </c>
      <c r="D486" s="100">
        <v>17806.8</v>
      </c>
      <c r="E486" s="99">
        <f t="shared" si="44"/>
        <v>-1.7683224519855267E-2</v>
      </c>
      <c r="F486" s="100">
        <v>12892.75</v>
      </c>
      <c r="G486" s="99">
        <f t="shared" si="42"/>
        <v>2.144616160244972E-3</v>
      </c>
    </row>
    <row r="487" spans="1:7">
      <c r="A487" s="126">
        <v>44917</v>
      </c>
      <c r="B487" s="100">
        <v>766.3</v>
      </c>
      <c r="C487" s="99">
        <f t="shared" si="43"/>
        <v>1.9897517801291009E-2</v>
      </c>
      <c r="D487" s="100">
        <v>18127.349999999999</v>
      </c>
      <c r="E487" s="99">
        <f t="shared" si="44"/>
        <v>-3.9425026512299732E-3</v>
      </c>
      <c r="F487" s="100">
        <v>12920.4</v>
      </c>
      <c r="G487" s="99">
        <f t="shared" si="42"/>
        <v>-2.3370019504040052E-2</v>
      </c>
    </row>
    <row r="488" spans="1:7">
      <c r="A488" s="126">
        <v>44916</v>
      </c>
      <c r="B488" s="100">
        <v>751.35</v>
      </c>
      <c r="C488" s="99">
        <f t="shared" si="43"/>
        <v>3.4988635580962768E-2</v>
      </c>
      <c r="D488" s="100">
        <v>18199.099999999999</v>
      </c>
      <c r="E488" s="99">
        <f t="shared" si="44"/>
        <v>-1.0127656334136592E-2</v>
      </c>
      <c r="F488" s="100">
        <v>12618.45</v>
      </c>
      <c r="G488" s="99">
        <f t="shared" si="42"/>
        <v>2.218973011740788E-3</v>
      </c>
    </row>
    <row r="489" spans="1:7">
      <c r="A489" s="126">
        <v>44915</v>
      </c>
      <c r="B489" s="100">
        <v>725.95</v>
      </c>
      <c r="C489" s="99">
        <f t="shared" si="43"/>
        <v>-3.6371122701069902E-3</v>
      </c>
      <c r="D489" s="100">
        <v>18385.3</v>
      </c>
      <c r="E489" s="99">
        <f t="shared" si="44"/>
        <v>-1.9082052827157359E-3</v>
      </c>
      <c r="F489" s="100">
        <v>12646.45</v>
      </c>
      <c r="G489" s="99">
        <f t="shared" si="42"/>
        <v>-8.105041335710883E-4</v>
      </c>
    </row>
    <row r="490" spans="1:7">
      <c r="A490" s="126">
        <v>44914</v>
      </c>
      <c r="B490" s="100">
        <v>728.6</v>
      </c>
      <c r="C490" s="99">
        <f t="shared" si="43"/>
        <v>-9.598244892361496E-4</v>
      </c>
      <c r="D490" s="100">
        <v>18420.45</v>
      </c>
      <c r="E490" s="99">
        <f t="shared" si="44"/>
        <v>8.2899994526246523E-3</v>
      </c>
      <c r="F490" s="100">
        <v>12636.2</v>
      </c>
      <c r="G490" s="99">
        <f t="shared" si="42"/>
        <v>1.4236875009892236E-2</v>
      </c>
    </row>
    <row r="491" spans="1:7">
      <c r="A491" s="126">
        <v>44911</v>
      </c>
      <c r="B491" s="100">
        <v>729.3</v>
      </c>
      <c r="C491" s="99">
        <f t="shared" si="43"/>
        <v>-2.8700805753479441E-2</v>
      </c>
      <c r="D491" s="100">
        <v>18269</v>
      </c>
      <c r="E491" s="99">
        <f t="shared" si="44"/>
        <v>-7.9229319735649728E-3</v>
      </c>
      <c r="F491" s="100">
        <v>12816.1</v>
      </c>
      <c r="G491" s="99">
        <f t="shared" si="42"/>
        <v>5.2668128369783851E-3</v>
      </c>
    </row>
    <row r="492" spans="1:7">
      <c r="A492" s="126">
        <v>44910</v>
      </c>
      <c r="B492" s="100">
        <v>750.85</v>
      </c>
      <c r="C492" s="99">
        <f t="shared" si="43"/>
        <v>-1.0411861614497475E-2</v>
      </c>
      <c r="D492" s="100">
        <v>18414.900000000001</v>
      </c>
      <c r="E492" s="99">
        <f t="shared" si="44"/>
        <v>-1.3150913972444056E-2</v>
      </c>
      <c r="F492" s="100">
        <v>12883.6</v>
      </c>
      <c r="G492" s="99">
        <f t="shared" si="42"/>
        <v>-6.6635101990126788E-3</v>
      </c>
    </row>
    <row r="493" spans="1:7">
      <c r="A493" s="126">
        <v>44909</v>
      </c>
      <c r="B493" s="100">
        <v>758.75</v>
      </c>
      <c r="C493" s="99">
        <f t="shared" si="43"/>
        <v>1.9962360532329582E-2</v>
      </c>
      <c r="D493" s="100">
        <v>18660.3</v>
      </c>
      <c r="E493" s="99">
        <f t="shared" si="44"/>
        <v>2.8106190885639482E-3</v>
      </c>
      <c r="F493" s="100">
        <v>12797.75</v>
      </c>
      <c r="G493" s="99">
        <f t="shared" si="42"/>
        <v>-3.1021077923854001E-3</v>
      </c>
    </row>
    <row r="494" spans="1:7">
      <c r="A494" s="126">
        <v>44908</v>
      </c>
      <c r="B494" s="100">
        <v>743.9</v>
      </c>
      <c r="C494" s="99">
        <f t="shared" si="43"/>
        <v>-1.0771276595744728E-2</v>
      </c>
      <c r="D494" s="100">
        <v>18608</v>
      </c>
      <c r="E494" s="99">
        <f t="shared" si="44"/>
        <v>5.9928151093546767E-3</v>
      </c>
      <c r="F494" s="100">
        <v>12758.05</v>
      </c>
      <c r="G494" s="99">
        <f t="shared" si="42"/>
        <v>1.3050583749085742E-3</v>
      </c>
    </row>
    <row r="495" spans="1:7">
      <c r="A495" s="126">
        <v>44907</v>
      </c>
      <c r="B495" s="100">
        <v>752</v>
      </c>
      <c r="C495" s="99">
        <f t="shared" si="43"/>
        <v>6.6533599467732962E-4</v>
      </c>
      <c r="D495" s="100">
        <v>18497.150000000001</v>
      </c>
      <c r="E495" s="99">
        <f t="shared" si="44"/>
        <v>2.9735194576385737E-5</v>
      </c>
      <c r="F495" s="100">
        <v>12774.7</v>
      </c>
      <c r="G495" s="99">
        <f t="shared" si="42"/>
        <v>-3.6008673393503887E-3</v>
      </c>
    </row>
    <row r="496" spans="1:7">
      <c r="A496" s="126">
        <v>44904</v>
      </c>
      <c r="B496" s="100">
        <v>751.5</v>
      </c>
      <c r="C496" s="99">
        <f t="shared" si="43"/>
        <v>-4.4379678081738483E-3</v>
      </c>
      <c r="D496" s="100">
        <v>18496.599999999999</v>
      </c>
      <c r="E496" s="99">
        <f t="shared" si="44"/>
        <v>-6.058782278800745E-3</v>
      </c>
      <c r="F496" s="100">
        <v>12728.7</v>
      </c>
      <c r="G496" s="99">
        <f t="shared" si="42"/>
        <v>1.1085185447060386E-2</v>
      </c>
    </row>
    <row r="497" spans="1:7">
      <c r="A497" s="126">
        <v>44903</v>
      </c>
      <c r="B497" s="100">
        <v>754.85</v>
      </c>
      <c r="C497" s="99">
        <f t="shared" si="43"/>
        <v>-1.9547993245876083E-2</v>
      </c>
      <c r="D497" s="100">
        <v>18609.349999999999</v>
      </c>
      <c r="E497" s="99">
        <f t="shared" si="44"/>
        <v>2.6319334069664357E-3</v>
      </c>
      <c r="F497" s="100">
        <v>12869.8</v>
      </c>
      <c r="G497" s="99">
        <f t="shared" si="42"/>
        <v>6.6473449470854096E-3</v>
      </c>
    </row>
    <row r="498" spans="1:7">
      <c r="A498" s="126">
        <v>44902</v>
      </c>
      <c r="B498" s="100">
        <v>769.9</v>
      </c>
      <c r="C498" s="99">
        <f t="shared" si="43"/>
        <v>2.9310232527843816E-3</v>
      </c>
      <c r="D498" s="100">
        <v>18560.5</v>
      </c>
      <c r="E498" s="99">
        <f t="shared" si="44"/>
        <v>-4.4119027503989328E-3</v>
      </c>
      <c r="F498" s="100">
        <v>12955.35</v>
      </c>
      <c r="G498" s="99">
        <f t="shared" si="42"/>
        <v>7.5297078041116627E-3</v>
      </c>
    </row>
    <row r="499" spans="1:7">
      <c r="A499" s="126">
        <v>44901</v>
      </c>
      <c r="B499" s="100">
        <v>767.65</v>
      </c>
      <c r="C499" s="99">
        <f t="shared" si="43"/>
        <v>-3.1814050123361026E-3</v>
      </c>
      <c r="D499" s="100">
        <v>18642.75</v>
      </c>
      <c r="E499" s="99">
        <f t="shared" si="44"/>
        <v>-3.1174720136034617E-3</v>
      </c>
      <c r="F499" s="100">
        <v>13052.9</v>
      </c>
      <c r="G499" s="99">
        <f t="shared" si="42"/>
        <v>2.6086157099189933E-3</v>
      </c>
    </row>
    <row r="500" spans="1:7">
      <c r="A500" s="126">
        <v>44900</v>
      </c>
      <c r="B500" s="100">
        <v>770.1</v>
      </c>
      <c r="C500" s="99">
        <f t="shared" si="43"/>
        <v>-7.6030927835051276E-3</v>
      </c>
      <c r="D500" s="100">
        <v>18701.05</v>
      </c>
      <c r="E500" s="99">
        <f t="shared" si="44"/>
        <v>2.6476109990847263E-4</v>
      </c>
      <c r="F500" s="100">
        <v>13086.95</v>
      </c>
      <c r="G500" s="99">
        <f t="shared" si="42"/>
        <v>2.5750843397429612E-3</v>
      </c>
    </row>
    <row r="501" spans="1:7">
      <c r="A501" s="126">
        <v>44897</v>
      </c>
      <c r="B501" s="100">
        <v>776</v>
      </c>
      <c r="C501" s="99">
        <f t="shared" si="43"/>
        <v>7.3997143969881662E-3</v>
      </c>
      <c r="D501" s="100">
        <v>18696.099999999999</v>
      </c>
      <c r="E501" s="99">
        <f t="shared" si="44"/>
        <v>-6.18737541528247E-3</v>
      </c>
      <c r="F501" s="100">
        <v>13120.65</v>
      </c>
      <c r="G501" s="99">
        <f t="shared" si="42"/>
        <v>1.7948805889953512E-3</v>
      </c>
    </row>
    <row r="502" spans="1:7">
      <c r="A502" s="126">
        <v>44896</v>
      </c>
      <c r="B502" s="100">
        <v>770.3</v>
      </c>
      <c r="C502" s="99">
        <f t="shared" si="43"/>
        <v>5.4823130139667331E-3</v>
      </c>
      <c r="D502" s="100">
        <v>18812.5</v>
      </c>
      <c r="E502" s="99">
        <f t="shared" si="44"/>
        <v>2.8867144498316843E-3</v>
      </c>
      <c r="F502" s="100">
        <v>13144.2</v>
      </c>
      <c r="G502" s="99">
        <f t="shared" si="42"/>
        <v>-4.3251015657096437E-3</v>
      </c>
    </row>
    <row r="503" spans="1:7">
      <c r="A503" s="126">
        <v>44895</v>
      </c>
      <c r="B503" s="100">
        <v>766.1</v>
      </c>
      <c r="C503" s="99">
        <f t="shared" si="43"/>
        <v>1.9495641759265325E-2</v>
      </c>
      <c r="D503" s="100">
        <v>18758.349999999999</v>
      </c>
      <c r="E503" s="99">
        <f t="shared" si="44"/>
        <v>7.5356978845797506E-3</v>
      </c>
      <c r="F503" s="100">
        <v>13087.35</v>
      </c>
      <c r="G503" s="99">
        <f t="shared" si="42"/>
        <v>-7.1366625023400188E-3</v>
      </c>
    </row>
    <row r="504" spans="1:7">
      <c r="A504" s="126">
        <v>44894</v>
      </c>
      <c r="B504" s="100">
        <v>751.45</v>
      </c>
      <c r="C504" s="99">
        <f t="shared" si="43"/>
        <v>2.426225039187635E-2</v>
      </c>
      <c r="D504" s="100">
        <v>18618.05</v>
      </c>
      <c r="E504" s="99">
        <f t="shared" si="44"/>
        <v>2.9790844567749719E-3</v>
      </c>
      <c r="F504" s="100">
        <v>12993.95</v>
      </c>
      <c r="G504" s="99">
        <f t="shared" si="42"/>
        <v>-1.9624517563943122E-3</v>
      </c>
    </row>
    <row r="505" spans="1:7">
      <c r="A505" s="126">
        <v>44893</v>
      </c>
      <c r="B505" s="100">
        <v>733.65</v>
      </c>
      <c r="C505" s="99">
        <f t="shared" si="43"/>
        <v>1.931226120180618E-2</v>
      </c>
      <c r="D505" s="100">
        <v>18562.75</v>
      </c>
      <c r="E505" s="99">
        <f t="shared" si="44"/>
        <v>2.7008413120686026E-3</v>
      </c>
      <c r="F505" s="100">
        <v>12968.45</v>
      </c>
      <c r="G505" s="99">
        <f t="shared" si="42"/>
        <v>-6.1919504643963563E-3</v>
      </c>
    </row>
    <row r="506" spans="1:7">
      <c r="A506" s="126">
        <v>44890</v>
      </c>
      <c r="B506" s="100">
        <v>719.75</v>
      </c>
      <c r="C506" s="99">
        <f t="shared" si="43"/>
        <v>9.0390766235559639E-4</v>
      </c>
      <c r="D506" s="100">
        <v>18512.75</v>
      </c>
      <c r="E506" s="99">
        <f t="shared" si="44"/>
        <v>1.5499807943044619E-3</v>
      </c>
      <c r="F506" s="100">
        <v>12888.15</v>
      </c>
      <c r="G506" s="99">
        <f t="shared" si="42"/>
        <v>-8.6901533579286649E-4</v>
      </c>
    </row>
    <row r="507" spans="1:7">
      <c r="A507" s="126">
        <v>44889</v>
      </c>
      <c r="B507" s="100">
        <v>719.1</v>
      </c>
      <c r="C507" s="99">
        <f t="shared" si="43"/>
        <v>6.953619358895935E-5</v>
      </c>
      <c r="D507" s="100">
        <v>18484.099999999999</v>
      </c>
      <c r="E507" s="99">
        <f t="shared" si="44"/>
        <v>1.1870971273727493E-2</v>
      </c>
      <c r="F507" s="100">
        <v>12876.95</v>
      </c>
      <c r="G507" s="99">
        <f t="shared" si="42"/>
        <v>-3.1529205285413253E-3</v>
      </c>
    </row>
    <row r="508" spans="1:7">
      <c r="A508" s="126">
        <v>44888</v>
      </c>
      <c r="B508" s="100">
        <v>719.05</v>
      </c>
      <c r="C508" s="99">
        <f t="shared" si="43"/>
        <v>-9.7255991663780517E-4</v>
      </c>
      <c r="D508" s="100">
        <v>18267.25</v>
      </c>
      <c r="E508" s="99">
        <f t="shared" si="44"/>
        <v>1.2634152223720552E-3</v>
      </c>
      <c r="F508" s="100">
        <v>12836.35</v>
      </c>
      <c r="G508" s="99">
        <f t="shared" si="42"/>
        <v>-3.2524822087275362E-3</v>
      </c>
    </row>
    <row r="509" spans="1:7">
      <c r="A509" s="126">
        <v>44887</v>
      </c>
      <c r="B509" s="100">
        <v>719.75</v>
      </c>
      <c r="C509" s="99">
        <f t="shared" si="43"/>
        <v>-1.5952281869884288E-3</v>
      </c>
      <c r="D509" s="100">
        <v>18244.2</v>
      </c>
      <c r="E509" s="99">
        <f t="shared" si="44"/>
        <v>4.6393299541023225E-3</v>
      </c>
      <c r="F509" s="100">
        <v>12794.6</v>
      </c>
      <c r="G509" s="99">
        <f t="shared" si="42"/>
        <v>5.2209525893736064E-3</v>
      </c>
    </row>
    <row r="510" spans="1:7">
      <c r="A510" s="126">
        <v>44886</v>
      </c>
      <c r="B510" s="100">
        <v>720.9</v>
      </c>
      <c r="C510" s="99">
        <f t="shared" si="43"/>
        <v>-2.0802995631363785E-4</v>
      </c>
      <c r="D510" s="100">
        <v>18159.95</v>
      </c>
      <c r="E510" s="99">
        <f t="shared" si="44"/>
        <v>-8.0676657025888776E-3</v>
      </c>
      <c r="F510" s="100">
        <v>12861.4</v>
      </c>
      <c r="G510" s="99">
        <f t="shared" si="42"/>
        <v>6.7527640847808712E-3</v>
      </c>
    </row>
    <row r="511" spans="1:7">
      <c r="A511" s="126">
        <v>44883</v>
      </c>
      <c r="B511" s="100">
        <v>721.05</v>
      </c>
      <c r="C511" s="99">
        <f t="shared" si="43"/>
        <v>-2.0445591631571891E-2</v>
      </c>
      <c r="D511" s="100">
        <v>18307.650000000001</v>
      </c>
      <c r="E511" s="99">
        <f t="shared" si="44"/>
        <v>-1.9761337556354341E-3</v>
      </c>
      <c r="F511" s="100">
        <v>12948.25</v>
      </c>
      <c r="G511" s="99">
        <f t="shared" si="42"/>
        <v>3.8808333172435372E-3</v>
      </c>
    </row>
    <row r="512" spans="1:7">
      <c r="A512" s="126">
        <v>44882</v>
      </c>
      <c r="B512" s="100">
        <v>736.1</v>
      </c>
      <c r="C512" s="99">
        <f t="shared" si="43"/>
        <v>-4.7995673629418478E-3</v>
      </c>
      <c r="D512" s="100">
        <v>18343.900000000001</v>
      </c>
      <c r="E512" s="99">
        <f t="shared" si="44"/>
        <v>-3.5714964706010655E-3</v>
      </c>
      <c r="F512" s="100">
        <v>12998.5</v>
      </c>
      <c r="G512" s="99">
        <f t="shared" si="42"/>
        <v>2.9541870215794575E-3</v>
      </c>
    </row>
    <row r="513" spans="1:7">
      <c r="A513" s="126">
        <v>44881</v>
      </c>
      <c r="B513" s="100">
        <v>739.65</v>
      </c>
      <c r="C513" s="99">
        <f t="shared" si="43"/>
        <v>-1.8446022161767606E-2</v>
      </c>
      <c r="D513" s="100">
        <v>18409.650000000001</v>
      </c>
      <c r="E513" s="99">
        <f t="shared" si="44"/>
        <v>3.3961115880765114E-4</v>
      </c>
      <c r="F513" s="100">
        <v>13036.9</v>
      </c>
      <c r="G513" s="99">
        <f t="shared" si="42"/>
        <v>-1.3078262470371804E-3</v>
      </c>
    </row>
    <row r="514" spans="1:7">
      <c r="A514" s="126">
        <v>44880</v>
      </c>
      <c r="B514" s="100">
        <v>753.55</v>
      </c>
      <c r="C514" s="99">
        <f t="shared" si="43"/>
        <v>-7.8341013824885231E-3</v>
      </c>
      <c r="D514" s="100">
        <v>18403.400000000001</v>
      </c>
      <c r="E514" s="99">
        <f t="shared" si="44"/>
        <v>4.0509243472828249E-3</v>
      </c>
      <c r="F514" s="100">
        <v>13019.85</v>
      </c>
      <c r="G514" s="99">
        <f t="shared" si="42"/>
        <v>-3.2258436157106551E-4</v>
      </c>
    </row>
    <row r="515" spans="1:7">
      <c r="A515" s="126">
        <v>44879</v>
      </c>
      <c r="B515" s="100">
        <v>759.5</v>
      </c>
      <c r="C515" s="99">
        <f t="shared" si="43"/>
        <v>1.6733601070950455E-2</v>
      </c>
      <c r="D515" s="100">
        <v>18329.150000000001</v>
      </c>
      <c r="E515" s="99">
        <f t="shared" si="44"/>
        <v>-1.1199093173185348E-3</v>
      </c>
      <c r="F515" s="100">
        <v>13015.65</v>
      </c>
      <c r="G515" s="99">
        <f t="shared" si="42"/>
        <v>-2.5008355326087139E-3</v>
      </c>
    </row>
    <row r="516" spans="1:7">
      <c r="A516" s="126">
        <v>44876</v>
      </c>
      <c r="B516" s="100">
        <v>747</v>
      </c>
      <c r="C516" s="99">
        <f t="shared" si="43"/>
        <v>3.8437478279001791E-2</v>
      </c>
      <c r="D516" s="100">
        <v>18349.7</v>
      </c>
      <c r="E516" s="99">
        <f>D516/D517-1</f>
        <v>1.7833172474234882E-2</v>
      </c>
      <c r="F516" s="100">
        <v>12983.1</v>
      </c>
      <c r="G516" s="99">
        <f>M517/F516-1</f>
        <v>-1</v>
      </c>
    </row>
    <row r="517" spans="1:7">
      <c r="A517" s="126">
        <v>44875</v>
      </c>
      <c r="B517" s="100">
        <v>719.35</v>
      </c>
      <c r="C517" s="99"/>
      <c r="D517" s="100">
        <v>18028.2</v>
      </c>
      <c r="E517" s="99"/>
      <c r="F517" s="99"/>
      <c r="G517" s="99"/>
    </row>
  </sheetData>
  <sortState xmlns:xlrd2="http://schemas.microsoft.com/office/spreadsheetml/2017/richdata2" ref="A9:B517">
    <sortCondition descending="1" ref="A9:A517"/>
  </sortState>
  <mergeCells count="28">
    <mergeCell ref="I36:K36"/>
    <mergeCell ref="D7:E7"/>
    <mergeCell ref="F7:G7"/>
    <mergeCell ref="A7:C7"/>
    <mergeCell ref="O3:S3"/>
    <mergeCell ref="O4:R4"/>
    <mergeCell ref="J25:M25"/>
    <mergeCell ref="X2:AJ2"/>
    <mergeCell ref="W4:Y4"/>
    <mergeCell ref="AA4:AC4"/>
    <mergeCell ref="AE4:AG4"/>
    <mergeCell ref="AI4:AK4"/>
    <mergeCell ref="I62:O63"/>
    <mergeCell ref="AP3:BE4"/>
    <mergeCell ref="J55:N55"/>
    <mergeCell ref="J56:N56"/>
    <mergeCell ref="J57:N57"/>
    <mergeCell ref="J58:N58"/>
    <mergeCell ref="I47:R47"/>
    <mergeCell ref="I48:R48"/>
    <mergeCell ref="I49:R49"/>
    <mergeCell ref="I50:R50"/>
    <mergeCell ref="J54:N54"/>
    <mergeCell ref="I37:R38"/>
    <mergeCell ref="I41:R41"/>
    <mergeCell ref="I42:R42"/>
    <mergeCell ref="I43:R43"/>
    <mergeCell ref="I44:R44"/>
  </mergeCells>
  <pageMargins left="0.7" right="0.7" top="0.75" bottom="0.75" header="0.3" footer="0.3"/>
  <ignoredErrors>
    <ignoredError sqref="AW12:AY12"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E0013-1C4A-4490-B0F3-1AE35A284F5A}">
  <dimension ref="A1:L25"/>
  <sheetViews>
    <sheetView showGridLines="0" tabSelected="1" workbookViewId="0">
      <selection activeCell="A3" sqref="A3:H7"/>
    </sheetView>
  </sheetViews>
  <sheetFormatPr defaultColWidth="8.7109375" defaultRowHeight="15"/>
  <cols>
    <col min="1" max="1" width="16" customWidth="1"/>
    <col min="2" max="2" width="17.7109375" customWidth="1"/>
    <col min="3" max="3" width="22.5703125" customWidth="1"/>
    <col min="4" max="4" width="34" customWidth="1"/>
    <col min="5" max="5" width="13" customWidth="1"/>
    <col min="6" max="6" width="16" customWidth="1"/>
    <col min="7" max="7" width="12" customWidth="1"/>
    <col min="8" max="9" width="16" customWidth="1"/>
    <col min="10" max="10" width="13" customWidth="1"/>
    <col min="11" max="12" width="30" customWidth="1"/>
  </cols>
  <sheetData>
    <row r="1" spans="1:12" ht="18.75">
      <c r="A1" s="156" t="s">
        <v>280</v>
      </c>
    </row>
    <row r="2" spans="1:12">
      <c r="A2" s="157" t="s">
        <v>281</v>
      </c>
    </row>
    <row r="3" spans="1:12" ht="14.45" customHeight="1">
      <c r="A3" s="192" t="s">
        <v>282</v>
      </c>
      <c r="B3" s="192"/>
      <c r="C3" s="192"/>
      <c r="D3" s="192"/>
      <c r="E3" s="192"/>
      <c r="F3" s="192"/>
      <c r="G3" s="192"/>
      <c r="H3" s="192"/>
      <c r="I3" s="186"/>
      <c r="J3" s="186"/>
      <c r="K3" s="186"/>
      <c r="L3" s="186"/>
    </row>
    <row r="4" spans="1:12">
      <c r="A4" s="192"/>
      <c r="B4" s="192"/>
      <c r="C4" s="192"/>
      <c r="D4" s="192"/>
      <c r="E4" s="192"/>
      <c r="F4" s="192"/>
      <c r="G4" s="192"/>
      <c r="H4" s="192"/>
      <c r="I4" s="186"/>
      <c r="J4" s="186"/>
      <c r="K4" s="186"/>
      <c r="L4" s="186"/>
    </row>
    <row r="5" spans="1:12">
      <c r="A5" s="192"/>
      <c r="B5" s="192"/>
      <c r="C5" s="192"/>
      <c r="D5" s="192"/>
      <c r="E5" s="192"/>
      <c r="F5" s="192"/>
      <c r="G5" s="192"/>
      <c r="H5" s="192"/>
      <c r="I5" s="186"/>
      <c r="J5" s="186"/>
      <c r="K5" s="186"/>
      <c r="L5" s="186"/>
    </row>
    <row r="6" spans="1:12">
      <c r="A6" s="192"/>
      <c r="B6" s="192"/>
      <c r="C6" s="192"/>
      <c r="D6" s="192"/>
      <c r="E6" s="192"/>
      <c r="F6" s="192"/>
      <c r="G6" s="192"/>
      <c r="H6" s="192"/>
      <c r="I6" s="186"/>
      <c r="J6" s="186"/>
      <c r="K6" s="186"/>
      <c r="L6" s="186"/>
    </row>
    <row r="7" spans="1:12">
      <c r="A7" s="192"/>
      <c r="B7" s="192"/>
      <c r="C7" s="192"/>
      <c r="D7" s="192"/>
      <c r="E7" s="192"/>
      <c r="F7" s="192"/>
      <c r="G7" s="192"/>
      <c r="H7" s="192"/>
      <c r="I7" s="186"/>
      <c r="J7" s="186"/>
      <c r="K7" s="186"/>
      <c r="L7" s="186"/>
    </row>
    <row r="9" spans="1:12">
      <c r="A9" s="157" t="s">
        <v>283</v>
      </c>
    </row>
    <row r="10" spans="1:12" ht="45">
      <c r="A10" s="158" t="s">
        <v>18</v>
      </c>
      <c r="B10" s="158" t="s">
        <v>19</v>
      </c>
      <c r="C10" s="158" t="s">
        <v>106</v>
      </c>
      <c r="D10" s="158" t="s">
        <v>284</v>
      </c>
      <c r="E10" s="158" t="s">
        <v>285</v>
      </c>
      <c r="F10" s="158" t="s">
        <v>286</v>
      </c>
      <c r="G10" s="158" t="s">
        <v>287</v>
      </c>
      <c r="H10" s="158" t="s">
        <v>288</v>
      </c>
      <c r="I10" s="158" t="s">
        <v>289</v>
      </c>
      <c r="J10" s="158" t="s">
        <v>290</v>
      </c>
      <c r="K10" s="158" t="s">
        <v>291</v>
      </c>
      <c r="L10" s="158" t="s">
        <v>292</v>
      </c>
    </row>
    <row r="11" spans="1:12" ht="30">
      <c r="A11" s="159" t="s">
        <v>42</v>
      </c>
      <c r="B11" s="159" t="s">
        <v>22</v>
      </c>
      <c r="C11" s="160">
        <v>2.6394999999999998E-2</v>
      </c>
      <c r="D11" s="161">
        <v>1749.45</v>
      </c>
      <c r="E11" s="162">
        <v>0.26800000000000002</v>
      </c>
      <c r="F11" s="162">
        <v>0.26300000000000001</v>
      </c>
      <c r="G11" s="162">
        <v>0.20830000000000001</v>
      </c>
      <c r="H11" s="162">
        <v>0.20449999999999999</v>
      </c>
      <c r="I11" s="161">
        <v>1717.79</v>
      </c>
      <c r="J11" s="162">
        <v>-1.8100000000000002E-2</v>
      </c>
      <c r="K11" s="163" t="s">
        <v>293</v>
      </c>
      <c r="L11" s="163" t="s">
        <v>294</v>
      </c>
    </row>
    <row r="12" spans="1:12" ht="45">
      <c r="A12" s="159" t="s">
        <v>21</v>
      </c>
      <c r="B12" s="159" t="s">
        <v>22</v>
      </c>
      <c r="C12" s="160">
        <v>0.31328499999999998</v>
      </c>
      <c r="D12" s="161">
        <v>1495.65</v>
      </c>
      <c r="E12" s="162">
        <v>0.24399999999999999</v>
      </c>
      <c r="F12" s="162">
        <v>0.24252000000000001</v>
      </c>
      <c r="G12" s="162">
        <v>0.16</v>
      </c>
      <c r="H12" s="162">
        <v>0.15875900000000001</v>
      </c>
      <c r="I12" s="161">
        <v>1484.71</v>
      </c>
      <c r="J12" s="162">
        <v>-7.3000000000000001E-3</v>
      </c>
      <c r="K12" s="163" t="s">
        <v>295</v>
      </c>
      <c r="L12" s="163" t="s">
        <v>296</v>
      </c>
    </row>
    <row r="13" spans="1:12" ht="30">
      <c r="A13" s="164" t="s">
        <v>45</v>
      </c>
      <c r="B13" s="164" t="s">
        <v>27</v>
      </c>
      <c r="C13" s="165">
        <v>0.55054599999999998</v>
      </c>
      <c r="D13" s="166">
        <v>950.95</v>
      </c>
      <c r="E13" s="167">
        <v>0.27539999999999998</v>
      </c>
      <c r="F13" s="167">
        <v>0.27379999999999999</v>
      </c>
      <c r="G13" s="167">
        <v>0.19750000000000001</v>
      </c>
      <c r="H13" s="167">
        <v>0.19620000000000001</v>
      </c>
      <c r="I13" s="166">
        <v>944.99</v>
      </c>
      <c r="J13" s="167">
        <v>-6.3E-3</v>
      </c>
      <c r="K13" s="168" t="s">
        <v>297</v>
      </c>
      <c r="L13" s="168" t="s">
        <v>298</v>
      </c>
    </row>
    <row r="14" spans="1:12" ht="45">
      <c r="A14" s="164" t="s">
        <v>299</v>
      </c>
      <c r="B14" s="164" t="s">
        <v>27</v>
      </c>
      <c r="C14" s="165">
        <v>0.56491599999999997</v>
      </c>
      <c r="D14" s="166">
        <v>1199.9000000000001</v>
      </c>
      <c r="E14" s="167">
        <v>0.28410000000000002</v>
      </c>
      <c r="F14" s="167">
        <v>0.28249999999999997</v>
      </c>
      <c r="G14" s="167">
        <v>0.19980000000000001</v>
      </c>
      <c r="H14" s="167">
        <v>0.1986</v>
      </c>
      <c r="I14" s="166">
        <v>1192.8699999999999</v>
      </c>
      <c r="J14" s="167">
        <v>-5.8999999999999999E-3</v>
      </c>
      <c r="K14" s="168" t="s">
        <v>300</v>
      </c>
      <c r="L14" s="168" t="s">
        <v>301</v>
      </c>
    </row>
    <row r="15" spans="1:12" ht="45">
      <c r="A15" s="169" t="s">
        <v>31</v>
      </c>
      <c r="B15" s="169" t="s">
        <v>32</v>
      </c>
      <c r="C15" s="170">
        <v>0.43537300000000001</v>
      </c>
      <c r="D15" s="171">
        <v>2006.35</v>
      </c>
      <c r="E15" s="172">
        <v>0.19999</v>
      </c>
      <c r="F15" s="172">
        <v>0.19503999999999999</v>
      </c>
      <c r="G15" s="172">
        <v>9.8493999999999998E-2</v>
      </c>
      <c r="H15" s="172">
        <v>9.4534000000000007E-2</v>
      </c>
      <c r="I15" s="171">
        <v>1925.68</v>
      </c>
      <c r="J15" s="172">
        <v>-4.02E-2</v>
      </c>
      <c r="K15" s="173" t="s">
        <v>302</v>
      </c>
      <c r="L15" s="173" t="s">
        <v>303</v>
      </c>
    </row>
    <row r="16" spans="1:12" ht="30">
      <c r="A16" s="169" t="s">
        <v>49</v>
      </c>
      <c r="B16" s="169" t="s">
        <v>32</v>
      </c>
      <c r="C16" s="170">
        <v>0.725796</v>
      </c>
      <c r="D16" s="171">
        <v>544.1</v>
      </c>
      <c r="E16" s="172">
        <v>0.20088300000000001</v>
      </c>
      <c r="F16" s="172">
        <v>0.199323</v>
      </c>
      <c r="G16" s="172">
        <v>0.109406</v>
      </c>
      <c r="H16" s="172">
        <v>0.108236</v>
      </c>
      <c r="I16" s="171">
        <v>538.28</v>
      </c>
      <c r="J16" s="172">
        <v>-1.0699999999999999E-2</v>
      </c>
      <c r="K16" s="173" t="s">
        <v>304</v>
      </c>
      <c r="L16" s="173" t="s">
        <v>305</v>
      </c>
    </row>
    <row r="18" spans="1:4">
      <c r="A18" s="157" t="s">
        <v>306</v>
      </c>
    </row>
    <row r="19" spans="1:4">
      <c r="A19" s="158" t="s">
        <v>18</v>
      </c>
      <c r="B19" s="158" t="s">
        <v>307</v>
      </c>
      <c r="C19" s="158" t="s">
        <v>308</v>
      </c>
      <c r="D19" s="174" t="s">
        <v>309</v>
      </c>
    </row>
    <row r="20" spans="1:4" ht="120">
      <c r="A20" s="175" t="s">
        <v>42</v>
      </c>
      <c r="B20" s="176" t="s">
        <v>310</v>
      </c>
      <c r="C20" s="176" t="s">
        <v>311</v>
      </c>
      <c r="D20" s="176" t="s">
        <v>312</v>
      </c>
    </row>
    <row r="21" spans="1:4" ht="75">
      <c r="A21" s="175" t="s">
        <v>21</v>
      </c>
      <c r="B21" s="176" t="s">
        <v>313</v>
      </c>
      <c r="C21" s="176" t="s">
        <v>314</v>
      </c>
      <c r="D21" s="176" t="s">
        <v>315</v>
      </c>
    </row>
    <row r="22" spans="1:4" ht="90">
      <c r="A22" s="175" t="s">
        <v>45</v>
      </c>
      <c r="B22" s="176" t="s">
        <v>316</v>
      </c>
      <c r="C22" s="176" t="s">
        <v>317</v>
      </c>
      <c r="D22" s="176" t="s">
        <v>318</v>
      </c>
    </row>
    <row r="23" spans="1:4" ht="120">
      <c r="A23" s="175" t="s">
        <v>299</v>
      </c>
      <c r="B23" s="176" t="s">
        <v>319</v>
      </c>
      <c r="C23" s="176" t="s">
        <v>320</v>
      </c>
      <c r="D23" s="176" t="s">
        <v>321</v>
      </c>
    </row>
    <row r="24" spans="1:4" ht="105">
      <c r="A24" s="175" t="s">
        <v>31</v>
      </c>
      <c r="B24" s="176" t="s">
        <v>322</v>
      </c>
      <c r="C24" s="176" t="s">
        <v>323</v>
      </c>
      <c r="D24" s="176" t="s">
        <v>324</v>
      </c>
    </row>
    <row r="25" spans="1:4" ht="120">
      <c r="A25" s="175" t="s">
        <v>49</v>
      </c>
      <c r="B25" s="176" t="s">
        <v>325</v>
      </c>
      <c r="C25" s="176" t="s">
        <v>326</v>
      </c>
      <c r="D25" s="176" t="s">
        <v>327</v>
      </c>
    </row>
  </sheetData>
  <mergeCells count="1">
    <mergeCell ref="A3:H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Analysis</vt:lpstr>
      <vt:lpstr>Ciplaa</vt:lpstr>
      <vt:lpstr>Zydus</vt:lpstr>
      <vt:lpstr>Sunpharma</vt:lpstr>
      <vt:lpstr>Dr. Reddy</vt:lpstr>
      <vt:lpstr>Aurbindo Pharma </vt:lpstr>
      <vt:lpstr>Lupin</vt:lpstr>
      <vt:lpstr>Boardroom Crisis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Aditya Singla</cp:lastModifiedBy>
  <cp:revision/>
  <dcterms:created xsi:type="dcterms:W3CDTF">2015-06-05T18:17:20Z</dcterms:created>
  <dcterms:modified xsi:type="dcterms:W3CDTF">2026-09-20T11:24:26Z</dcterms:modified>
  <cp:category/>
  <cp:contentStatus/>
</cp:coreProperties>
</file>